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omments2.xml" ContentType="application/vnd.openxmlformats-officedocument.spreadsheetml.comments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20" yWindow="-120" windowWidth="20730" windowHeight="11160" tabRatio="920" activeTab="3"/>
  </bookViews>
  <sheets>
    <sheet name="Vtd.2" sheetId="33" r:id="rId1"/>
    <sheet name="Htd.3" sheetId="34" r:id="rId2"/>
    <sheet name="NVQY4" sheetId="54" r:id="rId3"/>
    <sheet name="NVQY.5" sheetId="63" r:id="rId4"/>
    <sheet name="DL.6" sheetId="31" r:id="rId5"/>
    <sheet name="c60.6" sheetId="32" r:id="rId6"/>
    <sheet name="NVBQVK.7" sheetId="47" r:id="rId7"/>
    <sheet name="NVBQD.7" sheetId="99" r:id="rId8"/>
    <sheet name="BVu.8A" sheetId="59" r:id="rId9"/>
    <sheet name="Co82.8" sheetId="45" r:id="rId10"/>
    <sheet name="c100.8" sheetId="40" r:id="rId11"/>
    <sheet name="Ktpb.8" sheetId="36" r:id="rId12"/>
    <sheet name="Pxk.8" sheetId="41" r:id="rId13"/>
    <sheet name="Pk37.9" sheetId="94" r:id="rId14"/>
    <sheet name="Pk57.9" sheetId="43" r:id="rId15"/>
    <sheet name="12,7.9" sheetId="37" r:id="rId16"/>
    <sheet name="CB CT.10 " sheetId="98" r:id="rId17"/>
    <sheet name="SPG9.10" sheetId="46" r:id="rId18"/>
    <sheet name="TSBD.13" sheetId="30" r:id="rId19"/>
    <sheet name="AGS-17.13" sheetId="100" r:id="rId20"/>
    <sheet name="TH xet at(Kdt)" sheetId="48" r:id="rId21"/>
    <sheet name="TH xet Bao vu" sheetId="58" r:id="rId22"/>
    <sheet name="TH xet at(Kdt) (2)" sheetId="66" r:id="rId23"/>
    <sheet name="TH xet at(Kdt) (21)" sheetId="65" r:id="rId24"/>
    <sheet name="BVu.3 (2)" sheetId="67" r:id="rId25"/>
    <sheet name="3.4 (2)" sheetId="68" r:id="rId26"/>
    <sheet name="4.4 (2)" sheetId="69" r:id="rId27"/>
    <sheet name="5.5 (2)" sheetId="70" r:id="rId28"/>
    <sheet name="6.5 (2)" sheetId="71" r:id="rId29"/>
    <sheet name="TSBD.6 (2)" sheetId="72" r:id="rId30"/>
    <sheet name="DL.6 (2)" sheetId="73" r:id="rId31"/>
    <sheet name="c60.6 (2)" sheetId="74" r:id="rId32"/>
    <sheet name="Vtd.7 (2)" sheetId="75" r:id="rId33"/>
    <sheet name="Htd.7 (2)" sheetId="76" r:id="rId34"/>
    <sheet name="Ktpb.8 (2)" sheetId="77" r:id="rId35"/>
    <sheet name="Pxk.8 (2)" sheetId="78" r:id="rId36"/>
    <sheet name="Co82.8 (2)" sheetId="79" r:id="rId37"/>
    <sheet name="c100.8 (2)" sheetId="80" r:id="rId38"/>
    <sheet name="Pk37.9 (2)" sheetId="81" r:id="rId39"/>
    <sheet name="Pk57.9 (2)" sheetId="82" r:id="rId40"/>
    <sheet name="12,7.9 (2)" sheetId="83" r:id="rId41"/>
    <sheet name="DKZ.10 (2)" sheetId="84" r:id="rId42"/>
    <sheet name="SPG9.10 (2)" sheetId="85" r:id="rId43"/>
    <sheet name="NA.10 (2)" sheetId="86" r:id="rId44"/>
    <sheet name="CB.10 (2)" sheetId="87" r:id="rId45"/>
    <sheet name="TH xet at(Kdt) (3)" sheetId="88" r:id="rId46"/>
    <sheet name="TH xet at(Kdt) (4)" sheetId="89" r:id="rId47"/>
    <sheet name="TH xet at(Kdt) (22)" sheetId="90" r:id="rId48"/>
    <sheet name="TH xet Bao vu (2)" sheetId="91" r:id="rId49"/>
    <sheet name="Sheet1 (2)" sheetId="92" r:id="rId50"/>
    <sheet name="Sheet1" sheetId="64" r:id="rId51"/>
  </sheets>
  <definedNames>
    <definedName name="_xlnm._FilterDatabase" localSheetId="15" hidden="1">'12,7.9'!$Q$6:$Z$82</definedName>
    <definedName name="_xlnm._FilterDatabase" localSheetId="40" hidden="1">'12,7.9 (2)'!$P$6:$Y$80</definedName>
    <definedName name="_xlnm._FilterDatabase" localSheetId="25" hidden="1">'3.4 (2)'!$S$7:$AB$41</definedName>
    <definedName name="_xlnm._FilterDatabase" localSheetId="26" hidden="1">'4.4 (2)'!$S$7:$AB$42</definedName>
    <definedName name="_xlnm._FilterDatabase" localSheetId="27" hidden="1">'5.5 (2)'!$S$7:$AB$41</definedName>
    <definedName name="_xlnm._FilterDatabase" localSheetId="28" hidden="1">'6.5 (2)'!$S$7:$AB$42</definedName>
    <definedName name="_xlnm._FilterDatabase" localSheetId="19" hidden="1">'AGS-17.13'!$O$8:$X$37</definedName>
    <definedName name="_xlnm._FilterDatabase" localSheetId="24" hidden="1">'BVu.3 (2)'!$Z$6:$AJ$87</definedName>
    <definedName name="_xlnm._FilterDatabase" localSheetId="8" hidden="1">BVu.8A!$Y$6:$AI$102</definedName>
    <definedName name="_xlnm._FilterDatabase" localSheetId="10" hidden="1">c100.8!$Q$7:$Z$32</definedName>
    <definedName name="_xlnm._FilterDatabase" localSheetId="37" hidden="1">'c100.8 (2)'!$Q$7:$Z$32</definedName>
    <definedName name="_xlnm._FilterDatabase" localSheetId="5" hidden="1">c60.6!$S$7:$AA$67</definedName>
    <definedName name="_xlnm._FilterDatabase" localSheetId="31" hidden="1">'c60.6 (2)'!$S$7:$AA$56</definedName>
    <definedName name="_xlnm._FilterDatabase" localSheetId="16" hidden="1">'CB CT.10 '!$R$7:$AA$50</definedName>
    <definedName name="_xlnm._FilterDatabase" localSheetId="44" hidden="1">'CB.10 (2)'!$R$7:$AA$47</definedName>
    <definedName name="_xlnm._FilterDatabase" localSheetId="9" hidden="1">Co82.8!$Q$7:$Z$53</definedName>
    <definedName name="_xlnm._FilterDatabase" localSheetId="36" hidden="1">'Co82.8 (2)'!$Q$7:$Z$52</definedName>
    <definedName name="_xlnm._FilterDatabase" localSheetId="41" hidden="1">'DKZ.10 (2)'!$Q$7:$Z$16</definedName>
    <definedName name="_xlnm._FilterDatabase" localSheetId="4" hidden="1">DL.6!$S$7:$AB$66</definedName>
    <definedName name="_xlnm._FilterDatabase" localSheetId="30" hidden="1">'DL.6 (2)'!$S$7:$AB$55</definedName>
    <definedName name="_xlnm._FilterDatabase" localSheetId="1" hidden="1">Htd.3!$O$6:$X$92</definedName>
    <definedName name="_xlnm._FilterDatabase" localSheetId="33" hidden="1">'Htd.7 (2)'!$O$6:$X$70</definedName>
    <definedName name="_xlnm._FilterDatabase" localSheetId="11" hidden="1">Ktpb.8!$T$8:$AC$41</definedName>
    <definedName name="_xlnm._FilterDatabase" localSheetId="34" hidden="1">'Ktpb.8 (2)'!$T$8:$AC$39</definedName>
    <definedName name="_xlnm._FilterDatabase" localSheetId="43" hidden="1">'NA.10 (2)'!$U$8:$AD$40</definedName>
    <definedName name="_xlnm._FilterDatabase" localSheetId="7" hidden="1">NVBQD.7!$S$7:$AB$61</definedName>
    <definedName name="_xlnm._FilterDatabase" localSheetId="6" hidden="1">NVBQVK.7!$U$7:$AD$47</definedName>
    <definedName name="_xlnm._FilterDatabase" localSheetId="3" hidden="1">NVQY.5!$AF$1:$AF$128</definedName>
    <definedName name="_xlnm._FilterDatabase" localSheetId="2" hidden="1">NVQY4!$V$7:$AE$140</definedName>
    <definedName name="_xlnm._FilterDatabase" localSheetId="13" hidden="1">Pk37.9!$O$8:$X$56</definedName>
    <definedName name="_xlnm._FilterDatabase" localSheetId="38" hidden="1">'Pk37.9 (2)'!$O$7:$X$45</definedName>
    <definedName name="_xlnm._FilterDatabase" localSheetId="14" hidden="1">Pk57.9!$O$8:$X$41</definedName>
    <definedName name="_xlnm._FilterDatabase" localSheetId="39" hidden="1">'Pk57.9 (2)'!$O$9:$X$42</definedName>
    <definedName name="_xlnm._FilterDatabase" localSheetId="12" hidden="1">Pxk.8!$V$6:$AE$53</definedName>
    <definedName name="_xlnm._FilterDatabase" localSheetId="35" hidden="1">'Pxk.8 (2)'!$V$6:$AE$53</definedName>
    <definedName name="_xlnm._FilterDatabase" localSheetId="17" hidden="1">SPG9.10!$Q$9:$Z$82</definedName>
    <definedName name="_xlnm._FilterDatabase" localSheetId="42" hidden="1">'SPG9.10 (2)'!$Q$9:$Z$74</definedName>
    <definedName name="_xlnm._FilterDatabase" localSheetId="18" hidden="1">TSBD.13!$R$7:$AA$44</definedName>
    <definedName name="_xlnm._FilterDatabase" localSheetId="29" hidden="1">'TSBD.6 (2)'!$R$7:$AA$34</definedName>
    <definedName name="_xlnm._FilterDatabase" localSheetId="20" hidden="1">'TH xet at(Kdt)'!$AC$1:$AC$5</definedName>
    <definedName name="_xlnm._FilterDatabase" localSheetId="22" hidden="1">'TH xet at(Kdt) (2)'!$AC$1:$AC$5</definedName>
    <definedName name="_xlnm._FilterDatabase" localSheetId="23" hidden="1">'TH xet at(Kdt) (21)'!$AC$1:$AC$5</definedName>
    <definedName name="_xlnm._FilterDatabase" localSheetId="47" hidden="1">'TH xet at(Kdt) (22)'!$AC$1:$AC$5</definedName>
    <definedName name="_xlnm._FilterDatabase" localSheetId="45" hidden="1">'TH xet at(Kdt) (3)'!$AC$1:$AC$5</definedName>
    <definedName name="_xlnm._FilterDatabase" localSheetId="46" hidden="1">'TH xet at(Kdt) (4)'!$AC$1:$AC$5</definedName>
    <definedName name="_xlnm._FilterDatabase" localSheetId="21" hidden="1">'TH xet Bao vu'!$AB$2:$AB$5</definedName>
    <definedName name="_xlnm._FilterDatabase" localSheetId="48" hidden="1">'TH xet Bao vu (2)'!$AB$2:$AB$5</definedName>
    <definedName name="_xlnm._FilterDatabase" localSheetId="0" hidden="1">Vtd.2!$S$6:$AB$85</definedName>
    <definedName name="_xlnm._FilterDatabase" localSheetId="32" hidden="1">'Vtd.7 (2)'!$S$6:$AB$92</definedName>
    <definedName name="_xlnm.Print_Titles" localSheetId="15">'12,7.9'!$6:$7</definedName>
    <definedName name="_xlnm.Print_Titles" localSheetId="40">'12,7.9 (2)'!$6:$7</definedName>
    <definedName name="_xlnm.Print_Titles" localSheetId="25">'3.4 (2)'!$7:$8</definedName>
    <definedName name="_xlnm.Print_Titles" localSheetId="26">'4.4 (2)'!$7:$8</definedName>
    <definedName name="_xlnm.Print_Titles" localSheetId="27">'5.5 (2)'!$7:$8</definedName>
    <definedName name="_xlnm.Print_Titles" localSheetId="28">'6.5 (2)'!$7:$8</definedName>
    <definedName name="_xlnm.Print_Titles" localSheetId="24">'BVu.3 (2)'!$6:$7</definedName>
    <definedName name="_xlnm.Print_Titles" localSheetId="8">BVu.8A!$6:$7</definedName>
    <definedName name="_xlnm.Print_Titles" localSheetId="5">c60.6!$7:$8</definedName>
    <definedName name="_xlnm.Print_Titles" localSheetId="31">'c60.6 (2)'!$7:$8</definedName>
    <definedName name="_xlnm.Print_Titles" localSheetId="16">'CB CT.10 '!$7:$8</definedName>
    <definedName name="_xlnm.Print_Titles" localSheetId="44">'CB.10 (2)'!$7:$8</definedName>
    <definedName name="_xlnm.Print_Titles" localSheetId="9">Co82.8!$7:$8</definedName>
    <definedName name="_xlnm.Print_Titles" localSheetId="36">'Co82.8 (2)'!$7:$8</definedName>
    <definedName name="_xlnm.Print_Titles" localSheetId="4">DL.6!$7:$8</definedName>
    <definedName name="_xlnm.Print_Titles" localSheetId="30">'DL.6 (2)'!$7:$8</definedName>
    <definedName name="_xlnm.Print_Titles" localSheetId="1">Htd.3!$6:$7</definedName>
    <definedName name="_xlnm.Print_Titles" localSheetId="33">'Htd.7 (2)'!$6:$7</definedName>
    <definedName name="_xlnm.Print_Titles" localSheetId="43">'NA.10 (2)'!$8:$9</definedName>
    <definedName name="_xlnm.Print_Titles" localSheetId="7">NVBQD.7!$7:$8</definedName>
    <definedName name="_xlnm.Print_Titles" localSheetId="6">NVBQVK.7!$7:$8</definedName>
    <definedName name="_xlnm.Print_Titles" localSheetId="3">NVQY.5!$5:$6</definedName>
    <definedName name="_xlnm.Print_Titles" localSheetId="2">NVQY4!$7:$8</definedName>
    <definedName name="_xlnm.Print_Titles" localSheetId="38">'Pk37.9 (2)'!$7:$8</definedName>
    <definedName name="_xlnm.Print_Titles" localSheetId="12">Pxk.8!$6:$7</definedName>
    <definedName name="_xlnm.Print_Titles" localSheetId="35">'Pxk.8 (2)'!$6:$7</definedName>
    <definedName name="_xlnm.Print_Titles" localSheetId="17">SPG9.10!$9:$10</definedName>
    <definedName name="_xlnm.Print_Titles" localSheetId="42">'SPG9.10 (2)'!$9:$10</definedName>
    <definedName name="_xlnm.Print_Titles" localSheetId="0">Vtd.2!$6:$7</definedName>
    <definedName name="_xlnm.Print_Titles" localSheetId="32">'Vtd.7 (2)'!$6:$7</definedName>
  </definedNames>
  <calcPr calcId="145621"/>
</workbook>
</file>

<file path=xl/calcChain.xml><?xml version="1.0" encoding="utf-8"?>
<calcChain xmlns="http://schemas.openxmlformats.org/spreadsheetml/2006/main">
  <c r="AB14" i="30" l="1"/>
  <c r="AB15" i="30"/>
  <c r="AB16" i="30"/>
  <c r="AB17" i="30"/>
  <c r="AB18" i="30"/>
  <c r="AB19" i="30"/>
  <c r="AB20" i="30"/>
  <c r="AB21" i="30"/>
  <c r="AB22" i="30"/>
  <c r="AB23" i="30"/>
  <c r="AB24" i="30"/>
  <c r="AB25" i="30"/>
  <c r="AB26" i="30"/>
  <c r="AB27" i="30"/>
  <c r="AB28" i="30"/>
  <c r="AB29" i="30"/>
  <c r="AB30" i="30"/>
  <c r="AB31" i="30"/>
  <c r="AB32" i="30"/>
  <c r="AB33" i="30"/>
  <c r="R14" i="30"/>
  <c r="R15" i="30"/>
  <c r="R16" i="30"/>
  <c r="R17" i="30"/>
  <c r="R18" i="30"/>
  <c r="R19" i="30"/>
  <c r="R20" i="30"/>
  <c r="R21" i="30"/>
  <c r="R22" i="30"/>
  <c r="R23" i="30"/>
  <c r="R24" i="30"/>
  <c r="R25" i="30"/>
  <c r="R26" i="30"/>
  <c r="R27" i="30"/>
  <c r="R28" i="30"/>
  <c r="R29" i="30"/>
  <c r="R30" i="30"/>
  <c r="R31" i="30"/>
  <c r="R32" i="30"/>
  <c r="R33" i="30"/>
  <c r="R34" i="30"/>
  <c r="R35" i="30"/>
  <c r="R36" i="30"/>
  <c r="R37" i="30"/>
  <c r="R38" i="30"/>
  <c r="R39" i="30"/>
  <c r="R40" i="30"/>
  <c r="R41" i="30"/>
  <c r="R42" i="30"/>
  <c r="R43" i="30"/>
  <c r="AA77" i="46"/>
  <c r="AA78" i="46"/>
  <c r="Q77" i="46"/>
  <c r="Q78" i="46"/>
  <c r="Q79" i="46"/>
  <c r="AA16" i="37"/>
  <c r="AA17" i="37"/>
  <c r="AA18" i="37"/>
  <c r="AA19" i="37"/>
  <c r="AA20" i="37"/>
  <c r="AA21" i="37"/>
  <c r="AA22" i="37"/>
  <c r="AA23" i="37"/>
  <c r="AA24" i="37"/>
  <c r="AA25" i="37"/>
  <c r="Q16" i="37"/>
  <c r="Q17" i="37"/>
  <c r="Q18" i="37"/>
  <c r="Q19" i="37"/>
  <c r="Q20" i="37"/>
  <c r="Q21" i="37"/>
  <c r="Q22" i="37"/>
  <c r="Q23" i="37"/>
  <c r="Q24" i="37"/>
  <c r="Q25" i="37"/>
  <c r="Q26" i="37"/>
  <c r="Q27" i="37"/>
  <c r="Q28" i="37"/>
  <c r="Q29" i="37"/>
  <c r="Q30" i="37"/>
  <c r="Q31" i="37"/>
  <c r="Q32" i="37"/>
  <c r="Y41" i="94"/>
  <c r="Y42" i="94"/>
  <c r="O41" i="94"/>
  <c r="AD18" i="36"/>
  <c r="AD19" i="36"/>
  <c r="T18" i="36"/>
  <c r="T19" i="36"/>
  <c r="T20" i="36"/>
  <c r="AA51" i="45"/>
  <c r="AA52" i="45"/>
  <c r="Q51" i="45"/>
  <c r="AI17" i="59"/>
  <c r="AI18" i="59"/>
  <c r="AI19" i="59"/>
  <c r="AI20" i="59"/>
  <c r="AI21" i="59"/>
  <c r="AI22" i="59"/>
  <c r="AI23" i="59"/>
  <c r="AI24" i="59"/>
  <c r="AI25" i="59"/>
  <c r="AI26" i="59"/>
  <c r="AI27" i="59"/>
  <c r="AI28" i="59"/>
  <c r="AI29" i="59"/>
  <c r="AI30" i="59"/>
  <c r="AI31" i="59"/>
  <c r="AI32" i="59"/>
  <c r="AI33" i="59"/>
  <c r="AI34" i="59"/>
  <c r="AI35" i="59"/>
  <c r="Y17" i="59"/>
  <c r="Y18" i="59"/>
  <c r="Y19" i="59"/>
  <c r="Y20" i="59"/>
  <c r="Y21" i="59"/>
  <c r="Y22" i="59"/>
  <c r="Y23" i="59"/>
  <c r="Y24" i="59"/>
  <c r="Y25" i="59"/>
  <c r="Y26" i="59"/>
  <c r="Y27" i="59"/>
  <c r="Y28" i="59"/>
  <c r="Y29" i="59"/>
  <c r="Y30" i="59"/>
  <c r="Y31" i="59"/>
  <c r="Y32" i="59"/>
  <c r="Y33" i="59"/>
  <c r="Y34" i="59"/>
  <c r="Y35" i="59"/>
  <c r="AC41" i="99"/>
  <c r="AC42" i="99"/>
  <c r="AC43" i="99"/>
  <c r="AC44" i="99"/>
  <c r="AC45" i="99"/>
  <c r="AC46" i="99"/>
  <c r="AC47" i="99"/>
  <c r="AC48" i="99"/>
  <c r="AC49" i="99"/>
  <c r="S41" i="99"/>
  <c r="S42" i="99"/>
  <c r="S43" i="99"/>
  <c r="S44" i="99"/>
  <c r="S45" i="99"/>
  <c r="S46" i="99"/>
  <c r="S47" i="99"/>
  <c r="S48" i="99"/>
  <c r="S49" i="99"/>
  <c r="S50" i="99"/>
  <c r="S51" i="99"/>
  <c r="AE40" i="47" l="1"/>
  <c r="AE41" i="47"/>
  <c r="AE42" i="47"/>
  <c r="AE43" i="47"/>
  <c r="U40" i="47"/>
  <c r="U41" i="47"/>
  <c r="U42" i="47"/>
  <c r="U43" i="47"/>
  <c r="AB38" i="32"/>
  <c r="AB39" i="32"/>
  <c r="AB40" i="32"/>
  <c r="AB41" i="32"/>
  <c r="AB42" i="32"/>
  <c r="AB43" i="32"/>
  <c r="AB44" i="32"/>
  <c r="AB45" i="32"/>
  <c r="AB46" i="32"/>
  <c r="AB47" i="32"/>
  <c r="S38" i="32"/>
  <c r="S39" i="32"/>
  <c r="S40" i="32"/>
  <c r="S41" i="32"/>
  <c r="S42" i="32"/>
  <c r="S43" i="32"/>
  <c r="S44" i="32"/>
  <c r="S45" i="32"/>
  <c r="S46" i="32"/>
  <c r="S47" i="32"/>
  <c r="AC58" i="31"/>
  <c r="AC59" i="31"/>
  <c r="AC60" i="31"/>
  <c r="AC61" i="31"/>
  <c r="AC62" i="31"/>
  <c r="S58" i="31"/>
  <c r="S59" i="31"/>
  <c r="S60" i="31"/>
  <c r="S61" i="31"/>
  <c r="V126" i="54"/>
  <c r="AF126" i="54"/>
  <c r="V127" i="54"/>
  <c r="AF127" i="54"/>
  <c r="V128" i="54"/>
  <c r="AF128" i="54"/>
  <c r="V129" i="54"/>
  <c r="AF129" i="54"/>
  <c r="V130" i="54"/>
  <c r="AF130" i="54"/>
  <c r="V107" i="54"/>
  <c r="AA107" i="54" s="1"/>
  <c r="Z107" i="54"/>
  <c r="AF107" i="54"/>
  <c r="V108" i="54"/>
  <c r="AA108" i="54" s="1"/>
  <c r="Z108" i="54"/>
  <c r="AF108" i="54"/>
  <c r="V109" i="54"/>
  <c r="AA109" i="54" s="1"/>
  <c r="Z109" i="54"/>
  <c r="AF109" i="54"/>
  <c r="V110" i="54"/>
  <c r="AA110" i="54" s="1"/>
  <c r="Z110" i="54"/>
  <c r="AF110" i="54"/>
  <c r="V111" i="54"/>
  <c r="AA111" i="54" s="1"/>
  <c r="Z111" i="54"/>
  <c r="AF111" i="54"/>
  <c r="V112" i="54"/>
  <c r="AA112" i="54" s="1"/>
  <c r="Z112" i="54"/>
  <c r="AF112" i="54"/>
  <c r="V113" i="54"/>
  <c r="AA113" i="54" s="1"/>
  <c r="Z113" i="54"/>
  <c r="AF113" i="54"/>
  <c r="V114" i="54"/>
  <c r="AA114" i="54" s="1"/>
  <c r="Z114" i="54"/>
  <c r="AF114" i="54"/>
  <c r="V115" i="54"/>
  <c r="AA115" i="54" s="1"/>
  <c r="Z115" i="54"/>
  <c r="AF115" i="54"/>
  <c r="V116" i="54"/>
  <c r="AA116" i="54" s="1"/>
  <c r="Z116" i="54"/>
  <c r="AF116" i="54"/>
  <c r="V117" i="54"/>
  <c r="AA117" i="54" s="1"/>
  <c r="Z117" i="54"/>
  <c r="AF117" i="54"/>
  <c r="V118" i="54"/>
  <c r="AA118" i="54" s="1"/>
  <c r="Z118" i="54"/>
  <c r="AF118" i="54"/>
  <c r="V119" i="54"/>
  <c r="AA119" i="54" s="1"/>
  <c r="Z119" i="54"/>
  <c r="AF119" i="54"/>
  <c r="V120" i="54"/>
  <c r="AA120" i="54" s="1"/>
  <c r="Z120" i="54"/>
  <c r="AF120" i="54"/>
  <c r="O68" i="34"/>
  <c r="T68" i="34" s="1"/>
  <c r="S68" i="34"/>
  <c r="Y68" i="34"/>
  <c r="O69" i="34"/>
  <c r="T69" i="34" s="1"/>
  <c r="S69" i="34"/>
  <c r="Y69" i="34"/>
  <c r="O70" i="34"/>
  <c r="T70" i="34" s="1"/>
  <c r="S70" i="34"/>
  <c r="Y70" i="34"/>
  <c r="O71" i="34"/>
  <c r="T71" i="34" s="1"/>
  <c r="S71" i="34"/>
  <c r="Y71" i="34"/>
  <c r="O72" i="34"/>
  <c r="T72" i="34" s="1"/>
  <c r="S72" i="34"/>
  <c r="Y72" i="34"/>
  <c r="O73" i="34"/>
  <c r="T73" i="34" s="1"/>
  <c r="S73" i="34"/>
  <c r="Y73" i="34"/>
  <c r="O74" i="34"/>
  <c r="T74" i="34" s="1"/>
  <c r="S74" i="34"/>
  <c r="Y74" i="34"/>
  <c r="O75" i="34"/>
  <c r="T75" i="34" s="1"/>
  <c r="S75" i="34"/>
  <c r="Y75" i="34"/>
  <c r="O76" i="34"/>
  <c r="T76" i="34" s="1"/>
  <c r="S76" i="34"/>
  <c r="Y76" i="34"/>
  <c r="O77" i="34"/>
  <c r="T77" i="34" s="1"/>
  <c r="S77" i="34"/>
  <c r="Y77" i="34"/>
  <c r="O78" i="34"/>
  <c r="T78" i="34" s="1"/>
  <c r="S78" i="34"/>
  <c r="Y78" i="34"/>
  <c r="O79" i="34"/>
  <c r="T79" i="34" s="1"/>
  <c r="S79" i="34"/>
  <c r="Y79" i="34"/>
  <c r="O80" i="34"/>
  <c r="T80" i="34" s="1"/>
  <c r="S80" i="34"/>
  <c r="Y80" i="34"/>
  <c r="S80" i="33"/>
  <c r="AC80" i="33"/>
  <c r="S81" i="33"/>
  <c r="AC81" i="33"/>
  <c r="S62" i="33"/>
  <c r="AC62" i="33"/>
  <c r="S63" i="33"/>
  <c r="AC63" i="33"/>
  <c r="S64" i="33"/>
  <c r="AC64" i="33"/>
  <c r="S65" i="33"/>
  <c r="AC65" i="33"/>
  <c r="S66" i="33"/>
  <c r="AC66" i="33"/>
  <c r="S67" i="33"/>
  <c r="AC67" i="33"/>
  <c r="S68" i="33"/>
  <c r="AC68" i="33"/>
  <c r="S69" i="33"/>
  <c r="AC69" i="33"/>
  <c r="S70" i="33"/>
  <c r="AC70" i="33"/>
  <c r="S71" i="33"/>
  <c r="AC71" i="33"/>
  <c r="S72" i="33"/>
  <c r="AC72" i="33"/>
  <c r="T12" i="36" l="1"/>
  <c r="T13" i="36"/>
  <c r="T14" i="36"/>
  <c r="T15" i="36"/>
  <c r="T16" i="36"/>
  <c r="T17" i="36"/>
  <c r="T21" i="36"/>
  <c r="T11" i="36"/>
  <c r="T10" i="36"/>
  <c r="AC60" i="99" l="1"/>
  <c r="S60" i="99"/>
  <c r="AC79" i="33" l="1"/>
  <c r="S79" i="33"/>
  <c r="AC78" i="33"/>
  <c r="S78" i="33"/>
  <c r="AC56" i="99" l="1"/>
  <c r="W56" i="99"/>
  <c r="S56" i="99"/>
  <c r="X56" i="99" s="1"/>
  <c r="AC55" i="99"/>
  <c r="W55" i="99"/>
  <c r="S55" i="99"/>
  <c r="X55" i="99" s="1"/>
  <c r="AC54" i="99"/>
  <c r="W54" i="99"/>
  <c r="S54" i="99"/>
  <c r="X54" i="99" s="1"/>
  <c r="AI90" i="59"/>
  <c r="Y90" i="59"/>
  <c r="AI133" i="59"/>
  <c r="Y133" i="59"/>
  <c r="AI89" i="59"/>
  <c r="Y89" i="59"/>
  <c r="AI88" i="59"/>
  <c r="Y88" i="59"/>
  <c r="AI87" i="59"/>
  <c r="Y87" i="59"/>
  <c r="AI86" i="59"/>
  <c r="Y86" i="59"/>
  <c r="AI85" i="59"/>
  <c r="Y85" i="59"/>
  <c r="AI84" i="59"/>
  <c r="Y84" i="59"/>
  <c r="AI83" i="59"/>
  <c r="Y83" i="59"/>
  <c r="AI82" i="59"/>
  <c r="Y82" i="59"/>
  <c r="AI81" i="59"/>
  <c r="Y81" i="59"/>
  <c r="AI80" i="59"/>
  <c r="Y80" i="59"/>
  <c r="O12" i="100" l="1"/>
  <c r="O13" i="100"/>
  <c r="O14" i="100"/>
  <c r="O15" i="100"/>
  <c r="O16" i="100"/>
  <c r="O17" i="100"/>
  <c r="O11" i="100"/>
  <c r="O10" i="100"/>
  <c r="T10" i="100" s="1"/>
  <c r="Y17" i="100"/>
  <c r="Y16" i="100"/>
  <c r="Y15" i="100"/>
  <c r="Y14" i="100"/>
  <c r="S14" i="100"/>
  <c r="Y13" i="100"/>
  <c r="S13" i="100"/>
  <c r="Y12" i="100"/>
  <c r="S12" i="100"/>
  <c r="Y11" i="100"/>
  <c r="S11" i="100"/>
  <c r="Y10" i="100"/>
  <c r="S10" i="100"/>
  <c r="T13" i="100" l="1"/>
  <c r="T14" i="100"/>
  <c r="T11" i="100"/>
  <c r="T12" i="100"/>
  <c r="Y10" i="59"/>
  <c r="Y11" i="59"/>
  <c r="Y12" i="59"/>
  <c r="Y13" i="59"/>
  <c r="Y14" i="59"/>
  <c r="Y15" i="59"/>
  <c r="Y16" i="59"/>
  <c r="Y130" i="59"/>
  <c r="Y36" i="59"/>
  <c r="Y37" i="59"/>
  <c r="Y38" i="59"/>
  <c r="Y39" i="59"/>
  <c r="Y40" i="59"/>
  <c r="Y41" i="59"/>
  <c r="Y131" i="59"/>
  <c r="Y42" i="59"/>
  <c r="Y43" i="59"/>
  <c r="Y44" i="59"/>
  <c r="Y45" i="59"/>
  <c r="Y46" i="59"/>
  <c r="Y47" i="59"/>
  <c r="Y48" i="59"/>
  <c r="Y49" i="59"/>
  <c r="Y50" i="59"/>
  <c r="Y51" i="59"/>
  <c r="Y52" i="59"/>
  <c r="Y53" i="59"/>
  <c r="Y54" i="59"/>
  <c r="Y55" i="59"/>
  <c r="Y56" i="59"/>
  <c r="Y57" i="59"/>
  <c r="Y58" i="59"/>
  <c r="Y59" i="59"/>
  <c r="Y60" i="59"/>
  <c r="Y61" i="59"/>
  <c r="Y62" i="59"/>
  <c r="Y63" i="59"/>
  <c r="Y64" i="59"/>
  <c r="Y65" i="59"/>
  <c r="Y66" i="59"/>
  <c r="Y67" i="59"/>
  <c r="Y68" i="59"/>
  <c r="Y69" i="59"/>
  <c r="Y132" i="59"/>
  <c r="Y70" i="59"/>
  <c r="Y71" i="59"/>
  <c r="Y72" i="59"/>
  <c r="Y73" i="59"/>
  <c r="Y74" i="59"/>
  <c r="Y75" i="59"/>
  <c r="Y76" i="59"/>
  <c r="Y77" i="59"/>
  <c r="Y78" i="59"/>
  <c r="Y79" i="59"/>
  <c r="Y91" i="59"/>
  <c r="Y92" i="59"/>
  <c r="Y93" i="59"/>
  <c r="Y94" i="59"/>
  <c r="Y95" i="59"/>
  <c r="Y96" i="59"/>
  <c r="Y97" i="59"/>
  <c r="Y98" i="59"/>
  <c r="Y134" i="59"/>
  <c r="Y99" i="59"/>
  <c r="Y100" i="59"/>
  <c r="Y101" i="59"/>
  <c r="Y102" i="59"/>
  <c r="Y9" i="59"/>
  <c r="Y8" i="59"/>
  <c r="AF82" i="54" l="1"/>
  <c r="V10" i="41" l="1"/>
  <c r="V11" i="41"/>
  <c r="V12" i="41"/>
  <c r="V13" i="41"/>
  <c r="V14" i="41"/>
  <c r="V15" i="41"/>
  <c r="V16" i="41"/>
  <c r="V17" i="41"/>
  <c r="V18" i="41"/>
  <c r="V19" i="41"/>
  <c r="V20" i="41"/>
  <c r="V21" i="41"/>
  <c r="V22" i="41"/>
  <c r="V23" i="41"/>
  <c r="V24" i="41"/>
  <c r="V25" i="41"/>
  <c r="V26" i="41"/>
  <c r="V27" i="41"/>
  <c r="V28" i="41"/>
  <c r="V29" i="41"/>
  <c r="V30" i="41"/>
  <c r="V31" i="41"/>
  <c r="V32" i="41"/>
  <c r="V33" i="41"/>
  <c r="V34" i="41"/>
  <c r="V35" i="41"/>
  <c r="V36" i="41"/>
  <c r="V37" i="41"/>
  <c r="V38" i="41"/>
  <c r="V39" i="41"/>
  <c r="V40" i="41"/>
  <c r="V41" i="41"/>
  <c r="V42" i="41"/>
  <c r="V43" i="41"/>
  <c r="V44" i="41"/>
  <c r="V45" i="41"/>
  <c r="V46" i="41"/>
  <c r="V47" i="41"/>
  <c r="V48" i="41"/>
  <c r="V49" i="41"/>
  <c r="V50" i="41"/>
  <c r="V51" i="41"/>
  <c r="V52" i="41"/>
  <c r="V53" i="41"/>
  <c r="V9" i="41"/>
  <c r="V8" i="41"/>
  <c r="Q10" i="37" l="1"/>
  <c r="Q11" i="37"/>
  <c r="Q12" i="37"/>
  <c r="Q13" i="37"/>
  <c r="Q14" i="37"/>
  <c r="Q15" i="37"/>
  <c r="Q33" i="37"/>
  <c r="Q34" i="37"/>
  <c r="Q35" i="37"/>
  <c r="Q36" i="37"/>
  <c r="Q37" i="37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9" i="37"/>
  <c r="Q8" i="37"/>
  <c r="S11" i="99" l="1"/>
  <c r="S12" i="99"/>
  <c r="S13" i="99"/>
  <c r="S14" i="99"/>
  <c r="S15" i="99"/>
  <c r="S16" i="99"/>
  <c r="S17" i="99"/>
  <c r="S18" i="99"/>
  <c r="S19" i="99"/>
  <c r="S20" i="99"/>
  <c r="S21" i="99"/>
  <c r="S22" i="99"/>
  <c r="S23" i="99"/>
  <c r="S24" i="99"/>
  <c r="S25" i="99"/>
  <c r="S26" i="99"/>
  <c r="S27" i="99"/>
  <c r="S28" i="99"/>
  <c r="S29" i="99"/>
  <c r="S30" i="99"/>
  <c r="S31" i="99"/>
  <c r="S32" i="99"/>
  <c r="S33" i="99"/>
  <c r="S34" i="99"/>
  <c r="S35" i="99"/>
  <c r="S36" i="99"/>
  <c r="S37" i="99"/>
  <c r="S38" i="99"/>
  <c r="S39" i="99"/>
  <c r="S40" i="99"/>
  <c r="S52" i="99"/>
  <c r="S53" i="99"/>
  <c r="S57" i="99"/>
  <c r="S58" i="99"/>
  <c r="S59" i="99"/>
  <c r="S10" i="99"/>
  <c r="S9" i="99"/>
  <c r="U11" i="47"/>
  <c r="U12" i="47"/>
  <c r="U13" i="47"/>
  <c r="U14" i="47"/>
  <c r="U15" i="47"/>
  <c r="U16" i="47"/>
  <c r="U17" i="47"/>
  <c r="U18" i="47"/>
  <c r="U19" i="47"/>
  <c r="U20" i="47"/>
  <c r="U21" i="47"/>
  <c r="U22" i="47"/>
  <c r="U23" i="47"/>
  <c r="U24" i="47"/>
  <c r="U25" i="47"/>
  <c r="U26" i="47"/>
  <c r="U27" i="47"/>
  <c r="U28" i="47"/>
  <c r="U29" i="47"/>
  <c r="U30" i="47"/>
  <c r="U31" i="47"/>
  <c r="U32" i="47"/>
  <c r="U33" i="47"/>
  <c r="U34" i="47"/>
  <c r="U35" i="47"/>
  <c r="U36" i="47"/>
  <c r="U37" i="47"/>
  <c r="U38" i="47"/>
  <c r="U39" i="47"/>
  <c r="U44" i="47"/>
  <c r="U45" i="47"/>
  <c r="U46" i="47"/>
  <c r="U47" i="47"/>
  <c r="U10" i="47"/>
  <c r="U9" i="47"/>
  <c r="V7" i="63"/>
  <c r="V8" i="63"/>
  <c r="V9" i="63"/>
  <c r="V10" i="63"/>
  <c r="V11" i="63"/>
  <c r="V12" i="63"/>
  <c r="V13" i="63"/>
  <c r="V14" i="63"/>
  <c r="V15" i="63"/>
  <c r="V16" i="63"/>
  <c r="V17" i="63"/>
  <c r="V18" i="63"/>
  <c r="V19" i="63"/>
  <c r="V20" i="63"/>
  <c r="V21" i="63"/>
  <c r="V22" i="63"/>
  <c r="V23" i="63"/>
  <c r="V24" i="63"/>
  <c r="V25" i="63"/>
  <c r="V26" i="63"/>
  <c r="V27" i="63"/>
  <c r="V28" i="63"/>
  <c r="V29" i="63"/>
  <c r="V30" i="63"/>
  <c r="V31" i="63"/>
  <c r="V32" i="63"/>
  <c r="V33" i="63"/>
  <c r="V34" i="63"/>
  <c r="V35" i="63"/>
  <c r="V36" i="63"/>
  <c r="V37" i="63"/>
  <c r="V38" i="63"/>
  <c r="V39" i="63"/>
  <c r="V40" i="63"/>
  <c r="V41" i="63"/>
  <c r="V42" i="63"/>
  <c r="V43" i="63"/>
  <c r="V44" i="63"/>
  <c r="V45" i="63"/>
  <c r="V46" i="63"/>
  <c r="V47" i="63"/>
  <c r="V48" i="63"/>
  <c r="V49" i="63"/>
  <c r="V50" i="63"/>
  <c r="V51" i="63"/>
  <c r="V52" i="63"/>
  <c r="V53" i="63"/>
  <c r="V54" i="63"/>
  <c r="V55" i="63"/>
  <c r="V56" i="63"/>
  <c r="V57" i="63"/>
  <c r="V58" i="63"/>
  <c r="V59" i="63"/>
  <c r="V60" i="63"/>
  <c r="V61" i="63"/>
  <c r="V62" i="63"/>
  <c r="V63" i="63"/>
  <c r="V64" i="63"/>
  <c r="V65" i="63"/>
  <c r="V66" i="63"/>
  <c r="V67" i="63"/>
  <c r="V68" i="63"/>
  <c r="V69" i="63"/>
  <c r="V70" i="63"/>
  <c r="V71" i="63"/>
  <c r="V72" i="63"/>
  <c r="V73" i="63"/>
  <c r="V74" i="63"/>
  <c r="V75" i="63"/>
  <c r="V76" i="63"/>
  <c r="V77" i="63"/>
  <c r="V78" i="63"/>
  <c r="V79" i="63"/>
  <c r="V80" i="63"/>
  <c r="V81" i="63"/>
  <c r="V82" i="63"/>
  <c r="V83" i="63"/>
  <c r="V84" i="63"/>
  <c r="V85" i="63"/>
  <c r="V86" i="63"/>
  <c r="V87" i="63"/>
  <c r="V88" i="63"/>
  <c r="V89" i="63"/>
  <c r="V90" i="63"/>
  <c r="V91" i="63"/>
  <c r="V92" i="63"/>
  <c r="V93" i="63"/>
  <c r="V94" i="63"/>
  <c r="V95" i="63"/>
  <c r="V96" i="63"/>
  <c r="V97" i="63"/>
  <c r="V98" i="63"/>
  <c r="V99" i="63"/>
  <c r="V100" i="63"/>
  <c r="V101" i="63"/>
  <c r="V102" i="63"/>
  <c r="V103" i="63"/>
  <c r="V104" i="63"/>
  <c r="V105" i="63"/>
  <c r="V106" i="63"/>
  <c r="V107" i="63"/>
  <c r="V108" i="63"/>
  <c r="V109" i="63"/>
  <c r="V110" i="63"/>
  <c r="V111" i="63"/>
  <c r="V112" i="63"/>
  <c r="V113" i="63"/>
  <c r="V114" i="63"/>
  <c r="V115" i="63"/>
  <c r="V116" i="63"/>
  <c r="V117" i="63"/>
  <c r="V118" i="63"/>
  <c r="AC59" i="99"/>
  <c r="W59" i="99"/>
  <c r="AC58" i="99"/>
  <c r="W58" i="99"/>
  <c r="AC57" i="99"/>
  <c r="W57" i="99"/>
  <c r="AC53" i="99"/>
  <c r="W53" i="99"/>
  <c r="AC52" i="99"/>
  <c r="W52" i="99"/>
  <c r="AC51" i="99"/>
  <c r="W51" i="99"/>
  <c r="AC50" i="99"/>
  <c r="W50" i="99"/>
  <c r="AC40" i="99"/>
  <c r="W40" i="99"/>
  <c r="AC39" i="99"/>
  <c r="AC38" i="99"/>
  <c r="AC37" i="99"/>
  <c r="AC36" i="99"/>
  <c r="AC35" i="99"/>
  <c r="AC34" i="99"/>
  <c r="AC33" i="99"/>
  <c r="W33" i="99"/>
  <c r="AC32" i="99"/>
  <c r="W32" i="99"/>
  <c r="X32" i="99" s="1"/>
  <c r="AC31" i="99"/>
  <c r="AC30" i="99"/>
  <c r="W30" i="99"/>
  <c r="AC29" i="99"/>
  <c r="AC28" i="99"/>
  <c r="AC27" i="99"/>
  <c r="AC26" i="99"/>
  <c r="AC25" i="99"/>
  <c r="AC24" i="99"/>
  <c r="AC23" i="99"/>
  <c r="AC22" i="99"/>
  <c r="AC21" i="99"/>
  <c r="AC20" i="99"/>
  <c r="AC19" i="99"/>
  <c r="AC18" i="99"/>
  <c r="AC17" i="99"/>
  <c r="AC16" i="99"/>
  <c r="AC15" i="99"/>
  <c r="AC14" i="99"/>
  <c r="AC13" i="99"/>
  <c r="AC12" i="99"/>
  <c r="AC11" i="99"/>
  <c r="W11" i="99"/>
  <c r="AC10" i="99"/>
  <c r="W10" i="99"/>
  <c r="AC9" i="99"/>
  <c r="W9" i="99"/>
  <c r="AE34" i="47"/>
  <c r="AE35" i="47"/>
  <c r="AE36" i="47"/>
  <c r="AE37" i="47"/>
  <c r="AE38" i="47"/>
  <c r="AE39" i="47"/>
  <c r="AE44" i="47"/>
  <c r="AB29" i="98"/>
  <c r="AB30" i="98"/>
  <c r="AB31" i="98"/>
  <c r="AB32" i="98"/>
  <c r="AB33" i="98"/>
  <c r="AB34" i="98"/>
  <c r="AB35" i="98"/>
  <c r="AB36" i="98"/>
  <c r="AB37" i="98"/>
  <c r="AB38" i="98"/>
  <c r="AB39" i="98"/>
  <c r="AB40" i="98"/>
  <c r="AB41" i="98"/>
  <c r="AB42" i="98"/>
  <c r="AB43" i="98"/>
  <c r="AB44" i="98"/>
  <c r="AB45" i="98"/>
  <c r="AB46" i="98"/>
  <c r="AB47" i="98"/>
  <c r="AB48" i="98"/>
  <c r="AB49" i="98"/>
  <c r="AB50" i="98"/>
  <c r="R13" i="98"/>
  <c r="R14" i="98"/>
  <c r="R15" i="98"/>
  <c r="R16" i="98"/>
  <c r="R17" i="98"/>
  <c r="R18" i="98"/>
  <c r="R19" i="98"/>
  <c r="R20" i="98"/>
  <c r="R21" i="98"/>
  <c r="R22" i="98"/>
  <c r="R23" i="98"/>
  <c r="R24" i="98"/>
  <c r="R25" i="98"/>
  <c r="R26" i="98"/>
  <c r="R27" i="98"/>
  <c r="R28" i="98"/>
  <c r="R29" i="98"/>
  <c r="R30" i="98"/>
  <c r="R31" i="98"/>
  <c r="R32" i="98"/>
  <c r="R33" i="98"/>
  <c r="R34" i="98"/>
  <c r="R35" i="98"/>
  <c r="R36" i="98"/>
  <c r="R37" i="98"/>
  <c r="R38" i="98"/>
  <c r="R39" i="98"/>
  <c r="R40" i="98"/>
  <c r="R41" i="98"/>
  <c r="R42" i="98"/>
  <c r="R43" i="98"/>
  <c r="R44" i="98"/>
  <c r="R45" i="98"/>
  <c r="R46" i="98"/>
  <c r="R47" i="98"/>
  <c r="R48" i="98"/>
  <c r="R49" i="98"/>
  <c r="R50" i="98"/>
  <c r="W50" i="98" s="1"/>
  <c r="V50" i="98"/>
  <c r="V49" i="98"/>
  <c r="V48" i="98"/>
  <c r="V47" i="98"/>
  <c r="V46" i="98"/>
  <c r="V44" i="98"/>
  <c r="AB28" i="98"/>
  <c r="AB27" i="98"/>
  <c r="AB26" i="98"/>
  <c r="AB25" i="98"/>
  <c r="AB24" i="98"/>
  <c r="AB23" i="98"/>
  <c r="AB22" i="98"/>
  <c r="AB21" i="98"/>
  <c r="AB20" i="98"/>
  <c r="AB19" i="98"/>
  <c r="AB18" i="98"/>
  <c r="AB17" i="98"/>
  <c r="AB16" i="98"/>
  <c r="AB15" i="98"/>
  <c r="AB14" i="98"/>
  <c r="AB13" i="98"/>
  <c r="AB12" i="98"/>
  <c r="R12" i="98"/>
  <c r="AB11" i="98"/>
  <c r="V11" i="98"/>
  <c r="R11" i="98"/>
  <c r="AB10" i="98"/>
  <c r="V10" i="98"/>
  <c r="R10" i="98"/>
  <c r="AB9" i="98"/>
  <c r="V9" i="98"/>
  <c r="R9" i="98"/>
  <c r="AA13" i="46"/>
  <c r="AA14" i="46"/>
  <c r="AA15" i="46"/>
  <c r="AA16" i="46"/>
  <c r="AA17" i="46"/>
  <c r="AA18" i="46"/>
  <c r="AA19" i="46"/>
  <c r="AA20" i="46"/>
  <c r="AA21" i="46"/>
  <c r="AA22" i="46"/>
  <c r="AA23" i="46"/>
  <c r="AA24" i="46"/>
  <c r="AA25" i="46"/>
  <c r="AA26" i="46"/>
  <c r="AA27" i="46"/>
  <c r="AA28" i="46"/>
  <c r="AA29" i="46"/>
  <c r="Q13" i="46"/>
  <c r="Q14" i="46"/>
  <c r="Q15" i="46"/>
  <c r="Q16" i="46"/>
  <c r="Q17" i="46"/>
  <c r="Q18" i="46"/>
  <c r="Q19" i="46"/>
  <c r="Q20" i="46"/>
  <c r="Q21" i="46"/>
  <c r="Q22" i="46"/>
  <c r="Q23" i="46"/>
  <c r="Q24" i="46"/>
  <c r="Q25" i="46"/>
  <c r="W48" i="98" l="1"/>
  <c r="W46" i="98"/>
  <c r="X51" i="99"/>
  <c r="X57" i="99"/>
  <c r="W47" i="98"/>
  <c r="W49" i="98"/>
  <c r="W11" i="98"/>
  <c r="X30" i="99"/>
  <c r="W9" i="98"/>
  <c r="X58" i="99"/>
  <c r="X10" i="99"/>
  <c r="X9" i="99"/>
  <c r="X11" i="99"/>
  <c r="X50" i="99"/>
  <c r="X40" i="99"/>
  <c r="X53" i="99"/>
  <c r="X33" i="99"/>
  <c r="X52" i="99"/>
  <c r="X59" i="99"/>
  <c r="W44" i="98"/>
  <c r="W10" i="98"/>
  <c r="Y51" i="34" l="1"/>
  <c r="Y52" i="34"/>
  <c r="Y53" i="34"/>
  <c r="Y54" i="34"/>
  <c r="Y55" i="34"/>
  <c r="Y56" i="34"/>
  <c r="Y57" i="34"/>
  <c r="Y58" i="34"/>
  <c r="Y59" i="34"/>
  <c r="Y60" i="34"/>
  <c r="Y61" i="34"/>
  <c r="Y62" i="34"/>
  <c r="Y63" i="34"/>
  <c r="Y64" i="34"/>
  <c r="Y65" i="34"/>
  <c r="Y66" i="34"/>
  <c r="Y67" i="34"/>
  <c r="Y81" i="34"/>
  <c r="Y82" i="34"/>
  <c r="Y83" i="34"/>
  <c r="Y84" i="34"/>
  <c r="Y85" i="34"/>
  <c r="Y86" i="34"/>
  <c r="Y87" i="34"/>
  <c r="Y88" i="34"/>
  <c r="Y89" i="34"/>
  <c r="Y90" i="34"/>
  <c r="O51" i="34"/>
  <c r="O52" i="34"/>
  <c r="O53" i="34"/>
  <c r="O54" i="34"/>
  <c r="O55" i="34"/>
  <c r="O56" i="34"/>
  <c r="O57" i="34"/>
  <c r="O58" i="34"/>
  <c r="O59" i="34"/>
  <c r="O60" i="34"/>
  <c r="O61" i="34"/>
  <c r="O62" i="34"/>
  <c r="O63" i="34"/>
  <c r="O64" i="34"/>
  <c r="O65" i="34"/>
  <c r="O66" i="34"/>
  <c r="O67" i="34"/>
  <c r="O81" i="34"/>
  <c r="O82" i="34"/>
  <c r="O83" i="34"/>
  <c r="O84" i="34"/>
  <c r="O85" i="34"/>
  <c r="O86" i="34"/>
  <c r="O87" i="34"/>
  <c r="O88" i="34"/>
  <c r="O89" i="34"/>
  <c r="O90" i="34"/>
  <c r="AB54" i="32"/>
  <c r="AB55" i="32"/>
  <c r="AB56" i="32"/>
  <c r="AB57" i="32"/>
  <c r="AB58" i="32"/>
  <c r="AB59" i="32"/>
  <c r="AB60" i="32"/>
  <c r="AB61" i="32"/>
  <c r="AB62" i="32"/>
  <c r="AB63" i="32"/>
  <c r="AB64" i="32"/>
  <c r="AB65" i="32"/>
  <c r="S18" i="32"/>
  <c r="S19" i="32"/>
  <c r="S20" i="32"/>
  <c r="S21" i="32"/>
  <c r="S22" i="32"/>
  <c r="S23" i="32"/>
  <c r="S24" i="32"/>
  <c r="S25" i="32"/>
  <c r="S26" i="32"/>
  <c r="S27" i="32"/>
  <c r="S28" i="32"/>
  <c r="S29" i="32"/>
  <c r="S30" i="32"/>
  <c r="S31" i="32"/>
  <c r="S32" i="32"/>
  <c r="S33" i="32"/>
  <c r="S34" i="32"/>
  <c r="S35" i="32"/>
  <c r="S36" i="32"/>
  <c r="S37" i="32"/>
  <c r="S48" i="32"/>
  <c r="S49" i="32"/>
  <c r="S50" i="32"/>
  <c r="S51" i="32"/>
  <c r="S52" i="32"/>
  <c r="S53" i="32"/>
  <c r="S54" i="32"/>
  <c r="S55" i="32"/>
  <c r="S56" i="32"/>
  <c r="S57" i="32"/>
  <c r="S58" i="32"/>
  <c r="S59" i="32"/>
  <c r="S60" i="32"/>
  <c r="S61" i="32"/>
  <c r="S62" i="32"/>
  <c r="S63" i="32"/>
  <c r="S64" i="32"/>
  <c r="S65" i="32"/>
  <c r="S66" i="32"/>
  <c r="AC43" i="31"/>
  <c r="AC44" i="31"/>
  <c r="AC45" i="31"/>
  <c r="AC46" i="31"/>
  <c r="AC47" i="31"/>
  <c r="AC48" i="31"/>
  <c r="AC49" i="31"/>
  <c r="AC50" i="31"/>
  <c r="AC51" i="31"/>
  <c r="AC52" i="31"/>
  <c r="AC53" i="31"/>
  <c r="AC54" i="31"/>
  <c r="AC55" i="31"/>
  <c r="AC56" i="31"/>
  <c r="AC57" i="31"/>
  <c r="AC63" i="31"/>
  <c r="S43" i="31"/>
  <c r="S44" i="31"/>
  <c r="S45" i="31"/>
  <c r="S46" i="31"/>
  <c r="S47" i="31"/>
  <c r="S48" i="31"/>
  <c r="S49" i="31"/>
  <c r="S50" i="31"/>
  <c r="S51" i="31"/>
  <c r="S52" i="31"/>
  <c r="S53" i="31"/>
  <c r="S54" i="31"/>
  <c r="S55" i="31"/>
  <c r="S56" i="31"/>
  <c r="S57" i="31"/>
  <c r="AF116" i="63"/>
  <c r="AF117" i="63"/>
  <c r="AF87" i="63"/>
  <c r="AF88" i="63"/>
  <c r="AF40" i="63"/>
  <c r="AF41" i="63"/>
  <c r="AF42" i="63"/>
  <c r="AF43" i="63"/>
  <c r="AF44" i="63"/>
  <c r="AF45" i="63"/>
  <c r="AF46" i="63"/>
  <c r="AF47" i="63"/>
  <c r="AF48" i="63"/>
  <c r="AF49" i="63"/>
  <c r="AF50" i="63"/>
  <c r="AF51" i="63"/>
  <c r="AF52" i="63"/>
  <c r="AF53" i="63"/>
  <c r="AF16" i="63"/>
  <c r="AF17" i="63"/>
  <c r="AF18" i="63"/>
  <c r="AF19" i="63"/>
  <c r="AF20" i="63"/>
  <c r="AF21" i="63"/>
  <c r="AF22" i="63"/>
  <c r="AF23" i="63"/>
  <c r="AF24" i="63"/>
  <c r="AF25" i="63"/>
  <c r="AF26" i="63"/>
  <c r="AF27" i="63"/>
  <c r="AF28" i="63"/>
  <c r="AF29" i="63"/>
  <c r="AF30" i="63"/>
  <c r="AF31" i="63"/>
  <c r="AF32" i="63"/>
  <c r="AF33" i="63"/>
  <c r="AF34" i="63"/>
  <c r="AF35" i="63"/>
  <c r="AF36" i="63"/>
  <c r="AF37" i="63"/>
  <c r="AF38" i="63"/>
  <c r="AF39" i="63"/>
  <c r="AF105" i="54"/>
  <c r="AF121" i="54"/>
  <c r="AF122" i="54"/>
  <c r="AF123" i="54"/>
  <c r="AF124" i="54"/>
  <c r="AF125" i="54"/>
  <c r="AF131" i="54"/>
  <c r="AF132" i="54"/>
  <c r="V105" i="54"/>
  <c r="V121" i="54"/>
  <c r="V122" i="54"/>
  <c r="V123" i="54"/>
  <c r="V124" i="54"/>
  <c r="V125" i="54"/>
  <c r="V131" i="54"/>
  <c r="V132" i="54"/>
  <c r="V11" i="54" l="1"/>
  <c r="V12" i="54"/>
  <c r="V13" i="54"/>
  <c r="V14" i="54"/>
  <c r="V15" i="54"/>
  <c r="V16" i="54"/>
  <c r="V17" i="54"/>
  <c r="V18" i="54"/>
  <c r="V19" i="54"/>
  <c r="V20" i="54"/>
  <c r="V21" i="54"/>
  <c r="V22" i="54"/>
  <c r="V23" i="54"/>
  <c r="V24" i="54"/>
  <c r="V25" i="54"/>
  <c r="V26" i="54"/>
  <c r="V27" i="54"/>
  <c r="V28" i="54"/>
  <c r="V29" i="54"/>
  <c r="V30" i="54"/>
  <c r="V31" i="54"/>
  <c r="V32" i="54"/>
  <c r="V33" i="54"/>
  <c r="V34" i="54"/>
  <c r="V35" i="54"/>
  <c r="V36" i="54"/>
  <c r="V37" i="54"/>
  <c r="V38" i="54"/>
  <c r="V39" i="54"/>
  <c r="V40" i="54"/>
  <c r="V41" i="54"/>
  <c r="V42" i="54"/>
  <c r="V43" i="54"/>
  <c r="V44" i="54"/>
  <c r="V45" i="54"/>
  <c r="V46" i="54"/>
  <c r="V47" i="54"/>
  <c r="V48" i="54"/>
  <c r="V49" i="54"/>
  <c r="V50" i="54"/>
  <c r="V51" i="54"/>
  <c r="V52" i="54"/>
  <c r="V53" i="54"/>
  <c r="V54" i="54"/>
  <c r="V55" i="54"/>
  <c r="V56" i="54"/>
  <c r="V57" i="54"/>
  <c r="V58" i="54"/>
  <c r="V59" i="54"/>
  <c r="V60" i="54"/>
  <c r="V61" i="54"/>
  <c r="V62" i="54"/>
  <c r="V63" i="54"/>
  <c r="V64" i="54"/>
  <c r="V65" i="54"/>
  <c r="V66" i="54"/>
  <c r="V67" i="54"/>
  <c r="V68" i="54"/>
  <c r="V69" i="54"/>
  <c r="V70" i="54"/>
  <c r="V71" i="54"/>
  <c r="V72" i="54"/>
  <c r="V73" i="54"/>
  <c r="V74" i="54"/>
  <c r="V75" i="54"/>
  <c r="V76" i="54"/>
  <c r="V77" i="54"/>
  <c r="V78" i="54"/>
  <c r="V79" i="54"/>
  <c r="V80" i="54"/>
  <c r="V81" i="54"/>
  <c r="V82" i="54"/>
  <c r="V106" i="54"/>
  <c r="V83" i="54"/>
  <c r="V84" i="54"/>
  <c r="V85" i="54"/>
  <c r="V86" i="54"/>
  <c r="V87" i="54"/>
  <c r="V88" i="54"/>
  <c r="V89" i="54"/>
  <c r="V90" i="54"/>
  <c r="V91" i="54"/>
  <c r="V92" i="54"/>
  <c r="V93" i="54"/>
  <c r="V94" i="54"/>
  <c r="V95" i="54"/>
  <c r="V96" i="54"/>
  <c r="V97" i="54"/>
  <c r="V98" i="54"/>
  <c r="V99" i="54"/>
  <c r="V100" i="54"/>
  <c r="V101" i="54"/>
  <c r="V102" i="54"/>
  <c r="V103" i="54"/>
  <c r="V104" i="54"/>
  <c r="V133" i="54"/>
  <c r="V134" i="54"/>
  <c r="V135" i="54"/>
  <c r="V136" i="54"/>
  <c r="V137" i="54"/>
  <c r="V138" i="54"/>
  <c r="V139" i="54"/>
  <c r="V10" i="54"/>
  <c r="V9" i="54"/>
  <c r="K16" i="48" l="1"/>
  <c r="AF39" i="54" l="1"/>
  <c r="AI73" i="59" l="1"/>
  <c r="AI74" i="59"/>
  <c r="AI75" i="59"/>
  <c r="AI76" i="59"/>
  <c r="AI77" i="59"/>
  <c r="AI78" i="59"/>
  <c r="AI79" i="59"/>
  <c r="AI91" i="59"/>
  <c r="AI92" i="59"/>
  <c r="AI93" i="59"/>
  <c r="AI94" i="59"/>
  <c r="AI95" i="59"/>
  <c r="AI96" i="59"/>
  <c r="AI97" i="59"/>
  <c r="AI98" i="59"/>
  <c r="AI134" i="59"/>
  <c r="AI99" i="59"/>
  <c r="AF14" i="63"/>
  <c r="AF15" i="63"/>
  <c r="AF54" i="63"/>
  <c r="AF55" i="63"/>
  <c r="AF56" i="63"/>
  <c r="AF57" i="63"/>
  <c r="AF58" i="63"/>
  <c r="AF59" i="63"/>
  <c r="AF60" i="63"/>
  <c r="AF61" i="63"/>
  <c r="AF62" i="63"/>
  <c r="AF63" i="63"/>
  <c r="AF64" i="63"/>
  <c r="AF65" i="63"/>
  <c r="AF66" i="63"/>
  <c r="AF67" i="63"/>
  <c r="AF68" i="63"/>
  <c r="AF69" i="63"/>
  <c r="AF70" i="63"/>
  <c r="AF71" i="63"/>
  <c r="AF72" i="63"/>
  <c r="AF73" i="63"/>
  <c r="AF74" i="63"/>
  <c r="AF75" i="63"/>
  <c r="AF76" i="63"/>
  <c r="AF77" i="63"/>
  <c r="AF78" i="63"/>
  <c r="AF79" i="63"/>
  <c r="AF80" i="63"/>
  <c r="AF81" i="63"/>
  <c r="AF82" i="63"/>
  <c r="AF83" i="63"/>
  <c r="AF84" i="63"/>
  <c r="AF85" i="63"/>
  <c r="AF86" i="63"/>
  <c r="AF89" i="63"/>
  <c r="AF90" i="63"/>
  <c r="AF91" i="63"/>
  <c r="AF92" i="63"/>
  <c r="AF93" i="63"/>
  <c r="AF94" i="63"/>
  <c r="AF95" i="63"/>
  <c r="AF96" i="63"/>
  <c r="AF97" i="63"/>
  <c r="AF14" i="54"/>
  <c r="AF15" i="54"/>
  <c r="AF16" i="54"/>
  <c r="AF17" i="54"/>
  <c r="AF18" i="54"/>
  <c r="AF19" i="54"/>
  <c r="AF20" i="54"/>
  <c r="AF21" i="54"/>
  <c r="AF22" i="54"/>
  <c r="AF23" i="54"/>
  <c r="AF24" i="54"/>
  <c r="AF25" i="54"/>
  <c r="AF26" i="54"/>
  <c r="AF27" i="54"/>
  <c r="AF28" i="54"/>
  <c r="AF29" i="54"/>
  <c r="AF30" i="54"/>
  <c r="AF31" i="54"/>
  <c r="AF32" i="54"/>
  <c r="AF33" i="54"/>
  <c r="AF34" i="54"/>
  <c r="AF35" i="54"/>
  <c r="AF36" i="54"/>
  <c r="AF37" i="54"/>
  <c r="AF38" i="54"/>
  <c r="AF40" i="54"/>
  <c r="AF41" i="54"/>
  <c r="AF42" i="54"/>
  <c r="AF43" i="54"/>
  <c r="AF44" i="54"/>
  <c r="AF45" i="54"/>
  <c r="AF46" i="54"/>
  <c r="AF47" i="54"/>
  <c r="AF48" i="54"/>
  <c r="AF49" i="54"/>
  <c r="AF50" i="54"/>
  <c r="AF51" i="54"/>
  <c r="AF52" i="54"/>
  <c r="AF53" i="54"/>
  <c r="AF54" i="54"/>
  <c r="AF55" i="54"/>
  <c r="AF56" i="54"/>
  <c r="AF57" i="54"/>
  <c r="AF58" i="54"/>
  <c r="AF59" i="54"/>
  <c r="AF60" i="54"/>
  <c r="AF61" i="54"/>
  <c r="AF62" i="54"/>
  <c r="AF63" i="54"/>
  <c r="AF64" i="54"/>
  <c r="AF65" i="54"/>
  <c r="AF66" i="54"/>
  <c r="AF67" i="54"/>
  <c r="AF68" i="54"/>
  <c r="AF69" i="54"/>
  <c r="AF70" i="54"/>
  <c r="AF71" i="54"/>
  <c r="AF72" i="54"/>
  <c r="AF73" i="54"/>
  <c r="AF74" i="54"/>
  <c r="AF75" i="54"/>
  <c r="AF76" i="54"/>
  <c r="AF77" i="54"/>
  <c r="AF78" i="54"/>
  <c r="AF79" i="54"/>
  <c r="AF80" i="54"/>
  <c r="AF81" i="54"/>
  <c r="AF106" i="54"/>
  <c r="AF83" i="54"/>
  <c r="AF84" i="54"/>
  <c r="AF179" i="54"/>
  <c r="AF85" i="54"/>
  <c r="AF86" i="54"/>
  <c r="AF87" i="54"/>
  <c r="AF88" i="54"/>
  <c r="AF89" i="54"/>
  <c r="AF90" i="54"/>
  <c r="AF91" i="54"/>
  <c r="AF92" i="54"/>
  <c r="AF93" i="54"/>
  <c r="AF94" i="54"/>
  <c r="AF95" i="54"/>
  <c r="AF96" i="54"/>
  <c r="AF97" i="54"/>
  <c r="AF98" i="54"/>
  <c r="AF99" i="54"/>
  <c r="AF100" i="54"/>
  <c r="AF101" i="54"/>
  <c r="AF102" i="54"/>
  <c r="AF103" i="54"/>
  <c r="V179" i="54"/>
  <c r="Y13" i="94"/>
  <c r="Y14" i="94"/>
  <c r="Y15" i="94"/>
  <c r="Y16" i="94"/>
  <c r="Y17" i="94"/>
  <c r="Y18" i="94"/>
  <c r="Y19" i="94"/>
  <c r="Y20" i="94"/>
  <c r="Y21" i="94"/>
  <c r="Y22" i="94"/>
  <c r="Y23" i="94"/>
  <c r="Y24" i="94"/>
  <c r="Y25" i="94"/>
  <c r="Y26" i="94"/>
  <c r="Y27" i="94"/>
  <c r="Y28" i="94"/>
  <c r="Y29" i="94"/>
  <c r="Y30" i="94"/>
  <c r="Y31" i="94"/>
  <c r="Y32" i="94"/>
  <c r="Y33" i="94"/>
  <c r="Y34" i="94"/>
  <c r="Y35" i="94"/>
  <c r="Y36" i="94"/>
  <c r="Y37" i="94"/>
  <c r="Y38" i="94"/>
  <c r="Y39" i="94"/>
  <c r="Y40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O25" i="94"/>
  <c r="O26" i="94"/>
  <c r="O27" i="94"/>
  <c r="O28" i="94"/>
  <c r="O29" i="94"/>
  <c r="O30" i="94"/>
  <c r="O31" i="94"/>
  <c r="O32" i="94"/>
  <c r="O33" i="94"/>
  <c r="O34" i="94"/>
  <c r="O35" i="94"/>
  <c r="O36" i="94"/>
  <c r="P43" i="94"/>
  <c r="S42" i="94"/>
  <c r="O42" i="94"/>
  <c r="T42" i="94" s="1"/>
  <c r="S40" i="94"/>
  <c r="O40" i="94"/>
  <c r="T40" i="94" s="1"/>
  <c r="S39" i="94"/>
  <c r="O39" i="94"/>
  <c r="T39" i="94" s="1"/>
  <c r="O38" i="94"/>
  <c r="P38" i="94" s="1"/>
  <c r="S38" i="94" s="1"/>
  <c r="T38" i="94" s="1"/>
  <c r="S37" i="94"/>
  <c r="O37" i="94"/>
  <c r="S36" i="94"/>
  <c r="S35" i="94"/>
  <c r="S28" i="94"/>
  <c r="Y12" i="94"/>
  <c r="S12" i="94"/>
  <c r="O12" i="94"/>
  <c r="T12" i="94" s="1"/>
  <c r="Y11" i="94"/>
  <c r="S11" i="94"/>
  <c r="O11" i="94"/>
  <c r="T11" i="94" s="1"/>
  <c r="Y10" i="94"/>
  <c r="S10" i="94"/>
  <c r="O10" i="94"/>
  <c r="AF8" i="63"/>
  <c r="AF9" i="63"/>
  <c r="AF10" i="63"/>
  <c r="AF11" i="63"/>
  <c r="AF12" i="63"/>
  <c r="AF13" i="63"/>
  <c r="AF98" i="63"/>
  <c r="AF99" i="63"/>
  <c r="AF100" i="63"/>
  <c r="AF101" i="63"/>
  <c r="AF102" i="63"/>
  <c r="AF103" i="63"/>
  <c r="AF104" i="63"/>
  <c r="AF105" i="63"/>
  <c r="AF106" i="63"/>
  <c r="AF107" i="63"/>
  <c r="AF108" i="63"/>
  <c r="AF109" i="63"/>
  <c r="AF110" i="63"/>
  <c r="AF111" i="63"/>
  <c r="AF112" i="63"/>
  <c r="AF113" i="63"/>
  <c r="AF114" i="63"/>
  <c r="AF115" i="63"/>
  <c r="AF118" i="63"/>
  <c r="AF104" i="54"/>
  <c r="AF133" i="54"/>
  <c r="AF134" i="54"/>
  <c r="AF135" i="54"/>
  <c r="AF136" i="54"/>
  <c r="AF137" i="54"/>
  <c r="AF138" i="54"/>
  <c r="AF139" i="54"/>
  <c r="T36" i="94" l="1"/>
  <c r="T28" i="94"/>
  <c r="T35" i="94"/>
  <c r="T10" i="94"/>
  <c r="T37" i="94"/>
  <c r="R8" i="91"/>
  <c r="P8" i="91"/>
  <c r="N8" i="91"/>
  <c r="J8" i="91"/>
  <c r="H8" i="91"/>
  <c r="F8" i="91"/>
  <c r="K8" i="91" s="1"/>
  <c r="U15" i="90"/>
  <c r="V14" i="90"/>
  <c r="T14" i="90"/>
  <c r="R14" i="90"/>
  <c r="S14" i="90" s="1"/>
  <c r="P14" i="90"/>
  <c r="N14" i="90"/>
  <c r="O14" i="90" s="1"/>
  <c r="J14" i="90"/>
  <c r="K14" i="90" s="1"/>
  <c r="H14" i="90"/>
  <c r="F14" i="90"/>
  <c r="G14" i="90" s="1"/>
  <c r="E14" i="90"/>
  <c r="Q14" i="90" s="1"/>
  <c r="D14" i="90"/>
  <c r="S13" i="90"/>
  <c r="Q13" i="90"/>
  <c r="O13" i="90"/>
  <c r="K13" i="90"/>
  <c r="I13" i="90"/>
  <c r="G13" i="90"/>
  <c r="M13" i="90" s="1"/>
  <c r="S12" i="90"/>
  <c r="Q12" i="90"/>
  <c r="O12" i="90"/>
  <c r="K12" i="90"/>
  <c r="I12" i="90"/>
  <c r="G12" i="90"/>
  <c r="M12" i="90" s="1"/>
  <c r="Q11" i="90"/>
  <c r="O11" i="90"/>
  <c r="K11" i="90"/>
  <c r="I11" i="90"/>
  <c r="G11" i="90"/>
  <c r="L11" i="90" s="1"/>
  <c r="V10" i="90"/>
  <c r="V15" i="90" s="1"/>
  <c r="T10" i="90"/>
  <c r="T15" i="90" s="1"/>
  <c r="R10" i="90"/>
  <c r="R15" i="90" s="1"/>
  <c r="P10" i="90"/>
  <c r="P15" i="90" s="1"/>
  <c r="N10" i="90"/>
  <c r="N15" i="90" s="1"/>
  <c r="J10" i="90"/>
  <c r="J15" i="90" s="1"/>
  <c r="H10" i="90"/>
  <c r="H15" i="90" s="1"/>
  <c r="F10" i="90"/>
  <c r="F15" i="90" s="1"/>
  <c r="E10" i="90"/>
  <c r="Q10" i="90" s="1"/>
  <c r="Q15" i="90" s="1"/>
  <c r="D10" i="90"/>
  <c r="D15" i="90" s="1"/>
  <c r="S9" i="90"/>
  <c r="Q9" i="90"/>
  <c r="O9" i="90"/>
  <c r="K9" i="90"/>
  <c r="I9" i="90"/>
  <c r="G9" i="90"/>
  <c r="M9" i="90" s="1"/>
  <c r="S8" i="90"/>
  <c r="Q8" i="90"/>
  <c r="O8" i="90"/>
  <c r="K8" i="90"/>
  <c r="I8" i="90"/>
  <c r="G8" i="90"/>
  <c r="M8" i="90" s="1"/>
  <c r="U15" i="89"/>
  <c r="E15" i="89"/>
  <c r="V14" i="89"/>
  <c r="T14" i="89"/>
  <c r="S14" i="89"/>
  <c r="R14" i="89"/>
  <c r="P14" i="89"/>
  <c r="Q14" i="89" s="1"/>
  <c r="O14" i="89"/>
  <c r="N14" i="89"/>
  <c r="K14" i="89"/>
  <c r="J14" i="89"/>
  <c r="H14" i="89"/>
  <c r="G14" i="89"/>
  <c r="F14" i="89"/>
  <c r="E14" i="89"/>
  <c r="I14" i="89" s="1"/>
  <c r="D14" i="89"/>
  <c r="S13" i="89"/>
  <c r="Q13" i="89"/>
  <c r="O13" i="89"/>
  <c r="L13" i="89"/>
  <c r="K13" i="89"/>
  <c r="I13" i="89"/>
  <c r="G13" i="89"/>
  <c r="M13" i="89" s="1"/>
  <c r="S12" i="89"/>
  <c r="Q12" i="89"/>
  <c r="O12" i="89"/>
  <c r="L12" i="89"/>
  <c r="K12" i="89"/>
  <c r="I12" i="89"/>
  <c r="G12" i="89"/>
  <c r="M12" i="89" s="1"/>
  <c r="Q11" i="89"/>
  <c r="O11" i="89"/>
  <c r="K11" i="89"/>
  <c r="I11" i="89"/>
  <c r="G11" i="89"/>
  <c r="M11" i="89" s="1"/>
  <c r="V10" i="89"/>
  <c r="V15" i="89" s="1"/>
  <c r="T10" i="89"/>
  <c r="T15" i="89" s="1"/>
  <c r="R10" i="89"/>
  <c r="S10" i="89" s="1"/>
  <c r="S15" i="89" s="1"/>
  <c r="P10" i="89"/>
  <c r="P15" i="89" s="1"/>
  <c r="N10" i="89"/>
  <c r="O10" i="89" s="1"/>
  <c r="O15" i="89" s="1"/>
  <c r="J10" i="89"/>
  <c r="K10" i="89" s="1"/>
  <c r="K15" i="89" s="1"/>
  <c r="H10" i="89"/>
  <c r="H15" i="89" s="1"/>
  <c r="F10" i="89"/>
  <c r="G10" i="89" s="1"/>
  <c r="E10" i="89"/>
  <c r="D10" i="89"/>
  <c r="D15" i="89" s="1"/>
  <c r="S9" i="89"/>
  <c r="Q9" i="89"/>
  <c r="O9" i="89"/>
  <c r="K9" i="89"/>
  <c r="I9" i="89"/>
  <c r="G9" i="89"/>
  <c r="L9" i="89" s="1"/>
  <c r="S8" i="89"/>
  <c r="Q8" i="89"/>
  <c r="O8" i="89"/>
  <c r="K8" i="89"/>
  <c r="I8" i="89"/>
  <c r="G8" i="89"/>
  <c r="L8" i="89" s="1"/>
  <c r="V33" i="88"/>
  <c r="T33" i="88"/>
  <c r="R33" i="88"/>
  <c r="O33" i="88"/>
  <c r="N33" i="88"/>
  <c r="J33" i="88"/>
  <c r="H33" i="88"/>
  <c r="I33" i="88" s="1"/>
  <c r="F33" i="88"/>
  <c r="G33" i="88" s="1"/>
  <c r="E33" i="88"/>
  <c r="Q33" i="88" s="1"/>
  <c r="D33" i="88"/>
  <c r="Q32" i="88"/>
  <c r="O32" i="88"/>
  <c r="L32" i="88"/>
  <c r="K32" i="88"/>
  <c r="I32" i="88"/>
  <c r="G32" i="88"/>
  <c r="M32" i="88" s="1"/>
  <c r="Q31" i="88"/>
  <c r="O31" i="88"/>
  <c r="I31" i="88"/>
  <c r="M31" i="88" s="1"/>
  <c r="G31" i="88"/>
  <c r="L31" i="88" s="1"/>
  <c r="V30" i="88"/>
  <c r="T30" i="88"/>
  <c r="R30" i="88"/>
  <c r="P30" i="88"/>
  <c r="Q30" i="88" s="1"/>
  <c r="N30" i="88"/>
  <c r="O30" i="88" s="1"/>
  <c r="J30" i="88"/>
  <c r="H30" i="88"/>
  <c r="F30" i="88"/>
  <c r="E30" i="88"/>
  <c r="G30" i="88" s="1"/>
  <c r="D30" i="88"/>
  <c r="Q29" i="88"/>
  <c r="O29" i="88"/>
  <c r="M29" i="88"/>
  <c r="I29" i="88"/>
  <c r="G29" i="88"/>
  <c r="L29" i="88" s="1"/>
  <c r="Q28" i="88"/>
  <c r="O28" i="88"/>
  <c r="I28" i="88"/>
  <c r="M28" i="88" s="1"/>
  <c r="G28" i="88"/>
  <c r="L28" i="88" s="1"/>
  <c r="Q27" i="88"/>
  <c r="O27" i="88"/>
  <c r="M27" i="88"/>
  <c r="I27" i="88"/>
  <c r="L27" i="88" s="1"/>
  <c r="G27" i="88"/>
  <c r="V26" i="88"/>
  <c r="T26" i="88"/>
  <c r="R26" i="88"/>
  <c r="P26" i="88"/>
  <c r="Q26" i="88" s="1"/>
  <c r="N26" i="88"/>
  <c r="O26" i="88" s="1"/>
  <c r="J26" i="88"/>
  <c r="K26" i="88" s="1"/>
  <c r="H26" i="88"/>
  <c r="I26" i="88" s="1"/>
  <c r="F26" i="88"/>
  <c r="G26" i="88" s="1"/>
  <c r="E26" i="88"/>
  <c r="D26" i="88"/>
  <c r="Q25" i="88"/>
  <c r="O25" i="88"/>
  <c r="L25" i="88"/>
  <c r="K25" i="88"/>
  <c r="I25" i="88"/>
  <c r="G25" i="88"/>
  <c r="M25" i="88" s="1"/>
  <c r="Q24" i="88"/>
  <c r="O24" i="88"/>
  <c r="K24" i="88"/>
  <c r="I24" i="88"/>
  <c r="G24" i="88"/>
  <c r="M24" i="88" s="1"/>
  <c r="Q23" i="88"/>
  <c r="O23" i="88"/>
  <c r="K23" i="88"/>
  <c r="I23" i="88"/>
  <c r="L23" i="88" s="1"/>
  <c r="G23" i="88"/>
  <c r="M23" i="88" s="1"/>
  <c r="V22" i="88"/>
  <c r="V34" i="88" s="1"/>
  <c r="T22" i="88"/>
  <c r="T34" i="88" s="1"/>
  <c r="R22" i="88"/>
  <c r="R34" i="88" s="1"/>
  <c r="P22" i="88"/>
  <c r="Q22" i="88" s="1"/>
  <c r="N22" i="88"/>
  <c r="O22" i="88" s="1"/>
  <c r="J22" i="88"/>
  <c r="K22" i="88" s="1"/>
  <c r="H22" i="88"/>
  <c r="I22" i="88" s="1"/>
  <c r="F22" i="88"/>
  <c r="G22" i="88" s="1"/>
  <c r="E22" i="88"/>
  <c r="D22" i="88"/>
  <c r="D34" i="88" s="1"/>
  <c r="Q21" i="88"/>
  <c r="O21" i="88"/>
  <c r="K21" i="88"/>
  <c r="I21" i="88"/>
  <c r="L21" i="88" s="1"/>
  <c r="G21" i="88"/>
  <c r="M21" i="88" s="1"/>
  <c r="Q20" i="88"/>
  <c r="O20" i="88"/>
  <c r="K20" i="88"/>
  <c r="I20" i="88"/>
  <c r="G20" i="88"/>
  <c r="L20" i="88" s="1"/>
  <c r="Q19" i="88"/>
  <c r="O19" i="88"/>
  <c r="L19" i="88"/>
  <c r="I19" i="88"/>
  <c r="G19" i="88"/>
  <c r="M19" i="88" s="1"/>
  <c r="T18" i="88"/>
  <c r="P18" i="88"/>
  <c r="H18" i="88"/>
  <c r="D18" i="88"/>
  <c r="V17" i="88"/>
  <c r="T17" i="88"/>
  <c r="R17" i="88"/>
  <c r="S17" i="88" s="1"/>
  <c r="P17" i="88"/>
  <c r="Q17" i="88" s="1"/>
  <c r="N17" i="88"/>
  <c r="O17" i="88" s="1"/>
  <c r="J17" i="88"/>
  <c r="K17" i="88" s="1"/>
  <c r="H17" i="88"/>
  <c r="I17" i="88" s="1"/>
  <c r="F17" i="88"/>
  <c r="G17" i="88" s="1"/>
  <c r="E17" i="88"/>
  <c r="D17" i="88"/>
  <c r="S16" i="88"/>
  <c r="Q16" i="88"/>
  <c r="O16" i="88"/>
  <c r="I16" i="88"/>
  <c r="M16" i="88" s="1"/>
  <c r="G16" i="88"/>
  <c r="L16" i="88" s="1"/>
  <c r="S15" i="88"/>
  <c r="Q15" i="88"/>
  <c r="O15" i="88"/>
  <c r="I15" i="88"/>
  <c r="G15" i="88"/>
  <c r="M15" i="88" s="1"/>
  <c r="V14" i="88"/>
  <c r="T14" i="88"/>
  <c r="R14" i="88"/>
  <c r="S14" i="88" s="1"/>
  <c r="P14" i="88"/>
  <c r="Q14" i="88" s="1"/>
  <c r="N14" i="88"/>
  <c r="O14" i="88" s="1"/>
  <c r="J14" i="88"/>
  <c r="K14" i="88" s="1"/>
  <c r="H14" i="88"/>
  <c r="I14" i="88" s="1"/>
  <c r="F14" i="88"/>
  <c r="G14" i="88" s="1"/>
  <c r="E14" i="88"/>
  <c r="D14" i="88"/>
  <c r="S13" i="88"/>
  <c r="Q13" i="88"/>
  <c r="O13" i="88"/>
  <c r="K13" i="88"/>
  <c r="I13" i="88"/>
  <c r="G13" i="88"/>
  <c r="M13" i="88" s="1"/>
  <c r="S12" i="88"/>
  <c r="Q12" i="88"/>
  <c r="O12" i="88"/>
  <c r="K12" i="88"/>
  <c r="I12" i="88"/>
  <c r="G12" i="88"/>
  <c r="M12" i="88" s="1"/>
  <c r="Q11" i="88"/>
  <c r="O11" i="88"/>
  <c r="K11" i="88"/>
  <c r="I11" i="88"/>
  <c r="L11" i="88" s="1"/>
  <c r="G11" i="88"/>
  <c r="M11" i="88" s="1"/>
  <c r="V10" i="88"/>
  <c r="V18" i="88" s="1"/>
  <c r="V35" i="88" s="1"/>
  <c r="T10" i="88"/>
  <c r="S10" i="88"/>
  <c r="R10" i="88"/>
  <c r="R18" i="88" s="1"/>
  <c r="P10" i="88"/>
  <c r="O10" i="88"/>
  <c r="N10" i="88"/>
  <c r="N18" i="88" s="1"/>
  <c r="K10" i="88"/>
  <c r="J10" i="88"/>
  <c r="J18" i="88" s="1"/>
  <c r="H10" i="88"/>
  <c r="G10" i="88"/>
  <c r="F10" i="88"/>
  <c r="F18" i="88" s="1"/>
  <c r="E10" i="88"/>
  <c r="Q10" i="88" s="1"/>
  <c r="D10" i="88"/>
  <c r="S9" i="88"/>
  <c r="Q9" i="88"/>
  <c r="O9" i="88"/>
  <c r="L9" i="88"/>
  <c r="K9" i="88"/>
  <c r="I9" i="88"/>
  <c r="G9" i="88"/>
  <c r="M9" i="88" s="1"/>
  <c r="S8" i="88"/>
  <c r="Q8" i="88"/>
  <c r="O8" i="88"/>
  <c r="L8" i="88"/>
  <c r="K8" i="88"/>
  <c r="I8" i="88"/>
  <c r="G8" i="88"/>
  <c r="M8" i="88" s="1"/>
  <c r="AB47" i="87"/>
  <c r="R47" i="87"/>
  <c r="AB46" i="87"/>
  <c r="R46" i="87"/>
  <c r="AB45" i="87"/>
  <c r="R45" i="87"/>
  <c r="AB44" i="87"/>
  <c r="R44" i="87"/>
  <c r="AB43" i="87"/>
  <c r="R43" i="87"/>
  <c r="AB42" i="87"/>
  <c r="R42" i="87"/>
  <c r="AB41" i="87"/>
  <c r="V41" i="87"/>
  <c r="R41" i="87"/>
  <c r="W41" i="87" s="1"/>
  <c r="AB40" i="87"/>
  <c r="V40" i="87"/>
  <c r="R40" i="87"/>
  <c r="W40" i="87" s="1"/>
  <c r="AB39" i="87"/>
  <c r="V39" i="87"/>
  <c r="R39" i="87"/>
  <c r="W39" i="87" s="1"/>
  <c r="AB38" i="87"/>
  <c r="V38" i="87"/>
  <c r="R38" i="87"/>
  <c r="W38" i="87" s="1"/>
  <c r="AB37" i="87"/>
  <c r="V37" i="87"/>
  <c r="R37" i="87"/>
  <c r="W37" i="87" s="1"/>
  <c r="AB36" i="87"/>
  <c r="V36" i="87"/>
  <c r="R36" i="87"/>
  <c r="W36" i="87" s="1"/>
  <c r="AB35" i="87"/>
  <c r="V35" i="87"/>
  <c r="R35" i="87"/>
  <c r="W35" i="87" s="1"/>
  <c r="AB34" i="87"/>
  <c r="V34" i="87"/>
  <c r="R34" i="87"/>
  <c r="W34" i="87" s="1"/>
  <c r="AB33" i="87"/>
  <c r="V33" i="87"/>
  <c r="R33" i="87"/>
  <c r="W33" i="87" s="1"/>
  <c r="AB32" i="87"/>
  <c r="V32" i="87"/>
  <c r="R32" i="87"/>
  <c r="W32" i="87" s="1"/>
  <c r="AB31" i="87"/>
  <c r="R31" i="87"/>
  <c r="AB30" i="87"/>
  <c r="V30" i="87"/>
  <c r="W30" i="87" s="1"/>
  <c r="R30" i="87"/>
  <c r="AB29" i="87"/>
  <c r="R29" i="87"/>
  <c r="AB28" i="87"/>
  <c r="R28" i="87"/>
  <c r="AB27" i="87"/>
  <c r="R27" i="87"/>
  <c r="AB26" i="87"/>
  <c r="R26" i="87"/>
  <c r="AB25" i="87"/>
  <c r="R25" i="87"/>
  <c r="AB24" i="87"/>
  <c r="R24" i="87"/>
  <c r="AB23" i="87"/>
  <c r="R23" i="87"/>
  <c r="AB22" i="87"/>
  <c r="R22" i="87"/>
  <c r="AB21" i="87"/>
  <c r="R21" i="87"/>
  <c r="AB20" i="87"/>
  <c r="R20" i="87"/>
  <c r="AB19" i="87"/>
  <c r="R19" i="87"/>
  <c r="AB18" i="87"/>
  <c r="R18" i="87"/>
  <c r="AB17" i="87"/>
  <c r="R17" i="87"/>
  <c r="AB16" i="87"/>
  <c r="R16" i="87"/>
  <c r="AB15" i="87"/>
  <c r="R15" i="87"/>
  <c r="AB14" i="87"/>
  <c r="R14" i="87"/>
  <c r="AB13" i="87"/>
  <c r="R13" i="87"/>
  <c r="AB12" i="87"/>
  <c r="R12" i="87"/>
  <c r="AB11" i="87"/>
  <c r="V11" i="87"/>
  <c r="W11" i="87" s="1"/>
  <c r="R11" i="87"/>
  <c r="AB10" i="87"/>
  <c r="V10" i="87"/>
  <c r="W10" i="87" s="1"/>
  <c r="R10" i="87"/>
  <c r="AB9" i="87"/>
  <c r="V9" i="87"/>
  <c r="W9" i="87" s="1"/>
  <c r="R9" i="87"/>
  <c r="AE40" i="86"/>
  <c r="U40" i="86"/>
  <c r="AE39" i="86"/>
  <c r="U39" i="86"/>
  <c r="AE38" i="86"/>
  <c r="U38" i="86"/>
  <c r="AE37" i="86"/>
  <c r="U37" i="86"/>
  <c r="AE36" i="86"/>
  <c r="U36" i="86"/>
  <c r="AE35" i="86"/>
  <c r="U35" i="86"/>
  <c r="AE34" i="86"/>
  <c r="U34" i="86"/>
  <c r="AE33" i="86"/>
  <c r="Y33" i="86"/>
  <c r="U33" i="86"/>
  <c r="AE32" i="86"/>
  <c r="U32" i="86"/>
  <c r="AE31" i="86"/>
  <c r="U31" i="86"/>
  <c r="AE30" i="86"/>
  <c r="U30" i="86"/>
  <c r="AE29" i="86"/>
  <c r="U29" i="86"/>
  <c r="AE28" i="86"/>
  <c r="U28" i="86"/>
  <c r="AE27" i="86"/>
  <c r="U27" i="86"/>
  <c r="AE26" i="86"/>
  <c r="U26" i="86"/>
  <c r="AE25" i="86"/>
  <c r="U25" i="86"/>
  <c r="AE24" i="86"/>
  <c r="U24" i="86"/>
  <c r="AE23" i="86"/>
  <c r="U23" i="86"/>
  <c r="AE22" i="86"/>
  <c r="U22" i="86"/>
  <c r="AE21" i="86"/>
  <c r="U21" i="86"/>
  <c r="AE20" i="86"/>
  <c r="Y20" i="86"/>
  <c r="U20" i="86"/>
  <c r="Z20" i="86" s="1"/>
  <c r="AE19" i="86"/>
  <c r="Y19" i="86"/>
  <c r="U19" i="86"/>
  <c r="AE18" i="86"/>
  <c r="Y18" i="86"/>
  <c r="U18" i="86"/>
  <c r="Z18" i="86" s="1"/>
  <c r="AE17" i="86"/>
  <c r="Y17" i="86"/>
  <c r="U17" i="86"/>
  <c r="AE16" i="86"/>
  <c r="Y16" i="86"/>
  <c r="U16" i="86"/>
  <c r="Z16" i="86" s="1"/>
  <c r="AE15" i="86"/>
  <c r="Y15" i="86"/>
  <c r="U15" i="86"/>
  <c r="AE14" i="86"/>
  <c r="Y14" i="86"/>
  <c r="U14" i="86"/>
  <c r="Z14" i="86" s="1"/>
  <c r="AE13" i="86"/>
  <c r="Y13" i="86"/>
  <c r="U13" i="86"/>
  <c r="AE12" i="86"/>
  <c r="Y12" i="86"/>
  <c r="U12" i="86"/>
  <c r="Z12" i="86" s="1"/>
  <c r="AE11" i="86"/>
  <c r="Y11" i="86"/>
  <c r="U11" i="86"/>
  <c r="AE10" i="86"/>
  <c r="Y10" i="86"/>
  <c r="U10" i="86"/>
  <c r="Z10" i="86" s="1"/>
  <c r="AA73" i="85"/>
  <c r="U73" i="85"/>
  <c r="Q73" i="85"/>
  <c r="AA72" i="85"/>
  <c r="U72" i="85"/>
  <c r="Q72" i="85"/>
  <c r="V72" i="85" s="1"/>
  <c r="AA71" i="85"/>
  <c r="Q71" i="85"/>
  <c r="AA70" i="85"/>
  <c r="Q70" i="85"/>
  <c r="AA69" i="85"/>
  <c r="Q69" i="85"/>
  <c r="AA68" i="85"/>
  <c r="Q68" i="85"/>
  <c r="AA67" i="85"/>
  <c r="Q67" i="85"/>
  <c r="AA66" i="85"/>
  <c r="Q66" i="85"/>
  <c r="AA65" i="85"/>
  <c r="Q65" i="85"/>
  <c r="AA64" i="85"/>
  <c r="Q64" i="85"/>
  <c r="AA63" i="85"/>
  <c r="Q63" i="85"/>
  <c r="AA62" i="85"/>
  <c r="Q62" i="85"/>
  <c r="AA61" i="85"/>
  <c r="Q61" i="85"/>
  <c r="AA60" i="85"/>
  <c r="Q60" i="85"/>
  <c r="AA59" i="85"/>
  <c r="Q59" i="85"/>
  <c r="AA58" i="85"/>
  <c r="Q58" i="85"/>
  <c r="AA57" i="85"/>
  <c r="Q57" i="85"/>
  <c r="AA56" i="85"/>
  <c r="Q56" i="85"/>
  <c r="AA55" i="85"/>
  <c r="Q55" i="85"/>
  <c r="AA54" i="85"/>
  <c r="Q54" i="85"/>
  <c r="AA53" i="85"/>
  <c r="Q53" i="85"/>
  <c r="AA52" i="85"/>
  <c r="Q52" i="85"/>
  <c r="AA51" i="85"/>
  <c r="Q51" i="85"/>
  <c r="AA50" i="85"/>
  <c r="Q50" i="85"/>
  <c r="AA49" i="85"/>
  <c r="Q49" i="85"/>
  <c r="AA48" i="85"/>
  <c r="Q48" i="85"/>
  <c r="AA47" i="85"/>
  <c r="Q47" i="85"/>
  <c r="AA46" i="85"/>
  <c r="Q46" i="85"/>
  <c r="AA45" i="85"/>
  <c r="Q45" i="85"/>
  <c r="AA44" i="85"/>
  <c r="Q44" i="85"/>
  <c r="AA43" i="85"/>
  <c r="Q43" i="85"/>
  <c r="AA42" i="85"/>
  <c r="Q42" i="85"/>
  <c r="AA41" i="85"/>
  <c r="Q41" i="85"/>
  <c r="AA40" i="85"/>
  <c r="Q40" i="85"/>
  <c r="AA39" i="85"/>
  <c r="Q39" i="85"/>
  <c r="AA38" i="85"/>
  <c r="Q38" i="85"/>
  <c r="AA37" i="85"/>
  <c r="Q37" i="85"/>
  <c r="AA36" i="85"/>
  <c r="Q36" i="85"/>
  <c r="AA35" i="85"/>
  <c r="Q35" i="85"/>
  <c r="AA34" i="85"/>
  <c r="Q34" i="85"/>
  <c r="AA33" i="85"/>
  <c r="Q33" i="85"/>
  <c r="AA32" i="85"/>
  <c r="Q32" i="85"/>
  <c r="AA31" i="85"/>
  <c r="Q31" i="85"/>
  <c r="AA30" i="85"/>
  <c r="Q30" i="85"/>
  <c r="AA29" i="85"/>
  <c r="Q29" i="85"/>
  <c r="AA28" i="85"/>
  <c r="Q28" i="85"/>
  <c r="AA27" i="85"/>
  <c r="Q27" i="85"/>
  <c r="AA26" i="85"/>
  <c r="Q26" i="85"/>
  <c r="AA25" i="85"/>
  <c r="Q25" i="85"/>
  <c r="AA24" i="85"/>
  <c r="Q24" i="85"/>
  <c r="AA23" i="85"/>
  <c r="Q23" i="85"/>
  <c r="AA22" i="85"/>
  <c r="Q22" i="85"/>
  <c r="AA21" i="85"/>
  <c r="Q21" i="85"/>
  <c r="AA20" i="85"/>
  <c r="Q20" i="85"/>
  <c r="AA19" i="85"/>
  <c r="Q19" i="85"/>
  <c r="AA18" i="85"/>
  <c r="Q18" i="85"/>
  <c r="AA17" i="85"/>
  <c r="Q17" i="85"/>
  <c r="AA16" i="85"/>
  <c r="Q16" i="85"/>
  <c r="AA15" i="85"/>
  <c r="Q15" i="85"/>
  <c r="AA14" i="85"/>
  <c r="Q14" i="85"/>
  <c r="AA13" i="85"/>
  <c r="Q13" i="85"/>
  <c r="AA12" i="85"/>
  <c r="Q12" i="85"/>
  <c r="AA11" i="85"/>
  <c r="V11" i="85"/>
  <c r="U11" i="85"/>
  <c r="Q11" i="85"/>
  <c r="AA14" i="84"/>
  <c r="V14" i="84"/>
  <c r="U14" i="84"/>
  <c r="Q14" i="84"/>
  <c r="AA13" i="84"/>
  <c r="V13" i="84"/>
  <c r="U13" i="84"/>
  <c r="Q13" i="84"/>
  <c r="AA12" i="84"/>
  <c r="Q12" i="84"/>
  <c r="AA11" i="84"/>
  <c r="U11" i="84"/>
  <c r="Q11" i="84"/>
  <c r="V11" i="84" s="1"/>
  <c r="AA10" i="84"/>
  <c r="U10" i="84"/>
  <c r="Q10" i="84"/>
  <c r="V10" i="84" s="1"/>
  <c r="AA9" i="84"/>
  <c r="U9" i="84"/>
  <c r="Q9" i="84"/>
  <c r="V9" i="84" s="1"/>
  <c r="Z80" i="83"/>
  <c r="P80" i="83"/>
  <c r="Z79" i="83"/>
  <c r="P79" i="83"/>
  <c r="Z78" i="83"/>
  <c r="P78" i="83"/>
  <c r="Z77" i="83"/>
  <c r="P77" i="83"/>
  <c r="Z76" i="83"/>
  <c r="P76" i="83"/>
  <c r="Z75" i="83"/>
  <c r="U75" i="83"/>
  <c r="T75" i="83"/>
  <c r="P75" i="83"/>
  <c r="Z74" i="83"/>
  <c r="U74" i="83"/>
  <c r="T74" i="83"/>
  <c r="P74" i="83"/>
  <c r="Z73" i="83"/>
  <c r="P73" i="83"/>
  <c r="S73" i="83" s="1"/>
  <c r="T73" i="83" s="1"/>
  <c r="Z72" i="83"/>
  <c r="P72" i="83"/>
  <c r="S72" i="83" s="1"/>
  <c r="T72" i="83" s="1"/>
  <c r="Z71" i="83"/>
  <c r="P71" i="83"/>
  <c r="S71" i="83" s="1"/>
  <c r="T71" i="83" s="1"/>
  <c r="Z70" i="83"/>
  <c r="P70" i="83"/>
  <c r="S70" i="83" s="1"/>
  <c r="T70" i="83" s="1"/>
  <c r="Z69" i="83"/>
  <c r="P69" i="83"/>
  <c r="S69" i="83" s="1"/>
  <c r="T69" i="83" s="1"/>
  <c r="Z68" i="83"/>
  <c r="P68" i="83"/>
  <c r="S68" i="83" s="1"/>
  <c r="T68" i="83" s="1"/>
  <c r="Z67" i="83"/>
  <c r="P67" i="83"/>
  <c r="S67" i="83" s="1"/>
  <c r="T67" i="83" s="1"/>
  <c r="Z66" i="83"/>
  <c r="P66" i="83"/>
  <c r="S66" i="83" s="1"/>
  <c r="T66" i="83" s="1"/>
  <c r="Z65" i="83"/>
  <c r="P65" i="83"/>
  <c r="S65" i="83" s="1"/>
  <c r="T65" i="83" s="1"/>
  <c r="Z64" i="83"/>
  <c r="P64" i="83"/>
  <c r="S64" i="83" s="1"/>
  <c r="T64" i="83" s="1"/>
  <c r="Z63" i="83"/>
  <c r="P63" i="83"/>
  <c r="S63" i="83" s="1"/>
  <c r="T63" i="83" s="1"/>
  <c r="Z62" i="83"/>
  <c r="P62" i="83"/>
  <c r="S62" i="83" s="1"/>
  <c r="T62" i="83" s="1"/>
  <c r="Z61" i="83"/>
  <c r="P61" i="83"/>
  <c r="S61" i="83" s="1"/>
  <c r="T61" i="83" s="1"/>
  <c r="Z60" i="83"/>
  <c r="P60" i="83"/>
  <c r="S60" i="83" s="1"/>
  <c r="T60" i="83" s="1"/>
  <c r="Z59" i="83"/>
  <c r="P59" i="83"/>
  <c r="S59" i="83" s="1"/>
  <c r="T59" i="83" s="1"/>
  <c r="Z58" i="83"/>
  <c r="P58" i="83"/>
  <c r="S58" i="83" s="1"/>
  <c r="T58" i="83" s="1"/>
  <c r="Z57" i="83"/>
  <c r="P57" i="83"/>
  <c r="S57" i="83" s="1"/>
  <c r="T57" i="83" s="1"/>
  <c r="Z56" i="83"/>
  <c r="P56" i="83"/>
  <c r="S56" i="83" s="1"/>
  <c r="T56" i="83" s="1"/>
  <c r="Z55" i="83"/>
  <c r="P55" i="83"/>
  <c r="S55" i="83" s="1"/>
  <c r="T55" i="83" s="1"/>
  <c r="Z54" i="83"/>
  <c r="P54" i="83"/>
  <c r="S54" i="83" s="1"/>
  <c r="T54" i="83" s="1"/>
  <c r="Z53" i="83"/>
  <c r="P53" i="83"/>
  <c r="S53" i="83" s="1"/>
  <c r="T53" i="83" s="1"/>
  <c r="Z52" i="83"/>
  <c r="P52" i="83"/>
  <c r="S52" i="83" s="1"/>
  <c r="T52" i="83" s="1"/>
  <c r="Z51" i="83"/>
  <c r="P51" i="83"/>
  <c r="S51" i="83" s="1"/>
  <c r="T51" i="83" s="1"/>
  <c r="Z50" i="83"/>
  <c r="P50" i="83"/>
  <c r="S50" i="83" s="1"/>
  <c r="T50" i="83" s="1"/>
  <c r="Z49" i="83"/>
  <c r="P49" i="83"/>
  <c r="S49" i="83" s="1"/>
  <c r="T49" i="83" s="1"/>
  <c r="Z48" i="83"/>
  <c r="P48" i="83"/>
  <c r="S48" i="83" s="1"/>
  <c r="T48" i="83" s="1"/>
  <c r="Z47" i="83"/>
  <c r="P47" i="83"/>
  <c r="S47" i="83" s="1"/>
  <c r="T47" i="83" s="1"/>
  <c r="Z46" i="83"/>
  <c r="P46" i="83"/>
  <c r="S46" i="83" s="1"/>
  <c r="T46" i="83" s="1"/>
  <c r="Z45" i="83"/>
  <c r="T45" i="83"/>
  <c r="P45" i="83"/>
  <c r="U45" i="83" s="1"/>
  <c r="Z44" i="83"/>
  <c r="P44" i="83"/>
  <c r="S44" i="83" s="1"/>
  <c r="T44" i="83" s="1"/>
  <c r="Z43" i="83"/>
  <c r="P43" i="83"/>
  <c r="S43" i="83" s="1"/>
  <c r="T43" i="83" s="1"/>
  <c r="Z42" i="83"/>
  <c r="P42" i="83"/>
  <c r="S42" i="83" s="1"/>
  <c r="T42" i="83" s="1"/>
  <c r="Z41" i="83"/>
  <c r="P41" i="83"/>
  <c r="Z40" i="83"/>
  <c r="P40" i="83"/>
  <c r="Z39" i="83"/>
  <c r="T39" i="83"/>
  <c r="P39" i="83"/>
  <c r="U39" i="83" s="1"/>
  <c r="Z38" i="83"/>
  <c r="T38" i="83"/>
  <c r="P38" i="83"/>
  <c r="U38" i="83" s="1"/>
  <c r="Z37" i="83"/>
  <c r="P37" i="83"/>
  <c r="S37" i="83" s="1"/>
  <c r="T37" i="83" s="1"/>
  <c r="Z36" i="83"/>
  <c r="P36" i="83"/>
  <c r="S36" i="83" s="1"/>
  <c r="T36" i="83" s="1"/>
  <c r="Z35" i="83"/>
  <c r="P35" i="83"/>
  <c r="S35" i="83" s="1"/>
  <c r="T35" i="83" s="1"/>
  <c r="Z34" i="83"/>
  <c r="P34" i="83"/>
  <c r="S34" i="83" s="1"/>
  <c r="T34" i="83" s="1"/>
  <c r="Z33" i="83"/>
  <c r="P33" i="83"/>
  <c r="S33" i="83" s="1"/>
  <c r="T33" i="83" s="1"/>
  <c r="Z32" i="83"/>
  <c r="P32" i="83"/>
  <c r="S32" i="83" s="1"/>
  <c r="T32" i="83" s="1"/>
  <c r="Z31" i="83"/>
  <c r="P31" i="83"/>
  <c r="S31" i="83" s="1"/>
  <c r="T31" i="83" s="1"/>
  <c r="Z30" i="83"/>
  <c r="P30" i="83"/>
  <c r="S30" i="83" s="1"/>
  <c r="T30" i="83" s="1"/>
  <c r="Z29" i="83"/>
  <c r="P29" i="83"/>
  <c r="S29" i="83" s="1"/>
  <c r="T29" i="83" s="1"/>
  <c r="Z28" i="83"/>
  <c r="P28" i="83"/>
  <c r="S28" i="83" s="1"/>
  <c r="T28" i="83" s="1"/>
  <c r="Z27" i="83"/>
  <c r="P27" i="83"/>
  <c r="S27" i="83" s="1"/>
  <c r="T27" i="83" s="1"/>
  <c r="Z26" i="83"/>
  <c r="P26" i="83"/>
  <c r="S26" i="83" s="1"/>
  <c r="T26" i="83" s="1"/>
  <c r="Z25" i="83"/>
  <c r="P25" i="83"/>
  <c r="S25" i="83" s="1"/>
  <c r="T25" i="83" s="1"/>
  <c r="Z24" i="83"/>
  <c r="P24" i="83"/>
  <c r="S24" i="83" s="1"/>
  <c r="T24" i="83" s="1"/>
  <c r="Z23" i="83"/>
  <c r="P23" i="83"/>
  <c r="S23" i="83" s="1"/>
  <c r="T23" i="83" s="1"/>
  <c r="Z22" i="83"/>
  <c r="P22" i="83"/>
  <c r="S22" i="83" s="1"/>
  <c r="T22" i="83" s="1"/>
  <c r="Z21" i="83"/>
  <c r="P21" i="83"/>
  <c r="S21" i="83" s="1"/>
  <c r="T21" i="83" s="1"/>
  <c r="Z20" i="83"/>
  <c r="P20" i="83"/>
  <c r="S20" i="83" s="1"/>
  <c r="T20" i="83" s="1"/>
  <c r="Z19" i="83"/>
  <c r="P19" i="83"/>
  <c r="S19" i="83" s="1"/>
  <c r="T19" i="83" s="1"/>
  <c r="Z18" i="83"/>
  <c r="P18" i="83"/>
  <c r="S18" i="83" s="1"/>
  <c r="T18" i="83" s="1"/>
  <c r="Z17" i="83"/>
  <c r="P17" i="83"/>
  <c r="S17" i="83" s="1"/>
  <c r="T17" i="83" s="1"/>
  <c r="Z16" i="83"/>
  <c r="P16" i="83"/>
  <c r="S16" i="83" s="1"/>
  <c r="T16" i="83" s="1"/>
  <c r="Z15" i="83"/>
  <c r="P15" i="83"/>
  <c r="S15" i="83" s="1"/>
  <c r="T15" i="83" s="1"/>
  <c r="Z14" i="83"/>
  <c r="P14" i="83"/>
  <c r="S14" i="83" s="1"/>
  <c r="T14" i="83" s="1"/>
  <c r="Z13" i="83"/>
  <c r="P13" i="83"/>
  <c r="S13" i="83" s="1"/>
  <c r="T13" i="83" s="1"/>
  <c r="Z12" i="83"/>
  <c r="P12" i="83"/>
  <c r="S12" i="83" s="1"/>
  <c r="T12" i="83" s="1"/>
  <c r="Z11" i="83"/>
  <c r="T11" i="83"/>
  <c r="P11" i="83"/>
  <c r="U11" i="83" s="1"/>
  <c r="Z10" i="83"/>
  <c r="P10" i="83"/>
  <c r="S10" i="83" s="1"/>
  <c r="T10" i="83" s="1"/>
  <c r="Z9" i="83"/>
  <c r="P9" i="83"/>
  <c r="S9" i="83" s="1"/>
  <c r="T9" i="83" s="1"/>
  <c r="Z8" i="83"/>
  <c r="P8" i="83"/>
  <c r="S8" i="83" s="1"/>
  <c r="T8" i="83" s="1"/>
  <c r="P29" i="82"/>
  <c r="Y28" i="82"/>
  <c r="S28" i="82"/>
  <c r="P28" i="82"/>
  <c r="O28" i="82"/>
  <c r="T28" i="82" s="1"/>
  <c r="Y27" i="82"/>
  <c r="T27" i="82"/>
  <c r="S27" i="82"/>
  <c r="O27" i="82"/>
  <c r="Y26" i="82"/>
  <c r="T26" i="82"/>
  <c r="S26" i="82"/>
  <c r="O26" i="82"/>
  <c r="Y25" i="82"/>
  <c r="T25" i="82"/>
  <c r="S25" i="82"/>
  <c r="O25" i="82"/>
  <c r="Y24" i="82"/>
  <c r="O24" i="82"/>
  <c r="P24" i="82" s="1"/>
  <c r="S24" i="82" s="1"/>
  <c r="T24" i="82" s="1"/>
  <c r="Y23" i="82"/>
  <c r="T23" i="82"/>
  <c r="S23" i="82"/>
  <c r="O23" i="82"/>
  <c r="Y22" i="82"/>
  <c r="T22" i="82"/>
  <c r="S22" i="82"/>
  <c r="O22" i="82"/>
  <c r="Y21" i="82"/>
  <c r="T21" i="82"/>
  <c r="S21" i="82"/>
  <c r="O21" i="82"/>
  <c r="Y20" i="82"/>
  <c r="O20" i="82"/>
  <c r="Y19" i="82"/>
  <c r="O19" i="82"/>
  <c r="Y18" i="82"/>
  <c r="O18" i="82"/>
  <c r="Y17" i="82"/>
  <c r="O17" i="82"/>
  <c r="Y16" i="82"/>
  <c r="O16" i="82"/>
  <c r="Y15" i="82"/>
  <c r="O15" i="82"/>
  <c r="Y14" i="82"/>
  <c r="T14" i="82"/>
  <c r="S14" i="82"/>
  <c r="O14" i="82"/>
  <c r="Y13" i="82"/>
  <c r="T13" i="82"/>
  <c r="S13" i="82"/>
  <c r="O13" i="82"/>
  <c r="Y12" i="82"/>
  <c r="T12" i="82"/>
  <c r="S12" i="82"/>
  <c r="O12" i="82"/>
  <c r="Y11" i="82"/>
  <c r="S11" i="82"/>
  <c r="O11" i="82"/>
  <c r="T11" i="82" s="1"/>
  <c r="Y40" i="81"/>
  <c r="O40" i="81"/>
  <c r="Y39" i="81"/>
  <c r="S39" i="81"/>
  <c r="O39" i="81"/>
  <c r="T39" i="81" s="1"/>
  <c r="Y38" i="81"/>
  <c r="O38" i="81"/>
  <c r="Y37" i="81"/>
  <c r="O37" i="81"/>
  <c r="Y36" i="81"/>
  <c r="S36" i="81"/>
  <c r="O36" i="81"/>
  <c r="T36" i="81" s="1"/>
  <c r="Y35" i="81"/>
  <c r="O35" i="81"/>
  <c r="Y34" i="81"/>
  <c r="O34" i="81"/>
  <c r="Y33" i="81"/>
  <c r="O33" i="81"/>
  <c r="Y32" i="81"/>
  <c r="O32" i="81"/>
  <c r="Y31" i="81"/>
  <c r="O31" i="81"/>
  <c r="Y30" i="81"/>
  <c r="O30" i="81"/>
  <c r="Y29" i="81"/>
  <c r="O29" i="81"/>
  <c r="Y28" i="81"/>
  <c r="S28" i="81"/>
  <c r="O28" i="81"/>
  <c r="T28" i="81" s="1"/>
  <c r="Y27" i="81"/>
  <c r="S27" i="81"/>
  <c r="O27" i="81"/>
  <c r="T27" i="81" s="1"/>
  <c r="Y26" i="81"/>
  <c r="S26" i="81"/>
  <c r="O26" i="81"/>
  <c r="T26" i="81" s="1"/>
  <c r="Y25" i="81"/>
  <c r="O25" i="81"/>
  <c r="P25" i="81" s="1"/>
  <c r="S25" i="81" s="1"/>
  <c r="Y24" i="81"/>
  <c r="P24" i="81"/>
  <c r="S24" i="81" s="1"/>
  <c r="T24" i="81" s="1"/>
  <c r="O24" i="81"/>
  <c r="Y23" i="81"/>
  <c r="S23" i="81"/>
  <c r="T23" i="81" s="1"/>
  <c r="O23" i="81"/>
  <c r="Y22" i="81"/>
  <c r="S22" i="81"/>
  <c r="T22" i="81" s="1"/>
  <c r="O22" i="81"/>
  <c r="Y21" i="81"/>
  <c r="O21" i="81"/>
  <c r="Y20" i="81"/>
  <c r="S20" i="81"/>
  <c r="O20" i="81"/>
  <c r="T20" i="81" s="1"/>
  <c r="Y19" i="81"/>
  <c r="O19" i="81"/>
  <c r="Y18" i="81"/>
  <c r="O18" i="81"/>
  <c r="Y17" i="81"/>
  <c r="S17" i="81"/>
  <c r="O17" i="81"/>
  <c r="T17" i="81" s="1"/>
  <c r="Y16" i="81"/>
  <c r="O16" i="81"/>
  <c r="Y15" i="81"/>
  <c r="S15" i="81"/>
  <c r="T15" i="81" s="1"/>
  <c r="O15" i="81"/>
  <c r="Y14" i="81"/>
  <c r="S14" i="81"/>
  <c r="T14" i="81" s="1"/>
  <c r="O14" i="81"/>
  <c r="Y13" i="81"/>
  <c r="S13" i="81"/>
  <c r="T13" i="81" s="1"/>
  <c r="O13" i="81"/>
  <c r="Y12" i="81"/>
  <c r="O12" i="81"/>
  <c r="Y11" i="81"/>
  <c r="P11" i="81"/>
  <c r="S11" i="81" s="1"/>
  <c r="T11" i="81" s="1"/>
  <c r="O11" i="81"/>
  <c r="Y10" i="81"/>
  <c r="S10" i="81"/>
  <c r="O10" i="81"/>
  <c r="T10" i="81" s="1"/>
  <c r="Y9" i="81"/>
  <c r="S9" i="81"/>
  <c r="O9" i="81"/>
  <c r="T9" i="81" s="1"/>
  <c r="AA32" i="80"/>
  <c r="U32" i="80"/>
  <c r="Q32" i="80"/>
  <c r="V32" i="80" s="1"/>
  <c r="AA31" i="80"/>
  <c r="Q31" i="80"/>
  <c r="AA30" i="80"/>
  <c r="Q30" i="80"/>
  <c r="AA29" i="80"/>
  <c r="Q29" i="80"/>
  <c r="AA28" i="80"/>
  <c r="Q28" i="80"/>
  <c r="AA27" i="80"/>
  <c r="Q27" i="80"/>
  <c r="AA26" i="80"/>
  <c r="Q26" i="80"/>
  <c r="AA25" i="80"/>
  <c r="Q25" i="80"/>
  <c r="AA24" i="80"/>
  <c r="U24" i="80"/>
  <c r="V24" i="80" s="1"/>
  <c r="Q24" i="80"/>
  <c r="AA23" i="80"/>
  <c r="U23" i="80"/>
  <c r="V23" i="80" s="1"/>
  <c r="Q23" i="80"/>
  <c r="AA22" i="80"/>
  <c r="U22" i="80"/>
  <c r="V22" i="80" s="1"/>
  <c r="Q22" i="80"/>
  <c r="AA21" i="80"/>
  <c r="U21" i="80"/>
  <c r="V21" i="80" s="1"/>
  <c r="Q21" i="80"/>
  <c r="AA20" i="80"/>
  <c r="Q20" i="80"/>
  <c r="AA19" i="80"/>
  <c r="Q19" i="80"/>
  <c r="AA18" i="80"/>
  <c r="U18" i="80"/>
  <c r="V18" i="80" s="1"/>
  <c r="Q18" i="80"/>
  <c r="AA17" i="80"/>
  <c r="U17" i="80"/>
  <c r="V17" i="80" s="1"/>
  <c r="Q17" i="80"/>
  <c r="AA16" i="80"/>
  <c r="U16" i="80"/>
  <c r="V16" i="80" s="1"/>
  <c r="Q16" i="80"/>
  <c r="AA15" i="80"/>
  <c r="V15" i="80"/>
  <c r="U15" i="80"/>
  <c r="Q15" i="80"/>
  <c r="AA14" i="80"/>
  <c r="V14" i="80"/>
  <c r="U14" i="80"/>
  <c r="Q14" i="80"/>
  <c r="AA13" i="80"/>
  <c r="V13" i="80"/>
  <c r="U13" i="80"/>
  <c r="Q13" i="80"/>
  <c r="AA12" i="80"/>
  <c r="V12" i="80"/>
  <c r="U12" i="80"/>
  <c r="Q12" i="80"/>
  <c r="AA11" i="80"/>
  <c r="V11" i="80"/>
  <c r="U11" i="80"/>
  <c r="Q11" i="80"/>
  <c r="AA10" i="80"/>
  <c r="V10" i="80"/>
  <c r="U10" i="80"/>
  <c r="Q10" i="80"/>
  <c r="AA9" i="80"/>
  <c r="U9" i="80"/>
  <c r="Q9" i="80"/>
  <c r="V9" i="80" s="1"/>
  <c r="AA60" i="79"/>
  <c r="V60" i="79"/>
  <c r="U60" i="79"/>
  <c r="Q60" i="79"/>
  <c r="AA52" i="79"/>
  <c r="V52" i="79"/>
  <c r="U52" i="79"/>
  <c r="Q52" i="79"/>
  <c r="AA51" i="79"/>
  <c r="V51" i="79"/>
  <c r="U51" i="79"/>
  <c r="Q51" i="79"/>
  <c r="AA50" i="79"/>
  <c r="V50" i="79"/>
  <c r="U50" i="79"/>
  <c r="Q50" i="79"/>
  <c r="AA49" i="79"/>
  <c r="Q49" i="79"/>
  <c r="AA48" i="79"/>
  <c r="Q48" i="79"/>
  <c r="AA47" i="79"/>
  <c r="V47" i="79"/>
  <c r="U47" i="79"/>
  <c r="Q47" i="79"/>
  <c r="AA46" i="79"/>
  <c r="V46" i="79"/>
  <c r="U46" i="79"/>
  <c r="Q46" i="79"/>
  <c r="AA45" i="79"/>
  <c r="V45" i="79"/>
  <c r="U45" i="79"/>
  <c r="Q45" i="79"/>
  <c r="AA44" i="79"/>
  <c r="V44" i="79"/>
  <c r="U44" i="79"/>
  <c r="Q44" i="79"/>
  <c r="AA43" i="79"/>
  <c r="V43" i="79"/>
  <c r="U43" i="79"/>
  <c r="Q43" i="79"/>
  <c r="AA42" i="79"/>
  <c r="V42" i="79"/>
  <c r="U42" i="79"/>
  <c r="Q42" i="79"/>
  <c r="AA41" i="79"/>
  <c r="V41" i="79"/>
  <c r="U41" i="79"/>
  <c r="Q41" i="79"/>
  <c r="AA40" i="79"/>
  <c r="V40" i="79"/>
  <c r="U40" i="79"/>
  <c r="Q40" i="79"/>
  <c r="AA39" i="79"/>
  <c r="V39" i="79"/>
  <c r="U39" i="79"/>
  <c r="Q39" i="79"/>
  <c r="AA38" i="79"/>
  <c r="V38" i="79"/>
  <c r="U38" i="79"/>
  <c r="Q38" i="79"/>
  <c r="AA37" i="79"/>
  <c r="U37" i="79"/>
  <c r="Q37" i="79"/>
  <c r="V37" i="79" s="1"/>
  <c r="AA36" i="79"/>
  <c r="U36" i="79"/>
  <c r="Q36" i="79"/>
  <c r="V36" i="79" s="1"/>
  <c r="AA35" i="79"/>
  <c r="U35" i="79"/>
  <c r="Q35" i="79"/>
  <c r="V35" i="79" s="1"/>
  <c r="AA34" i="79"/>
  <c r="Q34" i="79"/>
  <c r="AA33" i="79"/>
  <c r="U33" i="79"/>
  <c r="Q33" i="79"/>
  <c r="V33" i="79" s="1"/>
  <c r="AA32" i="79"/>
  <c r="U32" i="79"/>
  <c r="Q32" i="79"/>
  <c r="V32" i="79" s="1"/>
  <c r="AA31" i="79"/>
  <c r="U31" i="79"/>
  <c r="Q31" i="79"/>
  <c r="V31" i="79" s="1"/>
  <c r="AA30" i="79"/>
  <c r="U30" i="79"/>
  <c r="Q30" i="79"/>
  <c r="V30" i="79" s="1"/>
  <c r="AA29" i="79"/>
  <c r="U29" i="79"/>
  <c r="Q29" i="79"/>
  <c r="V29" i="79" s="1"/>
  <c r="AA28" i="79"/>
  <c r="U28" i="79"/>
  <c r="Q28" i="79"/>
  <c r="V28" i="79" s="1"/>
  <c r="AA27" i="79"/>
  <c r="U27" i="79"/>
  <c r="Q27" i="79"/>
  <c r="V27" i="79" s="1"/>
  <c r="AA26" i="79"/>
  <c r="U26" i="79"/>
  <c r="Q26" i="79"/>
  <c r="V26" i="79" s="1"/>
  <c r="AA25" i="79"/>
  <c r="U25" i="79"/>
  <c r="Q25" i="79"/>
  <c r="V25" i="79" s="1"/>
  <c r="AA24" i="79"/>
  <c r="U24" i="79"/>
  <c r="Q24" i="79"/>
  <c r="V24" i="79" s="1"/>
  <c r="AA23" i="79"/>
  <c r="U23" i="79"/>
  <c r="Q23" i="79"/>
  <c r="V23" i="79" s="1"/>
  <c r="AA22" i="79"/>
  <c r="U22" i="79"/>
  <c r="Q22" i="79"/>
  <c r="V22" i="79" s="1"/>
  <c r="AA21" i="79"/>
  <c r="U21" i="79"/>
  <c r="Q21" i="79"/>
  <c r="V21" i="79" s="1"/>
  <c r="AA20" i="79"/>
  <c r="U20" i="79"/>
  <c r="Q20" i="79"/>
  <c r="V20" i="79" s="1"/>
  <c r="AA19" i="79"/>
  <c r="U19" i="79"/>
  <c r="Q19" i="79"/>
  <c r="V19" i="79" s="1"/>
  <c r="AA18" i="79"/>
  <c r="U18" i="79"/>
  <c r="Q18" i="79"/>
  <c r="V18" i="79" s="1"/>
  <c r="AA17" i="79"/>
  <c r="U17" i="79"/>
  <c r="Q17" i="79"/>
  <c r="V17" i="79" s="1"/>
  <c r="AA16" i="79"/>
  <c r="U16" i="79"/>
  <c r="Q16" i="79"/>
  <c r="V16" i="79" s="1"/>
  <c r="AA15" i="79"/>
  <c r="U15" i="79"/>
  <c r="Q15" i="79"/>
  <c r="V15" i="79" s="1"/>
  <c r="AA14" i="79"/>
  <c r="U14" i="79"/>
  <c r="Q14" i="79"/>
  <c r="V14" i="79" s="1"/>
  <c r="AA13" i="79"/>
  <c r="U13" i="79"/>
  <c r="Q13" i="79"/>
  <c r="V13" i="79" s="1"/>
  <c r="AA12" i="79"/>
  <c r="U12" i="79"/>
  <c r="Q12" i="79"/>
  <c r="V12" i="79" s="1"/>
  <c r="AA11" i="79"/>
  <c r="U11" i="79"/>
  <c r="Q11" i="79"/>
  <c r="V11" i="79" s="1"/>
  <c r="AA10" i="79"/>
  <c r="U10" i="79"/>
  <c r="Q10" i="79"/>
  <c r="V10" i="79" s="1"/>
  <c r="AA9" i="79"/>
  <c r="U9" i="79"/>
  <c r="Q9" i="79"/>
  <c r="V9" i="79" s="1"/>
  <c r="AF53" i="78"/>
  <c r="V53" i="78"/>
  <c r="AF52" i="78"/>
  <c r="V52" i="78"/>
  <c r="AF51" i="78"/>
  <c r="V51" i="78"/>
  <c r="AF50" i="78"/>
  <c r="V50" i="78"/>
  <c r="AF49" i="78"/>
  <c r="V49" i="78"/>
  <c r="AF48" i="78"/>
  <c r="V48" i="78"/>
  <c r="AF47" i="78"/>
  <c r="V47" i="78"/>
  <c r="AF46" i="78"/>
  <c r="V46" i="78"/>
  <c r="AF45" i="78"/>
  <c r="V45" i="78"/>
  <c r="AF44" i="78"/>
  <c r="V44" i="78"/>
  <c r="AF43" i="78"/>
  <c r="V43" i="78"/>
  <c r="AF42" i="78"/>
  <c r="V42" i="78"/>
  <c r="AF41" i="78"/>
  <c r="V41" i="78"/>
  <c r="AF40" i="78"/>
  <c r="V40" i="78"/>
  <c r="AF39" i="78"/>
  <c r="V39" i="78"/>
  <c r="AF38" i="78"/>
  <c r="V38" i="78"/>
  <c r="AF37" i="78"/>
  <c r="V37" i="78"/>
  <c r="AF36" i="78"/>
  <c r="V36" i="78"/>
  <c r="AF35" i="78"/>
  <c r="V35" i="78"/>
  <c r="AF34" i="78"/>
  <c r="V34" i="78"/>
  <c r="AF33" i="78"/>
  <c r="V33" i="78"/>
  <c r="AF32" i="78"/>
  <c r="V32" i="78"/>
  <c r="AF31" i="78"/>
  <c r="V31" i="78"/>
  <c r="AF30" i="78"/>
  <c r="V30" i="78"/>
  <c r="AF29" i="78"/>
  <c r="V29" i="78"/>
  <c r="AF28" i="78"/>
  <c r="V28" i="78"/>
  <c r="AF27" i="78"/>
  <c r="V27" i="78"/>
  <c r="AF26" i="78"/>
  <c r="V26" i="78"/>
  <c r="AF25" i="78"/>
  <c r="V25" i="78"/>
  <c r="AF24" i="78"/>
  <c r="V24" i="78"/>
  <c r="AF23" i="78"/>
  <c r="V23" i="78"/>
  <c r="AF22" i="78"/>
  <c r="V22" i="78"/>
  <c r="AF21" i="78"/>
  <c r="V21" i="78"/>
  <c r="AF20" i="78"/>
  <c r="V20" i="78"/>
  <c r="AF19" i="78"/>
  <c r="V19" i="78"/>
  <c r="AF18" i="78"/>
  <c r="V18" i="78"/>
  <c r="AF17" i="78"/>
  <c r="V17" i="78"/>
  <c r="AF16" i="78"/>
  <c r="V16" i="78"/>
  <c r="AF15" i="78"/>
  <c r="V15" i="78"/>
  <c r="AF14" i="78"/>
  <c r="V14" i="78"/>
  <c r="AF13" i="78"/>
  <c r="V13" i="78"/>
  <c r="AF12" i="78"/>
  <c r="V12" i="78"/>
  <c r="AF11" i="78"/>
  <c r="V11" i="78"/>
  <c r="AF10" i="78"/>
  <c r="V10" i="78"/>
  <c r="AF9" i="78"/>
  <c r="V9" i="78"/>
  <c r="AF8" i="78"/>
  <c r="V8" i="78"/>
  <c r="AD19" i="77"/>
  <c r="T19" i="77"/>
  <c r="AD18" i="77"/>
  <c r="T18" i="77"/>
  <c r="AD17" i="77"/>
  <c r="T17" i="77"/>
  <c r="AD16" i="77"/>
  <c r="T16" i="77"/>
  <c r="AD15" i="77"/>
  <c r="T15" i="77"/>
  <c r="AD14" i="77"/>
  <c r="Y14" i="77"/>
  <c r="X14" i="77"/>
  <c r="T14" i="77"/>
  <c r="AD13" i="77"/>
  <c r="Y13" i="77"/>
  <c r="X13" i="77"/>
  <c r="T13" i="77"/>
  <c r="AD12" i="77"/>
  <c r="Y12" i="77"/>
  <c r="X12" i="77"/>
  <c r="T12" i="77"/>
  <c r="AD11" i="77"/>
  <c r="Y11" i="77"/>
  <c r="X11" i="77"/>
  <c r="T11" i="77"/>
  <c r="AD10" i="77"/>
  <c r="Y10" i="77"/>
  <c r="X10" i="77"/>
  <c r="T10" i="77"/>
  <c r="Y118" i="76"/>
  <c r="O118" i="76"/>
  <c r="Y102" i="76"/>
  <c r="S102" i="76"/>
  <c r="O102" i="76"/>
  <c r="T102" i="76" s="1"/>
  <c r="Y70" i="76"/>
  <c r="O70" i="76"/>
  <c r="Y69" i="76"/>
  <c r="O69" i="76"/>
  <c r="Y68" i="76"/>
  <c r="O68" i="76"/>
  <c r="Y67" i="76"/>
  <c r="O67" i="76"/>
  <c r="Y66" i="76"/>
  <c r="O66" i="76"/>
  <c r="Y65" i="76"/>
  <c r="O65" i="76"/>
  <c r="Y64" i="76"/>
  <c r="O64" i="76"/>
  <c r="Y63" i="76"/>
  <c r="O63" i="76"/>
  <c r="Y62" i="76"/>
  <c r="O62" i="76"/>
  <c r="Y61" i="76"/>
  <c r="O61" i="76"/>
  <c r="Y60" i="76"/>
  <c r="O60" i="76"/>
  <c r="Y59" i="76"/>
  <c r="O59" i="76"/>
  <c r="Y58" i="76"/>
  <c r="O58" i="76"/>
  <c r="Y57" i="76"/>
  <c r="O57" i="76"/>
  <c r="Y56" i="76"/>
  <c r="O56" i="76"/>
  <c r="Y55" i="76"/>
  <c r="O55" i="76"/>
  <c r="Y54" i="76"/>
  <c r="S54" i="76"/>
  <c r="O54" i="76"/>
  <c r="T54" i="76" s="1"/>
  <c r="Y53" i="76"/>
  <c r="S53" i="76"/>
  <c r="O53" i="76"/>
  <c r="T53" i="76" s="1"/>
  <c r="Y52" i="76"/>
  <c r="O52" i="76"/>
  <c r="Y51" i="76"/>
  <c r="T51" i="76"/>
  <c r="S51" i="76"/>
  <c r="O51" i="76"/>
  <c r="Y50" i="76"/>
  <c r="T50" i="76"/>
  <c r="S50" i="76"/>
  <c r="O50" i="76"/>
  <c r="Y49" i="76"/>
  <c r="T49" i="76"/>
  <c r="S49" i="76"/>
  <c r="O49" i="76"/>
  <c r="Y48" i="76"/>
  <c r="T48" i="76"/>
  <c r="S48" i="76"/>
  <c r="O48" i="76"/>
  <c r="Y47" i="76"/>
  <c r="T47" i="76"/>
  <c r="S47" i="76"/>
  <c r="O47" i="76"/>
  <c r="Y46" i="76"/>
  <c r="T46" i="76"/>
  <c r="S46" i="76"/>
  <c r="O46" i="76"/>
  <c r="Y45" i="76"/>
  <c r="T45" i="76"/>
  <c r="S45" i="76"/>
  <c r="O45" i="76"/>
  <c r="Y44" i="76"/>
  <c r="T44" i="76"/>
  <c r="S44" i="76"/>
  <c r="O44" i="76"/>
  <c r="Y43" i="76"/>
  <c r="T43" i="76"/>
  <c r="S43" i="76"/>
  <c r="O43" i="76"/>
  <c r="Y42" i="76"/>
  <c r="T42" i="76"/>
  <c r="S42" i="76"/>
  <c r="O42" i="76"/>
  <c r="Y41" i="76"/>
  <c r="T41" i="76"/>
  <c r="S41" i="76"/>
  <c r="O41" i="76"/>
  <c r="Y40" i="76"/>
  <c r="T40" i="76"/>
  <c r="S40" i="76"/>
  <c r="O40" i="76"/>
  <c r="Y39" i="76"/>
  <c r="T39" i="76"/>
  <c r="S39" i="76"/>
  <c r="O39" i="76"/>
  <c r="Y38" i="76"/>
  <c r="T38" i="76"/>
  <c r="S38" i="76"/>
  <c r="O38" i="76"/>
  <c r="Y37" i="76"/>
  <c r="T37" i="76"/>
  <c r="S37" i="76"/>
  <c r="O37" i="76"/>
  <c r="Y36" i="76"/>
  <c r="T36" i="76"/>
  <c r="S36" i="76"/>
  <c r="O36" i="76"/>
  <c r="Y35" i="76"/>
  <c r="T35" i="76"/>
  <c r="S35" i="76"/>
  <c r="O35" i="76"/>
  <c r="Y34" i="76"/>
  <c r="T34" i="76"/>
  <c r="S34" i="76"/>
  <c r="O34" i="76"/>
  <c r="Y33" i="76"/>
  <c r="T33" i="76"/>
  <c r="S33" i="76"/>
  <c r="O33" i="76"/>
  <c r="Y32" i="76"/>
  <c r="T32" i="76"/>
  <c r="S32" i="76"/>
  <c r="O32" i="76"/>
  <c r="Y31" i="76"/>
  <c r="T31" i="76"/>
  <c r="S31" i="76"/>
  <c r="O31" i="76"/>
  <c r="Y30" i="76"/>
  <c r="T30" i="76"/>
  <c r="S30" i="76"/>
  <c r="O30" i="76"/>
  <c r="Y29" i="76"/>
  <c r="T29" i="76"/>
  <c r="S29" i="76"/>
  <c r="O29" i="76"/>
  <c r="Y28" i="76"/>
  <c r="T28" i="76"/>
  <c r="S28" i="76"/>
  <c r="O28" i="76"/>
  <c r="Y27" i="76"/>
  <c r="T27" i="76"/>
  <c r="S27" i="76"/>
  <c r="O27" i="76"/>
  <c r="Y26" i="76"/>
  <c r="T26" i="76"/>
  <c r="S26" i="76"/>
  <c r="O26" i="76"/>
  <c r="Y25" i="76"/>
  <c r="T25" i="76"/>
  <c r="S25" i="76"/>
  <c r="O25" i="76"/>
  <c r="Y24" i="76"/>
  <c r="T24" i="76"/>
  <c r="S24" i="76"/>
  <c r="O24" i="76"/>
  <c r="Y23" i="76"/>
  <c r="T23" i="76"/>
  <c r="S23" i="76"/>
  <c r="O23" i="76"/>
  <c r="Y22" i="76"/>
  <c r="T22" i="76"/>
  <c r="S22" i="76"/>
  <c r="O22" i="76"/>
  <c r="Y21" i="76"/>
  <c r="T21" i="76"/>
  <c r="S21" i="76"/>
  <c r="O21" i="76"/>
  <c r="Y20" i="76"/>
  <c r="T20" i="76"/>
  <c r="S20" i="76"/>
  <c r="O20" i="76"/>
  <c r="Y19" i="76"/>
  <c r="T19" i="76"/>
  <c r="S19" i="76"/>
  <c r="O19" i="76"/>
  <c r="Y18" i="76"/>
  <c r="O18" i="76"/>
  <c r="Y17" i="76"/>
  <c r="S17" i="76"/>
  <c r="O17" i="76"/>
  <c r="T17" i="76" s="1"/>
  <c r="Y16" i="76"/>
  <c r="S16" i="76"/>
  <c r="O16" i="76"/>
  <c r="T16" i="76" s="1"/>
  <c r="Y15" i="76"/>
  <c r="S15" i="76"/>
  <c r="O15" i="76"/>
  <c r="T15" i="76" s="1"/>
  <c r="Y14" i="76"/>
  <c r="S14" i="76"/>
  <c r="O14" i="76"/>
  <c r="T14" i="76" s="1"/>
  <c r="Y13" i="76"/>
  <c r="S13" i="76"/>
  <c r="O13" i="76"/>
  <c r="T13" i="76" s="1"/>
  <c r="Y12" i="76"/>
  <c r="S12" i="76"/>
  <c r="O12" i="76"/>
  <c r="T12" i="76" s="1"/>
  <c r="Y11" i="76"/>
  <c r="S11" i="76"/>
  <c r="O11" i="76"/>
  <c r="T11" i="76" s="1"/>
  <c r="Y10" i="76"/>
  <c r="S10" i="76"/>
  <c r="O10" i="76"/>
  <c r="T10" i="76" s="1"/>
  <c r="Y9" i="76"/>
  <c r="S9" i="76"/>
  <c r="O9" i="76"/>
  <c r="T9" i="76" s="1"/>
  <c r="Y8" i="76"/>
  <c r="S8" i="76"/>
  <c r="O8" i="76"/>
  <c r="T8" i="76" s="1"/>
  <c r="AC92" i="75"/>
  <c r="S92" i="75"/>
  <c r="AC91" i="75"/>
  <c r="S91" i="75"/>
  <c r="AC90" i="75"/>
  <c r="S90" i="75"/>
  <c r="AC89" i="75"/>
  <c r="S89" i="75"/>
  <c r="AC88" i="75"/>
  <c r="S88" i="75"/>
  <c r="AC87" i="75"/>
  <c r="S87" i="75"/>
  <c r="AC86" i="75"/>
  <c r="S86" i="75"/>
  <c r="AC85" i="75"/>
  <c r="S85" i="75"/>
  <c r="AC84" i="75"/>
  <c r="S84" i="75"/>
  <c r="AC83" i="75"/>
  <c r="S83" i="75"/>
  <c r="AC82" i="75"/>
  <c r="S82" i="75"/>
  <c r="AC81" i="75"/>
  <c r="S81" i="75"/>
  <c r="AC80" i="75"/>
  <c r="S80" i="75"/>
  <c r="AC79" i="75"/>
  <c r="S79" i="75"/>
  <c r="AC78" i="75"/>
  <c r="S78" i="75"/>
  <c r="AC77" i="75"/>
  <c r="X77" i="75"/>
  <c r="W77" i="75"/>
  <c r="S77" i="75"/>
  <c r="AC76" i="75"/>
  <c r="X76" i="75"/>
  <c r="W76" i="75"/>
  <c r="S76" i="75"/>
  <c r="AC75" i="75"/>
  <c r="X75" i="75"/>
  <c r="W75" i="75"/>
  <c r="S75" i="75"/>
  <c r="AC74" i="75"/>
  <c r="X74" i="75"/>
  <c r="W74" i="75"/>
  <c r="S74" i="75"/>
  <c r="AC73" i="75"/>
  <c r="X73" i="75"/>
  <c r="W73" i="75"/>
  <c r="S73" i="75"/>
  <c r="AC72" i="75"/>
  <c r="X72" i="75"/>
  <c r="W72" i="75"/>
  <c r="S72" i="75"/>
  <c r="AC71" i="75"/>
  <c r="S71" i="75"/>
  <c r="AC70" i="75"/>
  <c r="S70" i="75"/>
  <c r="AC69" i="75"/>
  <c r="S69" i="75"/>
  <c r="AC68" i="75"/>
  <c r="S68" i="75"/>
  <c r="AC67" i="75"/>
  <c r="S67" i="75"/>
  <c r="AC66" i="75"/>
  <c r="S66" i="75"/>
  <c r="AC65" i="75"/>
  <c r="S65" i="75"/>
  <c r="AC64" i="75"/>
  <c r="S64" i="75"/>
  <c r="AC63" i="75"/>
  <c r="S63" i="75"/>
  <c r="AC62" i="75"/>
  <c r="S62" i="75"/>
  <c r="AC61" i="75"/>
  <c r="S61" i="75"/>
  <c r="AC60" i="75"/>
  <c r="S60" i="75"/>
  <c r="AC59" i="75"/>
  <c r="X59" i="75"/>
  <c r="W59" i="75"/>
  <c r="S59" i="75"/>
  <c r="AC58" i="75"/>
  <c r="X58" i="75"/>
  <c r="W58" i="75"/>
  <c r="S58" i="75"/>
  <c r="AC57" i="75"/>
  <c r="X57" i="75"/>
  <c r="W57" i="75"/>
  <c r="S57" i="75"/>
  <c r="AC56" i="75"/>
  <c r="X56" i="75"/>
  <c r="W56" i="75"/>
  <c r="S56" i="75"/>
  <c r="AC55" i="75"/>
  <c r="X55" i="75"/>
  <c r="W55" i="75"/>
  <c r="S55" i="75"/>
  <c r="AC54" i="75"/>
  <c r="X54" i="75"/>
  <c r="W54" i="75"/>
  <c r="S54" i="75"/>
  <c r="AC53" i="75"/>
  <c r="X53" i="75"/>
  <c r="W53" i="75"/>
  <c r="S53" i="75"/>
  <c r="AC52" i="75"/>
  <c r="X52" i="75"/>
  <c r="W52" i="75"/>
  <c r="S52" i="75"/>
  <c r="AC51" i="75"/>
  <c r="X51" i="75"/>
  <c r="W51" i="75"/>
  <c r="S51" i="75"/>
  <c r="AC50" i="75"/>
  <c r="X50" i="75"/>
  <c r="W50" i="75"/>
  <c r="S50" i="75"/>
  <c r="AC49" i="75"/>
  <c r="X49" i="75"/>
  <c r="W49" i="75"/>
  <c r="S49" i="75"/>
  <c r="AC48" i="75"/>
  <c r="X48" i="75"/>
  <c r="W48" i="75"/>
  <c r="S48" i="75"/>
  <c r="AC47" i="75"/>
  <c r="X47" i="75"/>
  <c r="W47" i="75"/>
  <c r="S47" i="75"/>
  <c r="AC46" i="75"/>
  <c r="X46" i="75"/>
  <c r="W46" i="75"/>
  <c r="S46" i="75"/>
  <c r="AC45" i="75"/>
  <c r="X45" i="75"/>
  <c r="W45" i="75"/>
  <c r="S45" i="75"/>
  <c r="AC44" i="75"/>
  <c r="X44" i="75"/>
  <c r="W44" i="75"/>
  <c r="S44" i="75"/>
  <c r="AC43" i="75"/>
  <c r="X43" i="75"/>
  <c r="W43" i="75"/>
  <c r="S43" i="75"/>
  <c r="AC42" i="75"/>
  <c r="X42" i="75"/>
  <c r="W42" i="75"/>
  <c r="S42" i="75"/>
  <c r="AC41" i="75"/>
  <c r="X41" i="75"/>
  <c r="W41" i="75"/>
  <c r="S41" i="75"/>
  <c r="AC40" i="75"/>
  <c r="X40" i="75"/>
  <c r="W40" i="75"/>
  <c r="S40" i="75"/>
  <c r="AC39" i="75"/>
  <c r="X39" i="75"/>
  <c r="W39" i="75"/>
  <c r="S39" i="75"/>
  <c r="AC38" i="75"/>
  <c r="X38" i="75"/>
  <c r="W38" i="75"/>
  <c r="S38" i="75"/>
  <c r="AC37" i="75"/>
  <c r="W37" i="75"/>
  <c r="S37" i="75"/>
  <c r="X37" i="75" s="1"/>
  <c r="AC36" i="75"/>
  <c r="W36" i="75"/>
  <c r="S36" i="75"/>
  <c r="X36" i="75" s="1"/>
  <c r="AC35" i="75"/>
  <c r="W35" i="75"/>
  <c r="S35" i="75"/>
  <c r="X35" i="75" s="1"/>
  <c r="AC34" i="75"/>
  <c r="W34" i="75"/>
  <c r="S34" i="75"/>
  <c r="X34" i="75" s="1"/>
  <c r="AC33" i="75"/>
  <c r="W33" i="75"/>
  <c r="S33" i="75"/>
  <c r="X33" i="75" s="1"/>
  <c r="AC32" i="75"/>
  <c r="W32" i="75"/>
  <c r="S32" i="75"/>
  <c r="X32" i="75" s="1"/>
  <c r="AC31" i="75"/>
  <c r="W31" i="75"/>
  <c r="S31" i="75"/>
  <c r="X31" i="75" s="1"/>
  <c r="AC30" i="75"/>
  <c r="W30" i="75"/>
  <c r="S30" i="75"/>
  <c r="X30" i="75" s="1"/>
  <c r="AC29" i="75"/>
  <c r="W29" i="75"/>
  <c r="S29" i="75"/>
  <c r="X29" i="75" s="1"/>
  <c r="AC28" i="75"/>
  <c r="W28" i="75"/>
  <c r="S28" i="75"/>
  <c r="X28" i="75" s="1"/>
  <c r="AC27" i="75"/>
  <c r="W27" i="75"/>
  <c r="S27" i="75"/>
  <c r="X27" i="75" s="1"/>
  <c r="AC26" i="75"/>
  <c r="W26" i="75"/>
  <c r="S26" i="75"/>
  <c r="X26" i="75" s="1"/>
  <c r="AC25" i="75"/>
  <c r="W25" i="75"/>
  <c r="S25" i="75"/>
  <c r="X25" i="75" s="1"/>
  <c r="AC24" i="75"/>
  <c r="W24" i="75"/>
  <c r="S24" i="75"/>
  <c r="X24" i="75" s="1"/>
  <c r="AC23" i="75"/>
  <c r="W23" i="75"/>
  <c r="S23" i="75"/>
  <c r="X23" i="75" s="1"/>
  <c r="AC22" i="75"/>
  <c r="W22" i="75"/>
  <c r="S22" i="75"/>
  <c r="X22" i="75" s="1"/>
  <c r="AC21" i="75"/>
  <c r="W21" i="75"/>
  <c r="S21" i="75"/>
  <c r="X21" i="75" s="1"/>
  <c r="AC20" i="75"/>
  <c r="W20" i="75"/>
  <c r="S20" i="75"/>
  <c r="X20" i="75" s="1"/>
  <c r="AC19" i="75"/>
  <c r="W19" i="75"/>
  <c r="S19" i="75"/>
  <c r="X19" i="75" s="1"/>
  <c r="AC18" i="75"/>
  <c r="W18" i="75"/>
  <c r="S18" i="75"/>
  <c r="X18" i="75" s="1"/>
  <c r="AC17" i="75"/>
  <c r="W17" i="75"/>
  <c r="S17" i="75"/>
  <c r="X17" i="75" s="1"/>
  <c r="AC16" i="75"/>
  <c r="W16" i="75"/>
  <c r="S16" i="75"/>
  <c r="X16" i="75" s="1"/>
  <c r="AC15" i="75"/>
  <c r="W15" i="75"/>
  <c r="S15" i="75"/>
  <c r="X15" i="75" s="1"/>
  <c r="AC14" i="75"/>
  <c r="W14" i="75"/>
  <c r="S14" i="75"/>
  <c r="X14" i="75" s="1"/>
  <c r="AC13" i="75"/>
  <c r="W13" i="75"/>
  <c r="S13" i="75"/>
  <c r="X13" i="75" s="1"/>
  <c r="AC12" i="75"/>
  <c r="W12" i="75"/>
  <c r="S12" i="75"/>
  <c r="X12" i="75" s="1"/>
  <c r="AC11" i="75"/>
  <c r="W11" i="75"/>
  <c r="S11" i="75"/>
  <c r="X11" i="75" s="1"/>
  <c r="AC10" i="75"/>
  <c r="W10" i="75"/>
  <c r="S10" i="75"/>
  <c r="X10" i="75" s="1"/>
  <c r="AC9" i="75"/>
  <c r="W9" i="75"/>
  <c r="S9" i="75"/>
  <c r="X9" i="75" s="1"/>
  <c r="AC8" i="75"/>
  <c r="W8" i="75"/>
  <c r="S8" i="75"/>
  <c r="X8" i="75" s="1"/>
  <c r="AB55" i="74"/>
  <c r="W55" i="74"/>
  <c r="S55" i="74"/>
  <c r="AB54" i="74"/>
  <c r="W54" i="74"/>
  <c r="S54" i="74"/>
  <c r="AB53" i="74"/>
  <c r="W53" i="74"/>
  <c r="S53" i="74"/>
  <c r="AB52" i="74"/>
  <c r="W52" i="74"/>
  <c r="S52" i="74"/>
  <c r="AB51" i="74"/>
  <c r="S51" i="74"/>
  <c r="AB50" i="74"/>
  <c r="S50" i="74"/>
  <c r="AB49" i="74"/>
  <c r="W49" i="74"/>
  <c r="S49" i="74"/>
  <c r="AB48" i="74"/>
  <c r="W48" i="74"/>
  <c r="S48" i="74"/>
  <c r="AB47" i="74"/>
  <c r="W47" i="74"/>
  <c r="S47" i="74"/>
  <c r="AB46" i="74"/>
  <c r="W46" i="74"/>
  <c r="S46" i="74"/>
  <c r="AB45" i="74"/>
  <c r="W45" i="74"/>
  <c r="S45" i="74"/>
  <c r="AB44" i="74"/>
  <c r="W44" i="74"/>
  <c r="S44" i="74"/>
  <c r="AB43" i="74"/>
  <c r="W43" i="74"/>
  <c r="S43" i="74"/>
  <c r="AB42" i="74"/>
  <c r="W42" i="74"/>
  <c r="S42" i="74"/>
  <c r="AB41" i="74"/>
  <c r="W41" i="74"/>
  <c r="S41" i="74"/>
  <c r="AB40" i="74"/>
  <c r="W40" i="74"/>
  <c r="S40" i="74"/>
  <c r="AB39" i="74"/>
  <c r="W39" i="74"/>
  <c r="S39" i="74"/>
  <c r="AB38" i="74"/>
  <c r="W38" i="74"/>
  <c r="S38" i="74"/>
  <c r="AB37" i="74"/>
  <c r="W37" i="74"/>
  <c r="S37" i="74"/>
  <c r="AB36" i="74"/>
  <c r="W36" i="74"/>
  <c r="S36" i="74"/>
  <c r="AB35" i="74"/>
  <c r="W35" i="74"/>
  <c r="S35" i="74"/>
  <c r="AB34" i="74"/>
  <c r="W34" i="74"/>
  <c r="S34" i="74"/>
  <c r="AB33" i="74"/>
  <c r="W33" i="74"/>
  <c r="S33" i="74"/>
  <c r="AB32" i="74"/>
  <c r="W32" i="74"/>
  <c r="S32" i="74"/>
  <c r="AB31" i="74"/>
  <c r="W31" i="74"/>
  <c r="S31" i="74"/>
  <c r="AB30" i="74"/>
  <c r="W30" i="74"/>
  <c r="S30" i="74"/>
  <c r="AB29" i="74"/>
  <c r="W29" i="74"/>
  <c r="S29" i="74"/>
  <c r="AB28" i="74"/>
  <c r="W28" i="74"/>
  <c r="S28" i="74"/>
  <c r="AB27" i="74"/>
  <c r="W27" i="74"/>
  <c r="S27" i="74"/>
  <c r="AB26" i="74"/>
  <c r="W26" i="74"/>
  <c r="S26" i="74"/>
  <c r="AB25" i="74"/>
  <c r="W25" i="74"/>
  <c r="S25" i="74"/>
  <c r="AB24" i="74"/>
  <c r="W24" i="74"/>
  <c r="S24" i="74"/>
  <c r="AB23" i="74"/>
  <c r="W23" i="74"/>
  <c r="S23" i="74"/>
  <c r="AB22" i="74"/>
  <c r="W22" i="74"/>
  <c r="S22" i="74"/>
  <c r="AB21" i="74"/>
  <c r="W21" i="74"/>
  <c r="S21" i="74"/>
  <c r="AB20" i="74"/>
  <c r="W20" i="74"/>
  <c r="S20" i="74"/>
  <c r="AB19" i="74"/>
  <c r="W19" i="74"/>
  <c r="S19" i="74"/>
  <c r="AB18" i="74"/>
  <c r="W18" i="74"/>
  <c r="S18" i="74"/>
  <c r="AB17" i="74"/>
  <c r="W17" i="74"/>
  <c r="S17" i="74"/>
  <c r="AB16" i="74"/>
  <c r="W16" i="74"/>
  <c r="S16" i="74"/>
  <c r="AB15" i="74"/>
  <c r="W15" i="74"/>
  <c r="S15" i="74"/>
  <c r="AB14" i="74"/>
  <c r="W14" i="74"/>
  <c r="S14" i="74"/>
  <c r="AB13" i="74"/>
  <c r="W13" i="74"/>
  <c r="S13" i="74"/>
  <c r="AB12" i="74"/>
  <c r="W12" i="74"/>
  <c r="S12" i="74"/>
  <c r="AB11" i="74"/>
  <c r="W11" i="74"/>
  <c r="S11" i="74"/>
  <c r="AB10" i="74"/>
  <c r="W10" i="74"/>
  <c r="S10" i="74"/>
  <c r="AB9" i="74"/>
  <c r="W9" i="74"/>
  <c r="S9" i="74"/>
  <c r="AC55" i="73"/>
  <c r="X55" i="73"/>
  <c r="W55" i="73"/>
  <c r="S55" i="73"/>
  <c r="AC54" i="73"/>
  <c r="X54" i="73"/>
  <c r="W54" i="73"/>
  <c r="S54" i="73"/>
  <c r="AC53" i="73"/>
  <c r="X53" i="73"/>
  <c r="W53" i="73"/>
  <c r="S53" i="73"/>
  <c r="AC52" i="73"/>
  <c r="X52" i="73"/>
  <c r="W52" i="73"/>
  <c r="S52" i="73"/>
  <c r="AC51" i="73"/>
  <c r="S51" i="73"/>
  <c r="AC50" i="73"/>
  <c r="S50" i="73"/>
  <c r="AC49" i="73"/>
  <c r="X49" i="73"/>
  <c r="W49" i="73"/>
  <c r="S49" i="73"/>
  <c r="AC48" i="73"/>
  <c r="X48" i="73"/>
  <c r="W48" i="73"/>
  <c r="S48" i="73"/>
  <c r="AC47" i="73"/>
  <c r="X47" i="73"/>
  <c r="W47" i="73"/>
  <c r="S47" i="73"/>
  <c r="AC46" i="73"/>
  <c r="X46" i="73"/>
  <c r="W46" i="73"/>
  <c r="S46" i="73"/>
  <c r="AC45" i="73"/>
  <c r="X45" i="73"/>
  <c r="W45" i="73"/>
  <c r="S45" i="73"/>
  <c r="AC44" i="73"/>
  <c r="X44" i="73"/>
  <c r="W44" i="73"/>
  <c r="S44" i="73"/>
  <c r="AC43" i="73"/>
  <c r="X43" i="73"/>
  <c r="W43" i="73"/>
  <c r="S43" i="73"/>
  <c r="AC42" i="73"/>
  <c r="X42" i="73"/>
  <c r="W42" i="73"/>
  <c r="S42" i="73"/>
  <c r="AC41" i="73"/>
  <c r="X41" i="73"/>
  <c r="W41" i="73"/>
  <c r="S41" i="73"/>
  <c r="AC40" i="73"/>
  <c r="X40" i="73"/>
  <c r="W40" i="73"/>
  <c r="S40" i="73"/>
  <c r="AC39" i="73"/>
  <c r="X39" i="73"/>
  <c r="W39" i="73"/>
  <c r="S39" i="73"/>
  <c r="AC38" i="73"/>
  <c r="X38" i="73"/>
  <c r="W38" i="73"/>
  <c r="S38" i="73"/>
  <c r="AC37" i="73"/>
  <c r="X37" i="73"/>
  <c r="W37" i="73"/>
  <c r="S37" i="73"/>
  <c r="AC36" i="73"/>
  <c r="X36" i="73"/>
  <c r="W36" i="73"/>
  <c r="S36" i="73"/>
  <c r="AC35" i="73"/>
  <c r="X35" i="73"/>
  <c r="W35" i="73"/>
  <c r="S35" i="73"/>
  <c r="AC34" i="73"/>
  <c r="X34" i="73"/>
  <c r="W34" i="73"/>
  <c r="S34" i="73"/>
  <c r="AC33" i="73"/>
  <c r="X33" i="73"/>
  <c r="W33" i="73"/>
  <c r="S33" i="73"/>
  <c r="AC32" i="73"/>
  <c r="X32" i="73"/>
  <c r="W32" i="73"/>
  <c r="S32" i="73"/>
  <c r="AC31" i="73"/>
  <c r="X31" i="73"/>
  <c r="W31" i="73"/>
  <c r="S31" i="73"/>
  <c r="AC30" i="73"/>
  <c r="X30" i="73"/>
  <c r="W30" i="73"/>
  <c r="S30" i="73"/>
  <c r="AC29" i="73"/>
  <c r="X29" i="73"/>
  <c r="W29" i="73"/>
  <c r="S29" i="73"/>
  <c r="AC28" i="73"/>
  <c r="X28" i="73"/>
  <c r="W28" i="73"/>
  <c r="S28" i="73"/>
  <c r="AC27" i="73"/>
  <c r="X27" i="73"/>
  <c r="W27" i="73"/>
  <c r="S27" i="73"/>
  <c r="AC26" i="73"/>
  <c r="X26" i="73"/>
  <c r="W26" i="73"/>
  <c r="S26" i="73"/>
  <c r="AC25" i="73"/>
  <c r="X25" i="73"/>
  <c r="W25" i="73"/>
  <c r="S25" i="73"/>
  <c r="AC24" i="73"/>
  <c r="X24" i="73"/>
  <c r="W24" i="73"/>
  <c r="S24" i="73"/>
  <c r="AC23" i="73"/>
  <c r="X23" i="73"/>
  <c r="W23" i="73"/>
  <c r="S23" i="73"/>
  <c r="AC22" i="73"/>
  <c r="X22" i="73"/>
  <c r="W22" i="73"/>
  <c r="S22" i="73"/>
  <c r="AC21" i="73"/>
  <c r="X21" i="73"/>
  <c r="W21" i="73"/>
  <c r="S21" i="73"/>
  <c r="AC20" i="73"/>
  <c r="X20" i="73"/>
  <c r="W20" i="73"/>
  <c r="S20" i="73"/>
  <c r="AC19" i="73"/>
  <c r="X19" i="73"/>
  <c r="W19" i="73"/>
  <c r="S19" i="73"/>
  <c r="AC18" i="73"/>
  <c r="X18" i="73"/>
  <c r="W18" i="73"/>
  <c r="S18" i="73"/>
  <c r="AC17" i="73"/>
  <c r="X17" i="73"/>
  <c r="W17" i="73"/>
  <c r="S17" i="73"/>
  <c r="AC16" i="73"/>
  <c r="X16" i="73"/>
  <c r="W16" i="73"/>
  <c r="S16" i="73"/>
  <c r="AC15" i="73"/>
  <c r="X15" i="73"/>
  <c r="W15" i="73"/>
  <c r="S15" i="73"/>
  <c r="AC14" i="73"/>
  <c r="X14" i="73"/>
  <c r="W14" i="73"/>
  <c r="S14" i="73"/>
  <c r="AC13" i="73"/>
  <c r="X13" i="73"/>
  <c r="W13" i="73"/>
  <c r="S13" i="73"/>
  <c r="AC12" i="73"/>
  <c r="X12" i="73"/>
  <c r="W12" i="73"/>
  <c r="S12" i="73"/>
  <c r="AC11" i="73"/>
  <c r="X11" i="73"/>
  <c r="W11" i="73"/>
  <c r="S11" i="73"/>
  <c r="AC10" i="73"/>
  <c r="X10" i="73"/>
  <c r="W10" i="73"/>
  <c r="S10" i="73"/>
  <c r="AC9" i="73"/>
  <c r="X9" i="73"/>
  <c r="W9" i="73"/>
  <c r="S9" i="73"/>
  <c r="AB34" i="72"/>
  <c r="R34" i="72"/>
  <c r="AB33" i="72"/>
  <c r="R33" i="72"/>
  <c r="AB32" i="72"/>
  <c r="R32" i="72"/>
  <c r="AB31" i="72"/>
  <c r="R31" i="72"/>
  <c r="AB30" i="72"/>
  <c r="R30" i="72"/>
  <c r="AB29" i="72"/>
  <c r="R29" i="72"/>
  <c r="AB28" i="72"/>
  <c r="R28" i="72"/>
  <c r="AB27" i="72"/>
  <c r="R27" i="72"/>
  <c r="AB26" i="72"/>
  <c r="R26" i="72"/>
  <c r="AB25" i="72"/>
  <c r="R25" i="72"/>
  <c r="AB24" i="72"/>
  <c r="R24" i="72"/>
  <c r="AB23" i="72"/>
  <c r="R23" i="72"/>
  <c r="AB22" i="72"/>
  <c r="R22" i="72"/>
  <c r="AB21" i="72"/>
  <c r="V21" i="72"/>
  <c r="R21" i="72"/>
  <c r="W21" i="72" s="1"/>
  <c r="AB20" i="72"/>
  <c r="V20" i="72"/>
  <c r="R20" i="72"/>
  <c r="W20" i="72" s="1"/>
  <c r="AB19" i="72"/>
  <c r="V19" i="72"/>
  <c r="R19" i="72"/>
  <c r="W19" i="72" s="1"/>
  <c r="AB18" i="72"/>
  <c r="V18" i="72"/>
  <c r="R18" i="72"/>
  <c r="W18" i="72" s="1"/>
  <c r="AB17" i="72"/>
  <c r="V17" i="72"/>
  <c r="R17" i="72"/>
  <c r="W17" i="72" s="1"/>
  <c r="AB16" i="72"/>
  <c r="V16" i="72"/>
  <c r="R16" i="72"/>
  <c r="W16" i="72" s="1"/>
  <c r="AB15" i="72"/>
  <c r="V15" i="72"/>
  <c r="R15" i="72"/>
  <c r="W15" i="72" s="1"/>
  <c r="AB14" i="72"/>
  <c r="V14" i="72"/>
  <c r="R14" i="72"/>
  <c r="W14" i="72" s="1"/>
  <c r="AB13" i="72"/>
  <c r="V13" i="72"/>
  <c r="R13" i="72"/>
  <c r="W13" i="72" s="1"/>
  <c r="AB12" i="72"/>
  <c r="V12" i="72"/>
  <c r="R12" i="72"/>
  <c r="W12" i="72" s="1"/>
  <c r="AB11" i="72"/>
  <c r="V11" i="72"/>
  <c r="R11" i="72"/>
  <c r="W11" i="72" s="1"/>
  <c r="AB10" i="72"/>
  <c r="V10" i="72"/>
  <c r="R10" i="72"/>
  <c r="W10" i="72" s="1"/>
  <c r="AB9" i="72"/>
  <c r="V9" i="72"/>
  <c r="R9" i="72"/>
  <c r="W9" i="72" s="1"/>
  <c r="AC41" i="71"/>
  <c r="S41" i="71"/>
  <c r="AC40" i="71"/>
  <c r="S40" i="71"/>
  <c r="AC39" i="71"/>
  <c r="W39" i="71"/>
  <c r="S39" i="71"/>
  <c r="X39" i="71" s="1"/>
  <c r="AC38" i="71"/>
  <c r="W38" i="71"/>
  <c r="S38" i="71"/>
  <c r="X38" i="71" s="1"/>
  <c r="AC37" i="71"/>
  <c r="W37" i="71"/>
  <c r="S37" i="71"/>
  <c r="X37" i="71" s="1"/>
  <c r="AC36" i="71"/>
  <c r="W36" i="71"/>
  <c r="S36" i="71"/>
  <c r="X36" i="71" s="1"/>
  <c r="AC35" i="71"/>
  <c r="W35" i="71"/>
  <c r="S35" i="71"/>
  <c r="X35" i="71" s="1"/>
  <c r="AC34" i="71"/>
  <c r="W34" i="71"/>
  <c r="S34" i="71"/>
  <c r="X34" i="71" s="1"/>
  <c r="AC33" i="71"/>
  <c r="W33" i="71"/>
  <c r="S33" i="71"/>
  <c r="X33" i="71" s="1"/>
  <c r="AC32" i="71"/>
  <c r="W32" i="71"/>
  <c r="S32" i="71"/>
  <c r="X32" i="71" s="1"/>
  <c r="AC31" i="71"/>
  <c r="W31" i="71"/>
  <c r="S31" i="71"/>
  <c r="X31" i="71" s="1"/>
  <c r="AC30" i="71"/>
  <c r="W30" i="71"/>
  <c r="S30" i="71"/>
  <c r="X30" i="71" s="1"/>
  <c r="AC29" i="71"/>
  <c r="W29" i="71"/>
  <c r="S29" i="71"/>
  <c r="X29" i="71" s="1"/>
  <c r="AC28" i="71"/>
  <c r="W28" i="71"/>
  <c r="S28" i="71"/>
  <c r="X28" i="71" s="1"/>
  <c r="AC27" i="71"/>
  <c r="W27" i="71"/>
  <c r="S27" i="71"/>
  <c r="X27" i="71" s="1"/>
  <c r="AC26" i="71"/>
  <c r="W26" i="71"/>
  <c r="S26" i="71"/>
  <c r="X26" i="71" s="1"/>
  <c r="AC25" i="71"/>
  <c r="W25" i="71"/>
  <c r="S25" i="71"/>
  <c r="X25" i="71" s="1"/>
  <c r="AC24" i="71"/>
  <c r="W24" i="71"/>
  <c r="S24" i="71"/>
  <c r="X24" i="71" s="1"/>
  <c r="AC23" i="71"/>
  <c r="W23" i="71"/>
  <c r="S23" i="71"/>
  <c r="X23" i="71" s="1"/>
  <c r="AC22" i="71"/>
  <c r="W22" i="71"/>
  <c r="S22" i="71"/>
  <c r="X22" i="71" s="1"/>
  <c r="AC21" i="71"/>
  <c r="W21" i="71"/>
  <c r="S21" i="71"/>
  <c r="X21" i="71" s="1"/>
  <c r="AC20" i="71"/>
  <c r="W20" i="71"/>
  <c r="S20" i="71"/>
  <c r="X20" i="71" s="1"/>
  <c r="AC19" i="71"/>
  <c r="W19" i="71"/>
  <c r="S19" i="71"/>
  <c r="X19" i="71" s="1"/>
  <c r="AC18" i="71"/>
  <c r="W18" i="71"/>
  <c r="S18" i="71"/>
  <c r="X18" i="71" s="1"/>
  <c r="AC17" i="71"/>
  <c r="W17" i="71"/>
  <c r="S17" i="71"/>
  <c r="X17" i="71" s="1"/>
  <c r="AC16" i="71"/>
  <c r="W16" i="71"/>
  <c r="S16" i="71"/>
  <c r="X16" i="71" s="1"/>
  <c r="AC15" i="71"/>
  <c r="W15" i="71"/>
  <c r="S15" i="71"/>
  <c r="X15" i="71" s="1"/>
  <c r="AC14" i="71"/>
  <c r="W14" i="71"/>
  <c r="S14" i="71"/>
  <c r="X14" i="71" s="1"/>
  <c r="AC13" i="71"/>
  <c r="W13" i="71"/>
  <c r="S13" i="71"/>
  <c r="X13" i="71" s="1"/>
  <c r="AC12" i="71"/>
  <c r="W12" i="71"/>
  <c r="S12" i="71"/>
  <c r="X12" i="71" s="1"/>
  <c r="AC11" i="71"/>
  <c r="W11" i="71"/>
  <c r="S11" i="71"/>
  <c r="X11" i="71" s="1"/>
  <c r="AC10" i="71"/>
  <c r="W10" i="71"/>
  <c r="S10" i="71"/>
  <c r="X10" i="71" s="1"/>
  <c r="AC9" i="71"/>
  <c r="W9" i="71"/>
  <c r="S9" i="71"/>
  <c r="X9" i="71" s="1"/>
  <c r="AC40" i="70"/>
  <c r="W40" i="70"/>
  <c r="S40" i="70"/>
  <c r="X40" i="70" s="1"/>
  <c r="AC39" i="70"/>
  <c r="W39" i="70"/>
  <c r="S39" i="70"/>
  <c r="X39" i="70" s="1"/>
  <c r="AC38" i="70"/>
  <c r="W38" i="70"/>
  <c r="S38" i="70"/>
  <c r="X38" i="70" s="1"/>
  <c r="AC37" i="70"/>
  <c r="W37" i="70"/>
  <c r="S37" i="70"/>
  <c r="X37" i="70" s="1"/>
  <c r="AC36" i="70"/>
  <c r="W36" i="70"/>
  <c r="S36" i="70"/>
  <c r="X36" i="70" s="1"/>
  <c r="AC35" i="70"/>
  <c r="W35" i="70"/>
  <c r="S35" i="70"/>
  <c r="X35" i="70" s="1"/>
  <c r="AC34" i="70"/>
  <c r="W34" i="70"/>
  <c r="S34" i="70"/>
  <c r="X34" i="70" s="1"/>
  <c r="AC33" i="70"/>
  <c r="W33" i="70"/>
  <c r="S33" i="70"/>
  <c r="X33" i="70" s="1"/>
  <c r="AC32" i="70"/>
  <c r="W32" i="70"/>
  <c r="X32" i="70" s="1"/>
  <c r="AC31" i="70"/>
  <c r="W31" i="70"/>
  <c r="S31" i="70"/>
  <c r="X31" i="70" s="1"/>
  <c r="AC30" i="70"/>
  <c r="W30" i="70"/>
  <c r="S30" i="70"/>
  <c r="X30" i="70" s="1"/>
  <c r="AC29" i="70"/>
  <c r="W29" i="70"/>
  <c r="S29" i="70"/>
  <c r="X29" i="70" s="1"/>
  <c r="AC28" i="70"/>
  <c r="W28" i="70"/>
  <c r="S28" i="70"/>
  <c r="X28" i="70" s="1"/>
  <c r="AC27" i="70"/>
  <c r="W27" i="70"/>
  <c r="S27" i="70"/>
  <c r="X27" i="70" s="1"/>
  <c r="AC26" i="70"/>
  <c r="W26" i="70"/>
  <c r="S26" i="70"/>
  <c r="X26" i="70" s="1"/>
  <c r="AC25" i="70"/>
  <c r="W25" i="70"/>
  <c r="S25" i="70"/>
  <c r="X25" i="70" s="1"/>
  <c r="AC24" i="70"/>
  <c r="W24" i="70"/>
  <c r="S24" i="70"/>
  <c r="X24" i="70" s="1"/>
  <c r="AC23" i="70"/>
  <c r="W23" i="70"/>
  <c r="S23" i="70"/>
  <c r="X23" i="70" s="1"/>
  <c r="AC22" i="70"/>
  <c r="W22" i="70"/>
  <c r="S22" i="70"/>
  <c r="X22" i="70" s="1"/>
  <c r="AC21" i="70"/>
  <c r="W21" i="70"/>
  <c r="S21" i="70"/>
  <c r="X21" i="70" s="1"/>
  <c r="AC20" i="70"/>
  <c r="W20" i="70"/>
  <c r="S20" i="70"/>
  <c r="X20" i="70" s="1"/>
  <c r="AC19" i="70"/>
  <c r="W19" i="70"/>
  <c r="S19" i="70"/>
  <c r="X19" i="70" s="1"/>
  <c r="AC18" i="70"/>
  <c r="W18" i="70"/>
  <c r="S18" i="70"/>
  <c r="X18" i="70" s="1"/>
  <c r="AC17" i="70"/>
  <c r="W17" i="70"/>
  <c r="S17" i="70"/>
  <c r="X17" i="70" s="1"/>
  <c r="AC16" i="70"/>
  <c r="W16" i="70"/>
  <c r="S16" i="70"/>
  <c r="X16" i="70" s="1"/>
  <c r="AC15" i="70"/>
  <c r="W15" i="70"/>
  <c r="S15" i="70"/>
  <c r="X15" i="70" s="1"/>
  <c r="AC14" i="70"/>
  <c r="W14" i="70"/>
  <c r="S14" i="70"/>
  <c r="X14" i="70" s="1"/>
  <c r="AC13" i="70"/>
  <c r="W13" i="70"/>
  <c r="S13" i="70"/>
  <c r="X13" i="70" s="1"/>
  <c r="AC12" i="70"/>
  <c r="W12" i="70"/>
  <c r="S12" i="70"/>
  <c r="X12" i="70" s="1"/>
  <c r="AC11" i="70"/>
  <c r="W11" i="70"/>
  <c r="S11" i="70"/>
  <c r="X11" i="70" s="1"/>
  <c r="AC10" i="70"/>
  <c r="W10" i="70"/>
  <c r="S10" i="70"/>
  <c r="X10" i="70" s="1"/>
  <c r="AC9" i="70"/>
  <c r="W9" i="70"/>
  <c r="S9" i="70"/>
  <c r="X9" i="70" s="1"/>
  <c r="AC41" i="69"/>
  <c r="W41" i="69"/>
  <c r="S41" i="69"/>
  <c r="X41" i="69" s="1"/>
  <c r="AC40" i="69"/>
  <c r="S40" i="69"/>
  <c r="AC39" i="69"/>
  <c r="X39" i="69"/>
  <c r="W39" i="69"/>
  <c r="S39" i="69"/>
  <c r="AC38" i="69"/>
  <c r="X38" i="69"/>
  <c r="W38" i="69"/>
  <c r="S38" i="69"/>
  <c r="AC37" i="69"/>
  <c r="X37" i="69"/>
  <c r="W37" i="69"/>
  <c r="S37" i="69"/>
  <c r="AC36" i="69"/>
  <c r="S36" i="69"/>
  <c r="AC35" i="69"/>
  <c r="W35" i="69"/>
  <c r="S35" i="69"/>
  <c r="X35" i="69" s="1"/>
  <c r="AC34" i="69"/>
  <c r="W34" i="69"/>
  <c r="S34" i="69"/>
  <c r="X34" i="69" s="1"/>
  <c r="AC33" i="69"/>
  <c r="W33" i="69"/>
  <c r="S33" i="69"/>
  <c r="X33" i="69" s="1"/>
  <c r="AC32" i="69"/>
  <c r="W32" i="69"/>
  <c r="S32" i="69"/>
  <c r="X32" i="69" s="1"/>
  <c r="AC31" i="69"/>
  <c r="W31" i="69"/>
  <c r="S31" i="69"/>
  <c r="X31" i="69" s="1"/>
  <c r="AC30" i="69"/>
  <c r="W30" i="69"/>
  <c r="S30" i="69"/>
  <c r="X30" i="69" s="1"/>
  <c r="AC29" i="69"/>
  <c r="W29" i="69"/>
  <c r="S29" i="69"/>
  <c r="X29" i="69" s="1"/>
  <c r="AC28" i="69"/>
  <c r="W28" i="69"/>
  <c r="S28" i="69"/>
  <c r="X28" i="69" s="1"/>
  <c r="AC27" i="69"/>
  <c r="W27" i="69"/>
  <c r="S27" i="69"/>
  <c r="X27" i="69" s="1"/>
  <c r="AC26" i="69"/>
  <c r="S26" i="69"/>
  <c r="AC25" i="69"/>
  <c r="X25" i="69"/>
  <c r="W25" i="69"/>
  <c r="S25" i="69"/>
  <c r="AC24" i="69"/>
  <c r="X24" i="69"/>
  <c r="W24" i="69"/>
  <c r="S24" i="69"/>
  <c r="AC23" i="69"/>
  <c r="X23" i="69"/>
  <c r="W23" i="69"/>
  <c r="S23" i="69"/>
  <c r="AC22" i="69"/>
  <c r="X22" i="69"/>
  <c r="W22" i="69"/>
  <c r="S22" i="69"/>
  <c r="AC21" i="69"/>
  <c r="X21" i="69"/>
  <c r="W21" i="69"/>
  <c r="S21" i="69"/>
  <c r="AC20" i="69"/>
  <c r="X20" i="69"/>
  <c r="W20" i="69"/>
  <c r="S20" i="69"/>
  <c r="AC19" i="69"/>
  <c r="X19" i="69"/>
  <c r="W19" i="69"/>
  <c r="S19" i="69"/>
  <c r="AC18" i="69"/>
  <c r="X18" i="69"/>
  <c r="W18" i="69"/>
  <c r="S18" i="69"/>
  <c r="AC17" i="69"/>
  <c r="X17" i="69"/>
  <c r="W17" i="69"/>
  <c r="S17" i="69"/>
  <c r="AC16" i="69"/>
  <c r="X16" i="69"/>
  <c r="W16" i="69"/>
  <c r="S16" i="69"/>
  <c r="AC15" i="69"/>
  <c r="X15" i="69"/>
  <c r="W15" i="69"/>
  <c r="S15" i="69"/>
  <c r="AC14" i="69"/>
  <c r="X14" i="69"/>
  <c r="W14" i="69"/>
  <c r="S14" i="69"/>
  <c r="AC13" i="69"/>
  <c r="X13" i="69"/>
  <c r="W13" i="69"/>
  <c r="S13" i="69"/>
  <c r="AC12" i="69"/>
  <c r="X12" i="69"/>
  <c r="W12" i="69"/>
  <c r="S12" i="69"/>
  <c r="AC11" i="69"/>
  <c r="X11" i="69"/>
  <c r="W11" i="69"/>
  <c r="S11" i="69"/>
  <c r="AC10" i="69"/>
  <c r="X10" i="69"/>
  <c r="W10" i="69"/>
  <c r="S10" i="69"/>
  <c r="AC9" i="69"/>
  <c r="X9" i="69"/>
  <c r="W9" i="69"/>
  <c r="S9" i="69"/>
  <c r="AC40" i="68"/>
  <c r="X40" i="68"/>
  <c r="W40" i="68"/>
  <c r="S40" i="68"/>
  <c r="AC39" i="68"/>
  <c r="X39" i="68"/>
  <c r="W39" i="68"/>
  <c r="S39" i="68"/>
  <c r="AC38" i="68"/>
  <c r="X38" i="68"/>
  <c r="W38" i="68"/>
  <c r="S38" i="68"/>
  <c r="AC37" i="68"/>
  <c r="X37" i="68"/>
  <c r="W37" i="68"/>
  <c r="S37" i="68"/>
  <c r="AC36" i="68"/>
  <c r="X36" i="68"/>
  <c r="W36" i="68"/>
  <c r="S36" i="68"/>
  <c r="AC35" i="68"/>
  <c r="X35" i="68"/>
  <c r="W35" i="68"/>
  <c r="S35" i="68"/>
  <c r="AC34" i="68"/>
  <c r="X34" i="68"/>
  <c r="W34" i="68"/>
  <c r="S34" i="68"/>
  <c r="AC33" i="68"/>
  <c r="X33" i="68"/>
  <c r="W33" i="68"/>
  <c r="S33" i="68"/>
  <c r="AC32" i="68"/>
  <c r="X32" i="68"/>
  <c r="W32" i="68"/>
  <c r="S32" i="68"/>
  <c r="AC31" i="68"/>
  <c r="X31" i="68"/>
  <c r="W31" i="68"/>
  <c r="S31" i="68"/>
  <c r="AC30" i="68"/>
  <c r="X30" i="68"/>
  <c r="W30" i="68"/>
  <c r="S30" i="68"/>
  <c r="AC29" i="68"/>
  <c r="X29" i="68"/>
  <c r="W29" i="68"/>
  <c r="S29" i="68"/>
  <c r="AC28" i="68"/>
  <c r="X28" i="68"/>
  <c r="W28" i="68"/>
  <c r="S28" i="68"/>
  <c r="AC27" i="68"/>
  <c r="X27" i="68"/>
  <c r="W27" i="68"/>
  <c r="S27" i="68"/>
  <c r="AC26" i="68"/>
  <c r="X26" i="68"/>
  <c r="W26" i="68"/>
  <c r="S26" i="68"/>
  <c r="AC25" i="68"/>
  <c r="X25" i="68"/>
  <c r="W25" i="68"/>
  <c r="S25" i="68"/>
  <c r="AC24" i="68"/>
  <c r="X24" i="68"/>
  <c r="W24" i="68"/>
  <c r="S24" i="68"/>
  <c r="AC23" i="68"/>
  <c r="X23" i="68"/>
  <c r="W23" i="68"/>
  <c r="S23" i="68"/>
  <c r="AC22" i="68"/>
  <c r="X22" i="68"/>
  <c r="W22" i="68"/>
  <c r="S22" i="68"/>
  <c r="AC21" i="68"/>
  <c r="X21" i="68"/>
  <c r="W21" i="68"/>
  <c r="S21" i="68"/>
  <c r="AC20" i="68"/>
  <c r="X20" i="68"/>
  <c r="W20" i="68"/>
  <c r="S20" i="68"/>
  <c r="AC19" i="68"/>
  <c r="X19" i="68"/>
  <c r="W19" i="68"/>
  <c r="S19" i="68"/>
  <c r="AC18" i="68"/>
  <c r="X18" i="68"/>
  <c r="W18" i="68"/>
  <c r="S18" i="68"/>
  <c r="AC17" i="68"/>
  <c r="X17" i="68"/>
  <c r="W17" i="68"/>
  <c r="S17" i="68"/>
  <c r="AC16" i="68"/>
  <c r="X16" i="68"/>
  <c r="W16" i="68"/>
  <c r="S16" i="68"/>
  <c r="AC15" i="68"/>
  <c r="X15" i="68"/>
  <c r="W15" i="68"/>
  <c r="S15" i="68"/>
  <c r="AC14" i="68"/>
  <c r="X14" i="68"/>
  <c r="W14" i="68"/>
  <c r="S14" i="68"/>
  <c r="AC13" i="68"/>
  <c r="X13" i="68"/>
  <c r="W13" i="68"/>
  <c r="S13" i="68"/>
  <c r="AC12" i="68"/>
  <c r="W12" i="68"/>
  <c r="S12" i="68"/>
  <c r="X12" i="68" s="1"/>
  <c r="AC11" i="68"/>
  <c r="W11" i="68"/>
  <c r="S11" i="68"/>
  <c r="X11" i="68" s="1"/>
  <c r="AC10" i="68"/>
  <c r="W10" i="68"/>
  <c r="S10" i="68"/>
  <c r="X10" i="68" s="1"/>
  <c r="AC9" i="68"/>
  <c r="W9" i="68"/>
  <c r="S9" i="68"/>
  <c r="X9" i="68" s="1"/>
  <c r="AJ159" i="67"/>
  <c r="Z159" i="67"/>
  <c r="AJ158" i="67"/>
  <c r="Z158" i="67"/>
  <c r="AJ157" i="67"/>
  <c r="AD157" i="67"/>
  <c r="Z157" i="67"/>
  <c r="AE157" i="67" s="1"/>
  <c r="AJ156" i="67"/>
  <c r="AD156" i="67"/>
  <c r="Z156" i="67"/>
  <c r="AE156" i="67" s="1"/>
  <c r="AJ155" i="67"/>
  <c r="AD155" i="67"/>
  <c r="Z155" i="67"/>
  <c r="AE155" i="67" s="1"/>
  <c r="AJ154" i="67"/>
  <c r="AD154" i="67"/>
  <c r="Z154" i="67"/>
  <c r="AE154" i="67" s="1"/>
  <c r="AJ153" i="67"/>
  <c r="AD153" i="67"/>
  <c r="Z153" i="67"/>
  <c r="AE153" i="67" s="1"/>
  <c r="AJ152" i="67"/>
  <c r="AD152" i="67"/>
  <c r="Z152" i="67"/>
  <c r="AE152" i="67" s="1"/>
  <c r="AJ151" i="67"/>
  <c r="Z151" i="67"/>
  <c r="AJ150" i="67"/>
  <c r="Z150" i="67"/>
  <c r="AJ149" i="67"/>
  <c r="Z149" i="67"/>
  <c r="AJ148" i="67"/>
  <c r="Z148" i="67"/>
  <c r="AJ147" i="67"/>
  <c r="Z147" i="67"/>
  <c r="AJ87" i="67"/>
  <c r="AE87" i="67"/>
  <c r="AD87" i="67"/>
  <c r="Z87" i="67"/>
  <c r="AJ86" i="67"/>
  <c r="Z86" i="67"/>
  <c r="AJ85" i="67"/>
  <c r="AD85" i="67"/>
  <c r="Z85" i="67"/>
  <c r="AE85" i="67" s="1"/>
  <c r="AJ84" i="67"/>
  <c r="AD84" i="67"/>
  <c r="Z84" i="67"/>
  <c r="AE84" i="67" s="1"/>
  <c r="AJ83" i="67"/>
  <c r="AD83" i="67"/>
  <c r="Z83" i="67"/>
  <c r="AE83" i="67" s="1"/>
  <c r="AJ82" i="67"/>
  <c r="AD82" i="67"/>
  <c r="Z82" i="67"/>
  <c r="AE82" i="67" s="1"/>
  <c r="AJ81" i="67"/>
  <c r="AD81" i="67"/>
  <c r="Z81" i="67"/>
  <c r="AE81" i="67" s="1"/>
  <c r="AJ80" i="67"/>
  <c r="Z80" i="67"/>
  <c r="AJ79" i="67"/>
  <c r="Z79" i="67"/>
  <c r="AJ78" i="67"/>
  <c r="Z78" i="67"/>
  <c r="AJ77" i="67"/>
  <c r="Z77" i="67"/>
  <c r="AJ76" i="67"/>
  <c r="Z76" i="67"/>
  <c r="AJ75" i="67"/>
  <c r="Z75" i="67"/>
  <c r="AJ74" i="67"/>
  <c r="Z74" i="67"/>
  <c r="AJ73" i="67"/>
  <c r="Z73" i="67"/>
  <c r="AJ72" i="67"/>
  <c r="Z72" i="67"/>
  <c r="AJ71" i="67"/>
  <c r="Z71" i="67"/>
  <c r="AJ70" i="67"/>
  <c r="Z70" i="67"/>
  <c r="AJ69" i="67"/>
  <c r="Z69" i="67"/>
  <c r="AJ68" i="67"/>
  <c r="Z68" i="67"/>
  <c r="AJ67" i="67"/>
  <c r="Z67" i="67"/>
  <c r="AJ66" i="67"/>
  <c r="Z66" i="67"/>
  <c r="AJ65" i="67"/>
  <c r="Z65" i="67"/>
  <c r="AJ64" i="67"/>
  <c r="Z64" i="67"/>
  <c r="AJ63" i="67"/>
  <c r="Z63" i="67"/>
  <c r="AJ62" i="67"/>
  <c r="Z62" i="67"/>
  <c r="AJ61" i="67"/>
  <c r="Z61" i="67"/>
  <c r="AJ60" i="67"/>
  <c r="Z60" i="67"/>
  <c r="AJ59" i="67"/>
  <c r="Z59" i="67"/>
  <c r="AJ58" i="67"/>
  <c r="Z58" i="67"/>
  <c r="AJ57" i="67"/>
  <c r="Z57" i="67"/>
  <c r="AJ56" i="67"/>
  <c r="Z56" i="67"/>
  <c r="AJ55" i="67"/>
  <c r="Z55" i="67"/>
  <c r="AJ54" i="67"/>
  <c r="Z54" i="67"/>
  <c r="AJ53" i="67"/>
  <c r="Z53" i="67"/>
  <c r="AJ52" i="67"/>
  <c r="Z52" i="67"/>
  <c r="AJ51" i="67"/>
  <c r="AE51" i="67"/>
  <c r="AD51" i="67"/>
  <c r="Z51" i="67"/>
  <c r="AJ50" i="67"/>
  <c r="AE50" i="67"/>
  <c r="AD50" i="67"/>
  <c r="Z50" i="67"/>
  <c r="AJ49" i="67"/>
  <c r="AE49" i="67"/>
  <c r="AD49" i="67"/>
  <c r="Z49" i="67"/>
  <c r="AJ48" i="67"/>
  <c r="AE48" i="67"/>
  <c r="AD48" i="67"/>
  <c r="Z48" i="67"/>
  <c r="AJ47" i="67"/>
  <c r="Z47" i="67"/>
  <c r="AJ46" i="67"/>
  <c r="AD46" i="67"/>
  <c r="Z46" i="67"/>
  <c r="AE46" i="67" s="1"/>
  <c r="AJ45" i="67"/>
  <c r="AD45" i="67"/>
  <c r="Z45" i="67"/>
  <c r="AE45" i="67" s="1"/>
  <c r="AJ44" i="67"/>
  <c r="AD44" i="67"/>
  <c r="Z44" i="67"/>
  <c r="AE44" i="67" s="1"/>
  <c r="AJ43" i="67"/>
  <c r="AD43" i="67"/>
  <c r="Z43" i="67"/>
  <c r="AE43" i="67" s="1"/>
  <c r="AJ42" i="67"/>
  <c r="AD42" i="67"/>
  <c r="Z42" i="67"/>
  <c r="AE42" i="67" s="1"/>
  <c r="AJ41" i="67"/>
  <c r="AD41" i="67"/>
  <c r="Z41" i="67"/>
  <c r="AE41" i="67" s="1"/>
  <c r="AJ40" i="67"/>
  <c r="AD40" i="67"/>
  <c r="Z40" i="67"/>
  <c r="AE40" i="67" s="1"/>
  <c r="AJ39" i="67"/>
  <c r="AD39" i="67"/>
  <c r="Z39" i="67"/>
  <c r="AE39" i="67" s="1"/>
  <c r="AJ38" i="67"/>
  <c r="AD38" i="67"/>
  <c r="Z38" i="67"/>
  <c r="AE38" i="67" s="1"/>
  <c r="AJ37" i="67"/>
  <c r="AD37" i="67"/>
  <c r="Z37" i="67"/>
  <c r="AE37" i="67" s="1"/>
  <c r="AJ36" i="67"/>
  <c r="AD36" i="67"/>
  <c r="Z36" i="67"/>
  <c r="AE36" i="67" s="1"/>
  <c r="AJ35" i="67"/>
  <c r="AD35" i="67"/>
  <c r="Z35" i="67"/>
  <c r="AE35" i="67" s="1"/>
  <c r="AJ34" i="67"/>
  <c r="AD34" i="67"/>
  <c r="Z34" i="67"/>
  <c r="AE34" i="67" s="1"/>
  <c r="AJ33" i="67"/>
  <c r="AD33" i="67"/>
  <c r="Z33" i="67"/>
  <c r="AE33" i="67" s="1"/>
  <c r="AJ32" i="67"/>
  <c r="AD32" i="67"/>
  <c r="Z32" i="67"/>
  <c r="AE32" i="67" s="1"/>
  <c r="AJ31" i="67"/>
  <c r="Z31" i="67"/>
  <c r="AJ30" i="67"/>
  <c r="Z30" i="67"/>
  <c r="AJ29" i="67"/>
  <c r="Z29" i="67"/>
  <c r="AJ28" i="67"/>
  <c r="Z28" i="67"/>
  <c r="AJ27" i="67"/>
  <c r="Z27" i="67"/>
  <c r="AJ26" i="67"/>
  <c r="Z26" i="67"/>
  <c r="AJ25" i="67"/>
  <c r="Z25" i="67"/>
  <c r="AJ24" i="67"/>
  <c r="Z24" i="67"/>
  <c r="AJ23" i="67"/>
  <c r="Z23" i="67"/>
  <c r="AJ22" i="67"/>
  <c r="Z22" i="67"/>
  <c r="AJ21" i="67"/>
  <c r="Z21" i="67"/>
  <c r="AJ20" i="67"/>
  <c r="Z20" i="67"/>
  <c r="AJ19" i="67"/>
  <c r="Z19" i="67"/>
  <c r="AJ18" i="67"/>
  <c r="Z18" i="67"/>
  <c r="AJ17" i="67"/>
  <c r="Z17" i="67"/>
  <c r="AJ16" i="67"/>
  <c r="Z16" i="67"/>
  <c r="AJ15" i="67"/>
  <c r="Z15" i="67"/>
  <c r="AJ14" i="67"/>
  <c r="Z14" i="67"/>
  <c r="AJ13" i="67"/>
  <c r="Z13" i="67"/>
  <c r="AJ12" i="67"/>
  <c r="Z12" i="67"/>
  <c r="AJ11" i="67"/>
  <c r="Z11" i="67"/>
  <c r="AJ10" i="67"/>
  <c r="Z10" i="67"/>
  <c r="AJ9" i="67"/>
  <c r="Z9" i="67"/>
  <c r="AJ8" i="67"/>
  <c r="AE8" i="67"/>
  <c r="AD8" i="67"/>
  <c r="Z8" i="67"/>
  <c r="P12" i="81" l="1"/>
  <c r="S12" i="81" s="1"/>
  <c r="T12" i="81" s="1"/>
  <c r="T25" i="81"/>
  <c r="V73" i="85"/>
  <c r="Z13" i="86"/>
  <c r="Z17" i="86"/>
  <c r="Z33" i="86"/>
  <c r="M14" i="88"/>
  <c r="L14" i="88"/>
  <c r="M17" i="88"/>
  <c r="L17" i="88"/>
  <c r="D35" i="88"/>
  <c r="R35" i="88"/>
  <c r="M22" i="88"/>
  <c r="L22" i="88"/>
  <c r="G15" i="89"/>
  <c r="Z11" i="86"/>
  <c r="Z15" i="86"/>
  <c r="Z19" i="86"/>
  <c r="M26" i="88"/>
  <c r="L26" i="88"/>
  <c r="L33" i="88"/>
  <c r="M33" i="88"/>
  <c r="M14" i="89"/>
  <c r="M20" i="88"/>
  <c r="I30" i="88"/>
  <c r="M30" i="88" s="1"/>
  <c r="E34" i="88"/>
  <c r="G34" i="88" s="1"/>
  <c r="J34" i="88"/>
  <c r="K34" i="88" s="1"/>
  <c r="N34" i="88"/>
  <c r="N35" i="88" s="1"/>
  <c r="O35" i="88" s="1"/>
  <c r="M8" i="89"/>
  <c r="M9" i="89"/>
  <c r="M11" i="90"/>
  <c r="I14" i="90"/>
  <c r="M14" i="90" s="1"/>
  <c r="L8" i="91"/>
  <c r="L12" i="88"/>
  <c r="L13" i="88"/>
  <c r="E18" i="88"/>
  <c r="E35" i="88" s="1"/>
  <c r="G35" i="88" s="1"/>
  <c r="I18" i="88"/>
  <c r="Q18" i="88"/>
  <c r="L24" i="88"/>
  <c r="I10" i="89"/>
  <c r="I15" i="89" s="1"/>
  <c r="Q10" i="89"/>
  <c r="Q15" i="89" s="1"/>
  <c r="L11" i="89"/>
  <c r="L14" i="89"/>
  <c r="F15" i="89"/>
  <c r="J15" i="89"/>
  <c r="N15" i="89"/>
  <c r="R15" i="89"/>
  <c r="L8" i="90"/>
  <c r="L9" i="90"/>
  <c r="G10" i="90"/>
  <c r="K10" i="90"/>
  <c r="K15" i="90" s="1"/>
  <c r="O10" i="90"/>
  <c r="O15" i="90" s="1"/>
  <c r="S10" i="90"/>
  <c r="S15" i="90" s="1"/>
  <c r="I10" i="88"/>
  <c r="M10" i="88" s="1"/>
  <c r="L15" i="88"/>
  <c r="H34" i="88"/>
  <c r="I34" i="88" s="1"/>
  <c r="P34" i="88"/>
  <c r="Q34" i="88" s="1"/>
  <c r="L12" i="90"/>
  <c r="L13" i="90"/>
  <c r="E15" i="90"/>
  <c r="I10" i="90"/>
  <c r="I15" i="90" s="1"/>
  <c r="M10" i="90" l="1"/>
  <c r="M15" i="90" s="1"/>
  <c r="L10" i="90"/>
  <c r="G15" i="90"/>
  <c r="P35" i="88"/>
  <c r="Q35" i="88" s="1"/>
  <c r="L14" i="90"/>
  <c r="S18" i="88"/>
  <c r="K18" i="88"/>
  <c r="L10" i="88"/>
  <c r="M34" i="88"/>
  <c r="L34" i="88"/>
  <c r="L30" i="88"/>
  <c r="L10" i="89"/>
  <c r="L15" i="89" s="1"/>
  <c r="G18" i="88"/>
  <c r="O18" i="88"/>
  <c r="M10" i="89"/>
  <c r="M15" i="89" s="1"/>
  <c r="H35" i="88"/>
  <c r="I35" i="88" s="1"/>
  <c r="L35" i="88" s="1"/>
  <c r="O34" i="88"/>
  <c r="S34" i="88"/>
  <c r="S35" i="88"/>
  <c r="J35" i="88"/>
  <c r="K35" i="88" s="1"/>
  <c r="O11" i="43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10" i="43"/>
  <c r="M35" i="88" l="1"/>
  <c r="L15" i="90"/>
  <c r="M18" i="88"/>
  <c r="L18" i="88"/>
  <c r="O9" i="34" l="1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O42" i="34"/>
  <c r="O43" i="34"/>
  <c r="O44" i="34"/>
  <c r="O45" i="34"/>
  <c r="O46" i="34"/>
  <c r="O47" i="34"/>
  <c r="O48" i="34"/>
  <c r="O49" i="34"/>
  <c r="O50" i="34"/>
  <c r="O91" i="34"/>
  <c r="O92" i="34"/>
  <c r="O8" i="34"/>
  <c r="Q39" i="46" l="1"/>
  <c r="S9" i="33" l="1"/>
  <c r="S10" i="33"/>
  <c r="S11" i="33"/>
  <c r="S12" i="33"/>
  <c r="S13" i="33"/>
  <c r="S14" i="33"/>
  <c r="S15" i="33"/>
  <c r="S16" i="33"/>
  <c r="S17" i="33"/>
  <c r="S18" i="33"/>
  <c r="S19" i="33"/>
  <c r="S20" i="33"/>
  <c r="S21" i="33"/>
  <c r="S22" i="33"/>
  <c r="S23" i="33"/>
  <c r="S24" i="33"/>
  <c r="S25" i="33"/>
  <c r="S26" i="33"/>
  <c r="S27" i="33"/>
  <c r="S28" i="33"/>
  <c r="S29" i="33"/>
  <c r="S30" i="33"/>
  <c r="S31" i="33"/>
  <c r="S32" i="33"/>
  <c r="S33" i="33"/>
  <c r="S34" i="33"/>
  <c r="S35" i="33"/>
  <c r="S36" i="33"/>
  <c r="S37" i="33"/>
  <c r="S38" i="33"/>
  <c r="S39" i="33"/>
  <c r="S40" i="33"/>
  <c r="S41" i="33"/>
  <c r="S42" i="33"/>
  <c r="S43" i="33"/>
  <c r="S44" i="33"/>
  <c r="S45" i="33"/>
  <c r="S46" i="33"/>
  <c r="S47" i="33"/>
  <c r="S48" i="33"/>
  <c r="S49" i="33"/>
  <c r="S50" i="33"/>
  <c r="S51" i="33"/>
  <c r="S52" i="33"/>
  <c r="S53" i="33"/>
  <c r="S54" i="33"/>
  <c r="S55" i="33"/>
  <c r="S56" i="33"/>
  <c r="S57" i="33"/>
  <c r="S58" i="33"/>
  <c r="S59" i="33"/>
  <c r="S60" i="33"/>
  <c r="S61" i="33"/>
  <c r="S73" i="33"/>
  <c r="S74" i="33"/>
  <c r="S75" i="33"/>
  <c r="S76" i="33"/>
  <c r="S77" i="33"/>
  <c r="S82" i="33"/>
  <c r="S83" i="33"/>
  <c r="S84" i="33"/>
  <c r="S85" i="33"/>
  <c r="S8" i="33"/>
  <c r="P15" i="66" l="1"/>
  <c r="U15" i="66"/>
  <c r="V14" i="66"/>
  <c r="T14" i="66"/>
  <c r="R14" i="66"/>
  <c r="P14" i="66"/>
  <c r="N14" i="66"/>
  <c r="J14" i="66"/>
  <c r="H14" i="66"/>
  <c r="H15" i="66" s="1"/>
  <c r="F14" i="66"/>
  <c r="E14" i="66"/>
  <c r="D14" i="66"/>
  <c r="S13" i="66"/>
  <c r="Q13" i="66"/>
  <c r="O13" i="66"/>
  <c r="K13" i="66"/>
  <c r="I13" i="66"/>
  <c r="G13" i="66"/>
  <c r="S12" i="66"/>
  <c r="Q12" i="66"/>
  <c r="O12" i="66"/>
  <c r="K12" i="66"/>
  <c r="I12" i="66"/>
  <c r="G12" i="66"/>
  <c r="Q11" i="66"/>
  <c r="O11" i="66"/>
  <c r="K11" i="66"/>
  <c r="I11" i="66"/>
  <c r="G11" i="66"/>
  <c r="V10" i="66"/>
  <c r="V15" i="66" s="1"/>
  <c r="T10" i="66"/>
  <c r="T15" i="66" s="1"/>
  <c r="R10" i="66"/>
  <c r="R15" i="66" s="1"/>
  <c r="P10" i="66"/>
  <c r="N10" i="66"/>
  <c r="N15" i="66" s="1"/>
  <c r="J10" i="66"/>
  <c r="J15" i="66" s="1"/>
  <c r="H10" i="66"/>
  <c r="F10" i="66"/>
  <c r="E10" i="66"/>
  <c r="E15" i="66" s="1"/>
  <c r="D10" i="66"/>
  <c r="D15" i="66" s="1"/>
  <c r="S9" i="66"/>
  <c r="Q9" i="66"/>
  <c r="O9" i="66"/>
  <c r="K9" i="66"/>
  <c r="I9" i="66"/>
  <c r="G9" i="66"/>
  <c r="S8" i="66"/>
  <c r="Q8" i="66"/>
  <c r="O8" i="66"/>
  <c r="K8" i="66"/>
  <c r="I8" i="66"/>
  <c r="G8" i="66"/>
  <c r="M8" i="66" s="1"/>
  <c r="F15" i="66" l="1"/>
  <c r="M9" i="66"/>
  <c r="I10" i="66"/>
  <c r="Q10" i="66"/>
  <c r="M11" i="66"/>
  <c r="M12" i="66"/>
  <c r="K14" i="66"/>
  <c r="O14" i="66"/>
  <c r="M13" i="66"/>
  <c r="G14" i="66"/>
  <c r="Q14" i="66"/>
  <c r="I14" i="66"/>
  <c r="S14" i="66"/>
  <c r="L8" i="66"/>
  <c r="L9" i="66"/>
  <c r="G10" i="66"/>
  <c r="G15" i="66" s="1"/>
  <c r="K10" i="66"/>
  <c r="O10" i="66"/>
  <c r="S10" i="66"/>
  <c r="S15" i="66" s="1"/>
  <c r="L12" i="66"/>
  <c r="L13" i="66"/>
  <c r="L11" i="66"/>
  <c r="S10" i="32"/>
  <c r="S11" i="32"/>
  <c r="S12" i="32"/>
  <c r="S13" i="32"/>
  <c r="S14" i="32"/>
  <c r="S15" i="32"/>
  <c r="S16" i="32"/>
  <c r="S17" i="32"/>
  <c r="S9" i="32"/>
  <c r="S11" i="31"/>
  <c r="S12" i="31"/>
  <c r="S13" i="31"/>
  <c r="S14" i="31"/>
  <c r="S15" i="31"/>
  <c r="S16" i="31"/>
  <c r="S17" i="31"/>
  <c r="S18" i="31"/>
  <c r="S19" i="31"/>
  <c r="S20" i="31"/>
  <c r="S21" i="31"/>
  <c r="S22" i="31"/>
  <c r="S23" i="31"/>
  <c r="S24" i="31"/>
  <c r="S25" i="31"/>
  <c r="S26" i="31"/>
  <c r="S27" i="31"/>
  <c r="S28" i="31"/>
  <c r="S29" i="31"/>
  <c r="S30" i="31"/>
  <c r="S31" i="31"/>
  <c r="S32" i="31"/>
  <c r="S33" i="31"/>
  <c r="S34" i="31"/>
  <c r="S35" i="31"/>
  <c r="S36" i="31"/>
  <c r="S37" i="31"/>
  <c r="S38" i="31"/>
  <c r="S39" i="31"/>
  <c r="S40" i="31"/>
  <c r="S41" i="31"/>
  <c r="S42" i="31"/>
  <c r="S62" i="31"/>
  <c r="S63" i="31"/>
  <c r="S64" i="31"/>
  <c r="S65" i="31"/>
  <c r="S66" i="31"/>
  <c r="S10" i="31"/>
  <c r="S9" i="31"/>
  <c r="K15" i="66" l="1"/>
  <c r="Q15" i="66"/>
  <c r="I15" i="66"/>
  <c r="O15" i="66"/>
  <c r="M14" i="66"/>
  <c r="L14" i="66"/>
  <c r="M10" i="66"/>
  <c r="L10" i="66"/>
  <c r="L15" i="66" l="1"/>
  <c r="M15" i="66"/>
  <c r="R11" i="30"/>
  <c r="R12" i="30"/>
  <c r="R13" i="30"/>
  <c r="R44" i="30"/>
  <c r="R10" i="30"/>
  <c r="R9" i="30"/>
  <c r="AA18" i="45" l="1"/>
  <c r="U18" i="45"/>
  <c r="Q18" i="45"/>
  <c r="V18" i="45" s="1"/>
  <c r="Y18" i="34" l="1"/>
  <c r="Y91" i="34" l="1"/>
  <c r="Y92" i="34"/>
  <c r="Y139" i="34"/>
  <c r="AI100" i="59" l="1"/>
  <c r="AI101" i="59"/>
  <c r="AI102" i="59"/>
  <c r="AA20" i="40" l="1"/>
  <c r="L15" i="65" l="1"/>
  <c r="Q15" i="65"/>
  <c r="O15" i="65"/>
  <c r="M15" i="65"/>
  <c r="K15" i="65"/>
  <c r="I15" i="65"/>
  <c r="G15" i="65"/>
  <c r="R15" i="65" l="1"/>
  <c r="S15" i="65"/>
  <c r="T15" i="65"/>
  <c r="U15" i="65"/>
  <c r="E15" i="65"/>
  <c r="D15" i="65"/>
  <c r="V14" i="65"/>
  <c r="T14" i="65"/>
  <c r="R14" i="65"/>
  <c r="P14" i="65"/>
  <c r="N14" i="65"/>
  <c r="J14" i="65"/>
  <c r="H14" i="65"/>
  <c r="F14" i="65"/>
  <c r="E14" i="65"/>
  <c r="D14" i="65"/>
  <c r="S13" i="65"/>
  <c r="Q13" i="65"/>
  <c r="O13" i="65"/>
  <c r="K13" i="65"/>
  <c r="I13" i="65"/>
  <c r="G13" i="65"/>
  <c r="S12" i="65"/>
  <c r="Q12" i="65"/>
  <c r="O12" i="65"/>
  <c r="K12" i="65"/>
  <c r="I12" i="65"/>
  <c r="G12" i="65"/>
  <c r="Q11" i="65"/>
  <c r="O11" i="65"/>
  <c r="K11" i="65"/>
  <c r="I11" i="65"/>
  <c r="G11" i="65"/>
  <c r="M11" i="65" s="1"/>
  <c r="V10" i="65"/>
  <c r="T10" i="65"/>
  <c r="R10" i="65"/>
  <c r="P10" i="65"/>
  <c r="N10" i="65"/>
  <c r="J10" i="65"/>
  <c r="H10" i="65"/>
  <c r="F10" i="65"/>
  <c r="E10" i="65"/>
  <c r="D10" i="65"/>
  <c r="S9" i="65"/>
  <c r="Q9" i="65"/>
  <c r="O9" i="65"/>
  <c r="K9" i="65"/>
  <c r="I9" i="65"/>
  <c r="G9" i="65"/>
  <c r="S8" i="65"/>
  <c r="Q8" i="65"/>
  <c r="O8" i="65"/>
  <c r="K8" i="65"/>
  <c r="I8" i="65"/>
  <c r="G8" i="65"/>
  <c r="F15" i="65" l="1"/>
  <c r="P15" i="65"/>
  <c r="N15" i="65"/>
  <c r="Q14" i="65"/>
  <c r="H15" i="65"/>
  <c r="J15" i="65"/>
  <c r="Q10" i="65"/>
  <c r="M9" i="65"/>
  <c r="L8" i="65"/>
  <c r="V15" i="65"/>
  <c r="M8" i="65"/>
  <c r="S10" i="65"/>
  <c r="M12" i="65"/>
  <c r="K14" i="65"/>
  <c r="K10" i="65"/>
  <c r="G10" i="65"/>
  <c r="L9" i="65"/>
  <c r="O10" i="65"/>
  <c r="O14" i="65"/>
  <c r="M13" i="65"/>
  <c r="G14" i="65"/>
  <c r="S14" i="65"/>
  <c r="L12" i="65"/>
  <c r="L13" i="65"/>
  <c r="I10" i="65"/>
  <c r="L11" i="65"/>
  <c r="I14" i="65"/>
  <c r="M14" i="65" s="1"/>
  <c r="M10" i="65" l="1"/>
  <c r="L10" i="65"/>
  <c r="L14" i="65"/>
  <c r="Q20" i="40"/>
  <c r="Q26" i="46" l="1"/>
  <c r="Q27" i="46"/>
  <c r="Q28" i="46"/>
  <c r="Q29" i="46"/>
  <c r="Q30" i="46"/>
  <c r="Q31" i="46"/>
  <c r="Q32" i="46"/>
  <c r="Q33" i="46"/>
  <c r="Q34" i="46"/>
  <c r="Q35" i="46"/>
  <c r="Q36" i="46"/>
  <c r="Q37" i="46"/>
  <c r="Q38" i="46"/>
  <c r="Q40" i="46"/>
  <c r="Q41" i="46"/>
  <c r="Q42" i="46"/>
  <c r="Q43" i="46"/>
  <c r="Q44" i="46"/>
  <c r="Q45" i="46"/>
  <c r="Q46" i="46"/>
  <c r="Q47" i="46"/>
  <c r="Q48" i="46"/>
  <c r="Q49" i="46"/>
  <c r="Q50" i="46"/>
  <c r="Q51" i="46"/>
  <c r="Q52" i="46"/>
  <c r="Q53" i="46"/>
  <c r="Q54" i="46"/>
  <c r="Q55" i="46"/>
  <c r="Q56" i="46"/>
  <c r="Q57" i="46"/>
  <c r="Q58" i="46"/>
  <c r="Q59" i="46"/>
  <c r="Q60" i="46"/>
  <c r="Q61" i="46"/>
  <c r="Q62" i="46"/>
  <c r="Q63" i="46"/>
  <c r="Q64" i="46"/>
  <c r="Q65" i="46"/>
  <c r="Q66" i="46"/>
  <c r="Q67" i="46"/>
  <c r="Q68" i="46"/>
  <c r="Q69" i="46"/>
  <c r="Q70" i="46"/>
  <c r="Q71" i="46"/>
  <c r="Q72" i="46"/>
  <c r="Q73" i="46"/>
  <c r="Q74" i="46"/>
  <c r="Q75" i="46"/>
  <c r="Q76" i="46"/>
  <c r="Q80" i="46"/>
  <c r="Q81" i="46"/>
  <c r="Q12" i="46"/>
  <c r="Q11" i="46"/>
  <c r="Q10" i="40"/>
  <c r="Q11" i="40"/>
  <c r="Q12" i="40"/>
  <c r="Q13" i="40"/>
  <c r="Q14" i="40"/>
  <c r="Q15" i="40"/>
  <c r="Q16" i="40"/>
  <c r="Q17" i="40"/>
  <c r="Q18" i="40"/>
  <c r="Q19" i="40"/>
  <c r="Q21" i="40"/>
  <c r="Q22" i="40"/>
  <c r="Q23" i="40"/>
  <c r="Q24" i="40"/>
  <c r="Q25" i="40"/>
  <c r="Q26" i="40"/>
  <c r="Q27" i="40"/>
  <c r="Q28" i="40"/>
  <c r="Q29" i="40"/>
  <c r="Q30" i="40"/>
  <c r="Q31" i="40"/>
  <c r="Q32" i="40"/>
  <c r="Q9" i="40"/>
  <c r="Q11" i="45"/>
  <c r="Q12" i="45"/>
  <c r="Q13" i="45"/>
  <c r="Q14" i="45"/>
  <c r="Q15" i="45"/>
  <c r="Q16" i="45"/>
  <c r="Q17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2" i="45"/>
  <c r="Q53" i="45"/>
  <c r="Q10" i="45"/>
  <c r="Q9" i="45"/>
  <c r="O139" i="34" l="1"/>
  <c r="AE12" i="47" l="1"/>
  <c r="AE13" i="47"/>
  <c r="AE14" i="47"/>
  <c r="AE15" i="47"/>
  <c r="AE16" i="47"/>
  <c r="AE17" i="47"/>
  <c r="AE18" i="47"/>
  <c r="AE19" i="47"/>
  <c r="AE20" i="47"/>
  <c r="AE21" i="47"/>
  <c r="AE22" i="47"/>
  <c r="AE23" i="47"/>
  <c r="AE24" i="47"/>
  <c r="AE25" i="47"/>
  <c r="AE26" i="47"/>
  <c r="AE27" i="47"/>
  <c r="AE28" i="47"/>
  <c r="AE29" i="47"/>
  <c r="AI71" i="59"/>
  <c r="AI72" i="59"/>
  <c r="AI64" i="59"/>
  <c r="AI65" i="59"/>
  <c r="AI66" i="59"/>
  <c r="AI67" i="59"/>
  <c r="AI68" i="59"/>
  <c r="AI69" i="59"/>
  <c r="AI132" i="59"/>
  <c r="AI70" i="59"/>
  <c r="AA48" i="45" l="1"/>
  <c r="AA49" i="45"/>
  <c r="AA79" i="37"/>
  <c r="AA80" i="37"/>
  <c r="AF45" i="41"/>
  <c r="AF46" i="41"/>
  <c r="AF47" i="41"/>
  <c r="AF48" i="41"/>
  <c r="AA25" i="40"/>
  <c r="AA26" i="40"/>
  <c r="AA27" i="40"/>
  <c r="AA28" i="40"/>
  <c r="AA29" i="40"/>
  <c r="AA30" i="40"/>
  <c r="AA31" i="40"/>
  <c r="AD16" i="36"/>
  <c r="AD17" i="36"/>
  <c r="AD20" i="36"/>
  <c r="AD21" i="36"/>
  <c r="AC64" i="31"/>
  <c r="AC65" i="31"/>
  <c r="AC66" i="31"/>
  <c r="AB38" i="30"/>
  <c r="AB39" i="30"/>
  <c r="AB40" i="30"/>
  <c r="AB41" i="30"/>
  <c r="AB42" i="30"/>
  <c r="AB43" i="30"/>
  <c r="AB44" i="30"/>
  <c r="AI63" i="59"/>
  <c r="S12" i="48"/>
  <c r="K11" i="48"/>
  <c r="J32" i="48"/>
  <c r="H32" i="48"/>
  <c r="F32" i="48"/>
  <c r="E32" i="48"/>
  <c r="AF52" i="41"/>
  <c r="AF51" i="41"/>
  <c r="AD15" i="36"/>
  <c r="J8" i="58"/>
  <c r="AI58" i="59"/>
  <c r="AI56" i="59"/>
  <c r="AI54" i="59"/>
  <c r="AI52" i="59"/>
  <c r="AI62" i="59"/>
  <c r="AI46" i="59"/>
  <c r="AI42" i="59"/>
  <c r="AI40" i="59"/>
  <c r="AI14" i="59"/>
  <c r="AI9" i="59"/>
  <c r="AI10" i="59"/>
  <c r="AI11" i="59"/>
  <c r="AI12" i="59"/>
  <c r="AI13" i="59"/>
  <c r="AI15" i="59"/>
  <c r="AI16" i="59"/>
  <c r="AI130" i="59"/>
  <c r="AI36" i="59"/>
  <c r="AI37" i="59"/>
  <c r="AI38" i="59"/>
  <c r="AI39" i="59"/>
  <c r="AI41" i="59"/>
  <c r="AI131" i="59"/>
  <c r="AI43" i="59"/>
  <c r="AI44" i="59"/>
  <c r="AI45" i="59"/>
  <c r="AI47" i="59"/>
  <c r="AI48" i="59"/>
  <c r="AI49" i="59"/>
  <c r="AI50" i="59"/>
  <c r="AI51" i="59"/>
  <c r="AI53" i="59"/>
  <c r="AI55" i="59"/>
  <c r="AI57" i="59"/>
  <c r="AI59" i="59"/>
  <c r="AI60" i="59"/>
  <c r="AI61" i="59"/>
  <c r="K26" i="48"/>
  <c r="AE10" i="47"/>
  <c r="AE9" i="47"/>
  <c r="AA13" i="45"/>
  <c r="AA10" i="37"/>
  <c r="T8" i="37"/>
  <c r="U8" i="37" s="1"/>
  <c r="Y10" i="43"/>
  <c r="AF8" i="41"/>
  <c r="AA9" i="40"/>
  <c r="AD10" i="36"/>
  <c r="Y8" i="34"/>
  <c r="AC8" i="33"/>
  <c r="AB10" i="32"/>
  <c r="AC9" i="31"/>
  <c r="AF7" i="63"/>
  <c r="AE11" i="47"/>
  <c r="AE30" i="47"/>
  <c r="AE31" i="47"/>
  <c r="AE32" i="47"/>
  <c r="AE33" i="47"/>
  <c r="AE45" i="47"/>
  <c r="AE46" i="47"/>
  <c r="AE47" i="47"/>
  <c r="AA12" i="46"/>
  <c r="AA30" i="46"/>
  <c r="AA31" i="46"/>
  <c r="AA32" i="46"/>
  <c r="AA33" i="46"/>
  <c r="AA34" i="46"/>
  <c r="AA35" i="46"/>
  <c r="AA36" i="46"/>
  <c r="AA37" i="46"/>
  <c r="AA38" i="46"/>
  <c r="AA39" i="46"/>
  <c r="AA40" i="46"/>
  <c r="AA41" i="46"/>
  <c r="AA42" i="46"/>
  <c r="AA43" i="46"/>
  <c r="AA44" i="46"/>
  <c r="AA45" i="46"/>
  <c r="AA46" i="46"/>
  <c r="AA47" i="46"/>
  <c r="AA48" i="46"/>
  <c r="AA49" i="46"/>
  <c r="AA50" i="46"/>
  <c r="AA51" i="46"/>
  <c r="AA52" i="46"/>
  <c r="AA53" i="46"/>
  <c r="AA54" i="46"/>
  <c r="AA55" i="46"/>
  <c r="AA56" i="46"/>
  <c r="AA57" i="46"/>
  <c r="AA58" i="46"/>
  <c r="AA59" i="46"/>
  <c r="AA60" i="46"/>
  <c r="AA61" i="46"/>
  <c r="AA62" i="46"/>
  <c r="AA63" i="46"/>
  <c r="AA64" i="46"/>
  <c r="AA65" i="46"/>
  <c r="AA66" i="46"/>
  <c r="AA67" i="46"/>
  <c r="AA68" i="46"/>
  <c r="AA69" i="46"/>
  <c r="AA70" i="46"/>
  <c r="AA71" i="46"/>
  <c r="AA72" i="46"/>
  <c r="AA73" i="46"/>
  <c r="AA74" i="46"/>
  <c r="AA75" i="46"/>
  <c r="AA76" i="46"/>
  <c r="AA79" i="46"/>
  <c r="AA80" i="46"/>
  <c r="AA81" i="46"/>
  <c r="AA11" i="46"/>
  <c r="AA12" i="45"/>
  <c r="AA9" i="45"/>
  <c r="AA10" i="45"/>
  <c r="AA11" i="45"/>
  <c r="AA14" i="45"/>
  <c r="AA15" i="45"/>
  <c r="AA16" i="45"/>
  <c r="AA17" i="45"/>
  <c r="AA19" i="45"/>
  <c r="AA20" i="45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50" i="45"/>
  <c r="AA53" i="45"/>
  <c r="AA8" i="37"/>
  <c r="AA9" i="37"/>
  <c r="AA11" i="37"/>
  <c r="AA12" i="37"/>
  <c r="AA13" i="37"/>
  <c r="AA14" i="37"/>
  <c r="AA15" i="37"/>
  <c r="AA26" i="37"/>
  <c r="AA27" i="37"/>
  <c r="AA28" i="37"/>
  <c r="AA29" i="37"/>
  <c r="AA30" i="37"/>
  <c r="AA31" i="37"/>
  <c r="AA32" i="37"/>
  <c r="AA33" i="37"/>
  <c r="AA34" i="37"/>
  <c r="AA35" i="37"/>
  <c r="AA36" i="37"/>
  <c r="AA37" i="37"/>
  <c r="AA38" i="37"/>
  <c r="AA39" i="37"/>
  <c r="AA40" i="37"/>
  <c r="AA41" i="37"/>
  <c r="AA42" i="37"/>
  <c r="AA43" i="37"/>
  <c r="AA44" i="37"/>
  <c r="AA45" i="37"/>
  <c r="AA46" i="37"/>
  <c r="AA47" i="37"/>
  <c r="AA48" i="37"/>
  <c r="AA49" i="37"/>
  <c r="AA50" i="37"/>
  <c r="AA51" i="37"/>
  <c r="AA52" i="37"/>
  <c r="AA53" i="37"/>
  <c r="AA54" i="37"/>
  <c r="AA55" i="37"/>
  <c r="AA56" i="37"/>
  <c r="AA57" i="37"/>
  <c r="AA58" i="37"/>
  <c r="AA59" i="37"/>
  <c r="AA60" i="37"/>
  <c r="AA61" i="37"/>
  <c r="AA62" i="37"/>
  <c r="AA63" i="37"/>
  <c r="AA64" i="37"/>
  <c r="AA65" i="37"/>
  <c r="AA66" i="37"/>
  <c r="AA67" i="37"/>
  <c r="AA68" i="37"/>
  <c r="AA69" i="37"/>
  <c r="AA70" i="37"/>
  <c r="AA71" i="37"/>
  <c r="AA72" i="37"/>
  <c r="AA73" i="37"/>
  <c r="AA74" i="37"/>
  <c r="AA75" i="37"/>
  <c r="AA76" i="37"/>
  <c r="AA77" i="37"/>
  <c r="AA78" i="37"/>
  <c r="AA81" i="37"/>
  <c r="AA82" i="37"/>
  <c r="Y11" i="43"/>
  <c r="Y12" i="43"/>
  <c r="Y13" i="43"/>
  <c r="Y14" i="43"/>
  <c r="Y15" i="43"/>
  <c r="Y16" i="43"/>
  <c r="Y17" i="43"/>
  <c r="Y18" i="43"/>
  <c r="Y19" i="43"/>
  <c r="Y20" i="43"/>
  <c r="Y21" i="43"/>
  <c r="Y22" i="43"/>
  <c r="Y23" i="43"/>
  <c r="Y24" i="43"/>
  <c r="Y25" i="43"/>
  <c r="Y26" i="43"/>
  <c r="Y27" i="43"/>
  <c r="AF9" i="41"/>
  <c r="AF10" i="41"/>
  <c r="AF11" i="41"/>
  <c r="AF12" i="41"/>
  <c r="AF13" i="41"/>
  <c r="AF14" i="41"/>
  <c r="AF15" i="41"/>
  <c r="AF16" i="41"/>
  <c r="AF17" i="41"/>
  <c r="AF18" i="41"/>
  <c r="AF19" i="41"/>
  <c r="AF20" i="41"/>
  <c r="AF21" i="41"/>
  <c r="AF22" i="41"/>
  <c r="AF23" i="41"/>
  <c r="AF24" i="41"/>
  <c r="AF25" i="41"/>
  <c r="AF26" i="41"/>
  <c r="AF27" i="41"/>
  <c r="AF28" i="41"/>
  <c r="AF29" i="41"/>
  <c r="AF30" i="41"/>
  <c r="AF31" i="41"/>
  <c r="AF32" i="41"/>
  <c r="AF33" i="41"/>
  <c r="AF34" i="41"/>
  <c r="AF35" i="41"/>
  <c r="AF36" i="41"/>
  <c r="AF37" i="41"/>
  <c r="AF38" i="41"/>
  <c r="AF39" i="41"/>
  <c r="AF40" i="41"/>
  <c r="AF41" i="41"/>
  <c r="AF42" i="41"/>
  <c r="AF43" i="41"/>
  <c r="AF44" i="41"/>
  <c r="AF49" i="41"/>
  <c r="AF50" i="41"/>
  <c r="AF53" i="41"/>
  <c r="AA10" i="40"/>
  <c r="AA11" i="40"/>
  <c r="AA12" i="40"/>
  <c r="AA13" i="40"/>
  <c r="AA14" i="40"/>
  <c r="AA15" i="40"/>
  <c r="AA16" i="40"/>
  <c r="AA17" i="40"/>
  <c r="AA18" i="40"/>
  <c r="AA19" i="40"/>
  <c r="AA21" i="40"/>
  <c r="AA22" i="40"/>
  <c r="AA23" i="40"/>
  <c r="AA24" i="40"/>
  <c r="AA32" i="40"/>
  <c r="Y9" i="34"/>
  <c r="Y10" i="34"/>
  <c r="Y11" i="34"/>
  <c r="Y12" i="34"/>
  <c r="Y13" i="34"/>
  <c r="Y14" i="34"/>
  <c r="Y15" i="34"/>
  <c r="Y16" i="34"/>
  <c r="Y17" i="34"/>
  <c r="Y19" i="34"/>
  <c r="Y20" i="34"/>
  <c r="Y21" i="34"/>
  <c r="Y22" i="34"/>
  <c r="Y23" i="34"/>
  <c r="Y24" i="34"/>
  <c r="Y25" i="34"/>
  <c r="Y26" i="34"/>
  <c r="Y27" i="34"/>
  <c r="Y28" i="34"/>
  <c r="Y29" i="34"/>
  <c r="Y30" i="34"/>
  <c r="Y31" i="34"/>
  <c r="Y32" i="34"/>
  <c r="Y33" i="34"/>
  <c r="Y34" i="34"/>
  <c r="Y35" i="34"/>
  <c r="Y36" i="34"/>
  <c r="Y37" i="34"/>
  <c r="Y38" i="34"/>
  <c r="Y39" i="34"/>
  <c r="Y40" i="34"/>
  <c r="Y41" i="34"/>
  <c r="Y42" i="34"/>
  <c r="Y43" i="34"/>
  <c r="Y44" i="34"/>
  <c r="Y45" i="34"/>
  <c r="Y46" i="34"/>
  <c r="Y47" i="34"/>
  <c r="Y48" i="34"/>
  <c r="Y49" i="34"/>
  <c r="Y50" i="34"/>
  <c r="AC9" i="33"/>
  <c r="AC10" i="33"/>
  <c r="AC11" i="33"/>
  <c r="AC12" i="33"/>
  <c r="AC13" i="33"/>
  <c r="AC14" i="33"/>
  <c r="AC15" i="33"/>
  <c r="AC16" i="33"/>
  <c r="AC17" i="33"/>
  <c r="AC18" i="33"/>
  <c r="AC19" i="33"/>
  <c r="AC20" i="33"/>
  <c r="AC21" i="33"/>
  <c r="AC22" i="33"/>
  <c r="AC23" i="33"/>
  <c r="AC24" i="33"/>
  <c r="AC25" i="33"/>
  <c r="AC26" i="33"/>
  <c r="AC27" i="33"/>
  <c r="AC28" i="33"/>
  <c r="AC29" i="33"/>
  <c r="AC30" i="33"/>
  <c r="AC31" i="33"/>
  <c r="AC32" i="33"/>
  <c r="AC33" i="33"/>
  <c r="AC34" i="33"/>
  <c r="AC35" i="33"/>
  <c r="AC36" i="33"/>
  <c r="AC37" i="33"/>
  <c r="AC38" i="33"/>
  <c r="AC39" i="33"/>
  <c r="AC40" i="33"/>
  <c r="AC41" i="33"/>
  <c r="AC42" i="33"/>
  <c r="AC43" i="33"/>
  <c r="AC44" i="33"/>
  <c r="AC45" i="33"/>
  <c r="AC46" i="33"/>
  <c r="AC47" i="33"/>
  <c r="AC48" i="33"/>
  <c r="AC49" i="33"/>
  <c r="AC50" i="33"/>
  <c r="AC51" i="33"/>
  <c r="AC52" i="33"/>
  <c r="AC53" i="33"/>
  <c r="AC54" i="33"/>
  <c r="AC55" i="33"/>
  <c r="AC56" i="33"/>
  <c r="AC57" i="33"/>
  <c r="AC58" i="33"/>
  <c r="AC59" i="33"/>
  <c r="AC60" i="33"/>
  <c r="AC61" i="33"/>
  <c r="AC73" i="33"/>
  <c r="AC74" i="33"/>
  <c r="AC75" i="33"/>
  <c r="AC76" i="33"/>
  <c r="AC77" i="33"/>
  <c r="AC82" i="33"/>
  <c r="AC83" i="33"/>
  <c r="AC84" i="33"/>
  <c r="AC85" i="33"/>
  <c r="AB9" i="32"/>
  <c r="AB10" i="30"/>
  <c r="AB11" i="30"/>
  <c r="AB12" i="30"/>
  <c r="AB13" i="30"/>
  <c r="AB34" i="30"/>
  <c r="AB35" i="30"/>
  <c r="AB36" i="30"/>
  <c r="AB37" i="30"/>
  <c r="AB9" i="30"/>
  <c r="AF10" i="54"/>
  <c r="AF11" i="54"/>
  <c r="AF12" i="54"/>
  <c r="AF13" i="54"/>
  <c r="AF9" i="54"/>
  <c r="G8" i="48"/>
  <c r="I8" i="48"/>
  <c r="K8" i="48"/>
  <c r="O8" i="48"/>
  <c r="Q8" i="48"/>
  <c r="S8" i="48"/>
  <c r="G9" i="48"/>
  <c r="L9" i="48" s="1"/>
  <c r="I9" i="48"/>
  <c r="K9" i="48"/>
  <c r="O9" i="48"/>
  <c r="Q9" i="48"/>
  <c r="S9" i="48"/>
  <c r="D10" i="48"/>
  <c r="D18" i="48" s="1"/>
  <c r="E10" i="48"/>
  <c r="F10" i="48"/>
  <c r="H10" i="48"/>
  <c r="J10" i="48"/>
  <c r="N10" i="48"/>
  <c r="P10" i="48"/>
  <c r="R10" i="48"/>
  <c r="T10" i="48"/>
  <c r="V10" i="48"/>
  <c r="G11" i="48"/>
  <c r="I11" i="48"/>
  <c r="O11" i="48"/>
  <c r="Q11" i="48"/>
  <c r="G12" i="48"/>
  <c r="I12" i="48"/>
  <c r="K12" i="48"/>
  <c r="O12" i="48"/>
  <c r="Q12" i="48"/>
  <c r="G13" i="48"/>
  <c r="I13" i="48"/>
  <c r="K13" i="48"/>
  <c r="O13" i="48"/>
  <c r="Q13" i="48"/>
  <c r="S13" i="48"/>
  <c r="D14" i="48"/>
  <c r="E14" i="48"/>
  <c r="F14" i="48"/>
  <c r="H14" i="48"/>
  <c r="J14" i="48"/>
  <c r="N14" i="48"/>
  <c r="P14" i="48"/>
  <c r="R14" i="48"/>
  <c r="T14" i="48"/>
  <c r="V14" i="48"/>
  <c r="G15" i="48"/>
  <c r="I15" i="48"/>
  <c r="O15" i="48"/>
  <c r="Q15" i="48"/>
  <c r="S15" i="48"/>
  <c r="G16" i="48"/>
  <c r="I16" i="48"/>
  <c r="O16" i="48"/>
  <c r="Q16" i="48"/>
  <c r="S16" i="48"/>
  <c r="D17" i="48"/>
  <c r="E17" i="48"/>
  <c r="F17" i="48"/>
  <c r="H17" i="48"/>
  <c r="J17" i="48"/>
  <c r="N17" i="48"/>
  <c r="O17" i="48" s="1"/>
  <c r="P17" i="48"/>
  <c r="R17" i="48"/>
  <c r="T17" i="48"/>
  <c r="V17" i="48"/>
  <c r="G19" i="48"/>
  <c r="I19" i="48"/>
  <c r="O19" i="48"/>
  <c r="Q19" i="48"/>
  <c r="G20" i="48"/>
  <c r="M20" i="48" s="1"/>
  <c r="I20" i="48"/>
  <c r="K20" i="48"/>
  <c r="O20" i="48"/>
  <c r="Q20" i="48"/>
  <c r="G22" i="48"/>
  <c r="I22" i="48"/>
  <c r="K22" i="48"/>
  <c r="O22" i="48"/>
  <c r="Q22" i="48"/>
  <c r="D23" i="48"/>
  <c r="E23" i="48"/>
  <c r="I23" i="48" s="1"/>
  <c r="F23" i="48"/>
  <c r="H23" i="48"/>
  <c r="J23" i="48"/>
  <c r="N23" i="48"/>
  <c r="P23" i="48"/>
  <c r="R23" i="48"/>
  <c r="T23" i="48"/>
  <c r="V23" i="48"/>
  <c r="G24" i="48"/>
  <c r="I24" i="48"/>
  <c r="K24" i="48"/>
  <c r="O24" i="48"/>
  <c r="Q24" i="48"/>
  <c r="G25" i="48"/>
  <c r="I25" i="48"/>
  <c r="K25" i="48"/>
  <c r="O25" i="48"/>
  <c r="Q25" i="48"/>
  <c r="G26" i="48"/>
  <c r="I26" i="48"/>
  <c r="O26" i="48"/>
  <c r="Q26" i="48"/>
  <c r="D27" i="48"/>
  <c r="E27" i="48"/>
  <c r="F27" i="48"/>
  <c r="G27" i="48" s="1"/>
  <c r="H27" i="48"/>
  <c r="J27" i="48"/>
  <c r="K27" i="48" s="1"/>
  <c r="N27" i="48"/>
  <c r="O27" i="48" s="1"/>
  <c r="P27" i="48"/>
  <c r="R27" i="48"/>
  <c r="T27" i="48"/>
  <c r="V27" i="48"/>
  <c r="G28" i="48"/>
  <c r="I28" i="48"/>
  <c r="O28" i="48"/>
  <c r="Q28" i="48"/>
  <c r="G29" i="48"/>
  <c r="M29" i="48" s="1"/>
  <c r="I29" i="48"/>
  <c r="O29" i="48"/>
  <c r="Q29" i="48"/>
  <c r="G30" i="48"/>
  <c r="I30" i="48"/>
  <c r="O30" i="48"/>
  <c r="Q30" i="48"/>
  <c r="D31" i="48"/>
  <c r="E31" i="48"/>
  <c r="F31" i="48"/>
  <c r="G31" i="48" s="1"/>
  <c r="H31" i="48"/>
  <c r="J31" i="48"/>
  <c r="N31" i="48"/>
  <c r="O31" i="48" s="1"/>
  <c r="P31" i="48"/>
  <c r="R31" i="48"/>
  <c r="T31" i="48"/>
  <c r="V31" i="48"/>
  <c r="D32" i="48"/>
  <c r="N32" i="48"/>
  <c r="O32" i="48" s="1"/>
  <c r="R32" i="48"/>
  <c r="T32" i="48"/>
  <c r="V32" i="48"/>
  <c r="AI8" i="59"/>
  <c r="AC10" i="31"/>
  <c r="AC11" i="31"/>
  <c r="AC12" i="31"/>
  <c r="AC13" i="31"/>
  <c r="AC14" i="31"/>
  <c r="AC15" i="31"/>
  <c r="AC16" i="31"/>
  <c r="AC17" i="31"/>
  <c r="AC18" i="31"/>
  <c r="AC19" i="31"/>
  <c r="AC20" i="31"/>
  <c r="AC21" i="31"/>
  <c r="AC22" i="31"/>
  <c r="AC23" i="31"/>
  <c r="AC24" i="31"/>
  <c r="AC25" i="31"/>
  <c r="AC26" i="31"/>
  <c r="AC27" i="31"/>
  <c r="AC28" i="31"/>
  <c r="AC29" i="31"/>
  <c r="AC30" i="31"/>
  <c r="AC31" i="31"/>
  <c r="AC32" i="31"/>
  <c r="AC33" i="31"/>
  <c r="AC34" i="31"/>
  <c r="AC35" i="31"/>
  <c r="AC36" i="31"/>
  <c r="AC37" i="31"/>
  <c r="AC38" i="31"/>
  <c r="AC39" i="31"/>
  <c r="AC40" i="31"/>
  <c r="AC41" i="31"/>
  <c r="AC42" i="31"/>
  <c r="AB11" i="32"/>
  <c r="AB12" i="32"/>
  <c r="AB13" i="32"/>
  <c r="AB14" i="32"/>
  <c r="AB15" i="32"/>
  <c r="AB16" i="32"/>
  <c r="AB17" i="32"/>
  <c r="AB18" i="32"/>
  <c r="AB19" i="32"/>
  <c r="AB20" i="32"/>
  <c r="AB21" i="32"/>
  <c r="AB22" i="32"/>
  <c r="AB23" i="32"/>
  <c r="AB24" i="32"/>
  <c r="AB25" i="32"/>
  <c r="AB26" i="32"/>
  <c r="AB27" i="32"/>
  <c r="AB28" i="32"/>
  <c r="AB29" i="32"/>
  <c r="AB30" i="32"/>
  <c r="AB31" i="32"/>
  <c r="AB32" i="32"/>
  <c r="AB33" i="32"/>
  <c r="AB34" i="32"/>
  <c r="AB35" i="32"/>
  <c r="AB36" i="32"/>
  <c r="AB37" i="32"/>
  <c r="AB48" i="32"/>
  <c r="AB49" i="32"/>
  <c r="AB50" i="32"/>
  <c r="AB51" i="32"/>
  <c r="AB52" i="32"/>
  <c r="AB53" i="32"/>
  <c r="AB66" i="32"/>
  <c r="AD11" i="36"/>
  <c r="AD12" i="36"/>
  <c r="AD13" i="36"/>
  <c r="AD14" i="36"/>
  <c r="P23" i="43"/>
  <c r="S23" i="43" s="1"/>
  <c r="P27" i="43"/>
  <c r="S27" i="43" s="1"/>
  <c r="T27" i="43" s="1"/>
  <c r="T9" i="37"/>
  <c r="U9" i="37" s="1"/>
  <c r="T10" i="37"/>
  <c r="U10" i="37" s="1"/>
  <c r="T12" i="37"/>
  <c r="U12" i="37" s="1"/>
  <c r="T13" i="37"/>
  <c r="U13" i="37" s="1"/>
  <c r="T14" i="37"/>
  <c r="U14" i="37" s="1"/>
  <c r="T15" i="37"/>
  <c r="U15" i="37" s="1"/>
  <c r="T18" i="37"/>
  <c r="U18" i="37" s="1"/>
  <c r="T19" i="37"/>
  <c r="U19" i="37" s="1"/>
  <c r="T20" i="37"/>
  <c r="U20" i="37" s="1"/>
  <c r="T21" i="37"/>
  <c r="U21" i="37" s="1"/>
  <c r="T22" i="37"/>
  <c r="U22" i="37" s="1"/>
  <c r="T23" i="37"/>
  <c r="U23" i="37" s="1"/>
  <c r="T24" i="37"/>
  <c r="U24" i="37" s="1"/>
  <c r="T25" i="37"/>
  <c r="U25" i="37" s="1"/>
  <c r="T26" i="37"/>
  <c r="U26" i="37" s="1"/>
  <c r="T27" i="37"/>
  <c r="U27" i="37" s="1"/>
  <c r="T28" i="37"/>
  <c r="U28" i="37" s="1"/>
  <c r="T29" i="37"/>
  <c r="U29" i="37" s="1"/>
  <c r="T30" i="37"/>
  <c r="U30" i="37" s="1"/>
  <c r="T31" i="37"/>
  <c r="U31" i="37" s="1"/>
  <c r="T32" i="37"/>
  <c r="U32" i="37" s="1"/>
  <c r="T33" i="37"/>
  <c r="U33" i="37" s="1"/>
  <c r="T34" i="37"/>
  <c r="U34" i="37" s="1"/>
  <c r="T35" i="37"/>
  <c r="U35" i="37" s="1"/>
  <c r="T36" i="37"/>
  <c r="U36" i="37" s="1"/>
  <c r="T37" i="37"/>
  <c r="U37" i="37" s="1"/>
  <c r="T38" i="37"/>
  <c r="U38" i="37" s="1"/>
  <c r="T39" i="37"/>
  <c r="U39" i="37" s="1"/>
  <c r="T45" i="37"/>
  <c r="U45" i="37" s="1"/>
  <c r="T44" i="37"/>
  <c r="U44" i="37" s="1"/>
  <c r="T46" i="37"/>
  <c r="U46" i="37" s="1"/>
  <c r="T48" i="37"/>
  <c r="U48" i="37" s="1"/>
  <c r="T49" i="37"/>
  <c r="U49" i="37" s="1"/>
  <c r="T50" i="37"/>
  <c r="U50" i="37" s="1"/>
  <c r="T51" i="37"/>
  <c r="U51" i="37" s="1"/>
  <c r="T52" i="37"/>
  <c r="U52" i="37" s="1"/>
  <c r="T53" i="37"/>
  <c r="U53" i="37" s="1"/>
  <c r="T54" i="37"/>
  <c r="U54" i="37" s="1"/>
  <c r="T55" i="37"/>
  <c r="U55" i="37" s="1"/>
  <c r="T56" i="37"/>
  <c r="U56" i="37" s="1"/>
  <c r="T57" i="37"/>
  <c r="U57" i="37" s="1"/>
  <c r="T58" i="37"/>
  <c r="U58" i="37" s="1"/>
  <c r="T59" i="37"/>
  <c r="U59" i="37" s="1"/>
  <c r="T60" i="37"/>
  <c r="U60" i="37" s="1"/>
  <c r="T61" i="37"/>
  <c r="U61" i="37" s="1"/>
  <c r="T62" i="37"/>
  <c r="U62" i="37" s="1"/>
  <c r="T63" i="37"/>
  <c r="U63" i="37" s="1"/>
  <c r="T64" i="37"/>
  <c r="U64" i="37" s="1"/>
  <c r="T65" i="37"/>
  <c r="U65" i="37" s="1"/>
  <c r="T66" i="37"/>
  <c r="U66" i="37" s="1"/>
  <c r="T67" i="37"/>
  <c r="U67" i="37" s="1"/>
  <c r="T68" i="37"/>
  <c r="U68" i="37" s="1"/>
  <c r="T69" i="37"/>
  <c r="U69" i="37" s="1"/>
  <c r="T70" i="37"/>
  <c r="U70" i="37" s="1"/>
  <c r="T71" i="37"/>
  <c r="U71" i="37" s="1"/>
  <c r="T72" i="37"/>
  <c r="U72" i="37" s="1"/>
  <c r="T73" i="37"/>
  <c r="U73" i="37" s="1"/>
  <c r="T74" i="37"/>
  <c r="U74" i="37" s="1"/>
  <c r="T75" i="37"/>
  <c r="U75" i="37" s="1"/>
  <c r="S9" i="34"/>
  <c r="Z7" i="63"/>
  <c r="AA7" i="63" s="1"/>
  <c r="Z8" i="63"/>
  <c r="AA8" i="63" s="1"/>
  <c r="Y47" i="47"/>
  <c r="Z47" i="47" s="1"/>
  <c r="Y46" i="47"/>
  <c r="Y45" i="47"/>
  <c r="Y44" i="47"/>
  <c r="Y43" i="47"/>
  <c r="Y33" i="47"/>
  <c r="Y32" i="47"/>
  <c r="Y30" i="47"/>
  <c r="Z30" i="47" s="1"/>
  <c r="Y11" i="47"/>
  <c r="Z11" i="47" s="1"/>
  <c r="Y10" i="47"/>
  <c r="U81" i="46"/>
  <c r="U80" i="46"/>
  <c r="V80" i="46" s="1"/>
  <c r="U46" i="45"/>
  <c r="U45" i="45"/>
  <c r="U44" i="45"/>
  <c r="U43" i="45"/>
  <c r="V43" i="45" s="1"/>
  <c r="U42" i="45"/>
  <c r="U41" i="45"/>
  <c r="U40" i="45"/>
  <c r="V40" i="45" s="1"/>
  <c r="U39" i="45"/>
  <c r="U38" i="45"/>
  <c r="U37" i="45"/>
  <c r="U36" i="45"/>
  <c r="V36" i="45" s="1"/>
  <c r="U35" i="45"/>
  <c r="U33" i="45"/>
  <c r="U32" i="45"/>
  <c r="U31" i="45"/>
  <c r="V31" i="45" s="1"/>
  <c r="U30" i="45"/>
  <c r="U29" i="45"/>
  <c r="U28" i="45"/>
  <c r="U27" i="45"/>
  <c r="V27" i="45" s="1"/>
  <c r="U26" i="45"/>
  <c r="U25" i="45"/>
  <c r="U24" i="45"/>
  <c r="U23" i="45"/>
  <c r="V23" i="45" s="1"/>
  <c r="U22" i="45"/>
  <c r="U21" i="45"/>
  <c r="U20" i="45"/>
  <c r="U19" i="45"/>
  <c r="V19" i="45" s="1"/>
  <c r="U17" i="45"/>
  <c r="U16" i="45"/>
  <c r="U15" i="45"/>
  <c r="U14" i="45"/>
  <c r="V14" i="45" s="1"/>
  <c r="U13" i="45"/>
  <c r="U12" i="45"/>
  <c r="U11" i="45"/>
  <c r="U10" i="45"/>
  <c r="S22" i="43"/>
  <c r="S21" i="43"/>
  <c r="T21" i="43" s="1"/>
  <c r="S20" i="43"/>
  <c r="S13" i="43"/>
  <c r="S12" i="43"/>
  <c r="S11" i="43"/>
  <c r="U77" i="37"/>
  <c r="U76" i="37"/>
  <c r="V76" i="37" s="1"/>
  <c r="U47" i="37"/>
  <c r="V47" i="37" s="1"/>
  <c r="U41" i="37"/>
  <c r="U40" i="37"/>
  <c r="U11" i="37"/>
  <c r="U32" i="40"/>
  <c r="V32" i="40" s="1"/>
  <c r="U24" i="40"/>
  <c r="U23" i="40"/>
  <c r="U22" i="40"/>
  <c r="V22" i="40"/>
  <c r="U21" i="40"/>
  <c r="U18" i="40"/>
  <c r="U17" i="40"/>
  <c r="U16" i="40"/>
  <c r="V16" i="40" s="1"/>
  <c r="U15" i="40"/>
  <c r="U14" i="40"/>
  <c r="U13" i="40"/>
  <c r="U12" i="40"/>
  <c r="U11" i="40"/>
  <c r="V11" i="40" s="1"/>
  <c r="U10" i="40"/>
  <c r="X14" i="36"/>
  <c r="Y14" i="36" s="1"/>
  <c r="X13" i="36"/>
  <c r="Y13" i="36" s="1"/>
  <c r="X12" i="36"/>
  <c r="Y12" i="36" s="1"/>
  <c r="X11" i="36"/>
  <c r="Y11" i="36" s="1"/>
  <c r="AC61" i="59"/>
  <c r="AC60" i="59"/>
  <c r="AC59" i="59"/>
  <c r="AC57" i="59"/>
  <c r="AC56" i="59"/>
  <c r="AC55" i="59"/>
  <c r="AD55" i="59" s="1"/>
  <c r="AC54" i="59"/>
  <c r="AC53" i="59"/>
  <c r="AC52" i="59"/>
  <c r="AC51" i="59"/>
  <c r="AC50" i="59"/>
  <c r="AD50" i="59" s="1"/>
  <c r="AC62" i="59"/>
  <c r="AC49" i="59"/>
  <c r="AC48" i="59"/>
  <c r="AD48" i="59" s="1"/>
  <c r="AC47" i="59"/>
  <c r="AC46" i="59"/>
  <c r="AC45" i="59"/>
  <c r="S67" i="34"/>
  <c r="S65" i="34"/>
  <c r="S50" i="34"/>
  <c r="S49" i="34"/>
  <c r="S48" i="34"/>
  <c r="T48" i="34" s="1"/>
  <c r="S47" i="34"/>
  <c r="T47" i="34" s="1"/>
  <c r="S46" i="34"/>
  <c r="T46" i="34" s="1"/>
  <c r="S45" i="34"/>
  <c r="S44" i="34"/>
  <c r="S43" i="34"/>
  <c r="S42" i="34"/>
  <c r="S41" i="34"/>
  <c r="S40" i="34"/>
  <c r="S39" i="34"/>
  <c r="S38" i="34"/>
  <c r="S37" i="34"/>
  <c r="S36" i="34"/>
  <c r="S35" i="34"/>
  <c r="S34" i="34"/>
  <c r="S33" i="34"/>
  <c r="S32" i="34"/>
  <c r="T32" i="34" s="1"/>
  <c r="S31" i="34"/>
  <c r="S30" i="34"/>
  <c r="T30" i="34" s="1"/>
  <c r="S29" i="34"/>
  <c r="S28" i="34"/>
  <c r="T28" i="34" s="1"/>
  <c r="S27" i="34"/>
  <c r="S26" i="34"/>
  <c r="T26" i="34" s="1"/>
  <c r="S25" i="34"/>
  <c r="S24" i="34"/>
  <c r="S23" i="34"/>
  <c r="S22" i="34"/>
  <c r="T22" i="34" s="1"/>
  <c r="S21" i="34"/>
  <c r="S20" i="34"/>
  <c r="S19" i="34"/>
  <c r="S17" i="34"/>
  <c r="S16" i="34"/>
  <c r="S15" i="34"/>
  <c r="T15" i="34" s="1"/>
  <c r="S14" i="34"/>
  <c r="S13" i="34"/>
  <c r="S12" i="34"/>
  <c r="S11" i="34"/>
  <c r="T11" i="34" s="1"/>
  <c r="S10" i="34"/>
  <c r="W59" i="33"/>
  <c r="W58" i="33"/>
  <c r="X58" i="33" s="1"/>
  <c r="W57" i="33"/>
  <c r="W56" i="33"/>
  <c r="X56" i="33" s="1"/>
  <c r="W55" i="33"/>
  <c r="W54" i="33"/>
  <c r="X54" i="33" s="1"/>
  <c r="W53" i="33"/>
  <c r="W52" i="33"/>
  <c r="X52" i="33" s="1"/>
  <c r="W51" i="33"/>
  <c r="W50" i="33"/>
  <c r="X50" i="33" s="1"/>
  <c r="W49" i="33"/>
  <c r="X49" i="33" s="1"/>
  <c r="W48" i="33"/>
  <c r="X48" i="33" s="1"/>
  <c r="W47" i="33"/>
  <c r="W46" i="33"/>
  <c r="X46" i="33" s="1"/>
  <c r="W45" i="33"/>
  <c r="W44" i="33"/>
  <c r="X44" i="33" s="1"/>
  <c r="W43" i="33"/>
  <c r="W42" i="33"/>
  <c r="X42" i="33" s="1"/>
  <c r="W41" i="33"/>
  <c r="W40" i="33"/>
  <c r="W39" i="33"/>
  <c r="X39" i="33" s="1"/>
  <c r="W38" i="33"/>
  <c r="W37" i="33"/>
  <c r="W36" i="33"/>
  <c r="W35" i="33"/>
  <c r="W34" i="33"/>
  <c r="W33" i="33"/>
  <c r="W32" i="33"/>
  <c r="W31" i="33"/>
  <c r="W30" i="33"/>
  <c r="W29" i="33"/>
  <c r="W28" i="33"/>
  <c r="W27" i="33"/>
  <c r="W26" i="33"/>
  <c r="W25" i="33"/>
  <c r="W24" i="33"/>
  <c r="W23" i="33"/>
  <c r="W22" i="33"/>
  <c r="W21" i="33"/>
  <c r="W20" i="33"/>
  <c r="W19" i="33"/>
  <c r="W18" i="33"/>
  <c r="X18" i="33" s="1"/>
  <c r="W17" i="33"/>
  <c r="X17" i="33" s="1"/>
  <c r="W16" i="33"/>
  <c r="W15" i="33"/>
  <c r="W14" i="33"/>
  <c r="W13" i="33"/>
  <c r="W12" i="33"/>
  <c r="W11" i="33"/>
  <c r="X11" i="33" s="1"/>
  <c r="W10" i="33"/>
  <c r="W9" i="33"/>
  <c r="W66" i="32"/>
  <c r="W65" i="32"/>
  <c r="W64" i="32"/>
  <c r="W53" i="32"/>
  <c r="W52" i="32"/>
  <c r="W51" i="32"/>
  <c r="W50" i="32"/>
  <c r="W49" i="32"/>
  <c r="W48" i="32"/>
  <c r="W47" i="32"/>
  <c r="W37" i="32"/>
  <c r="W36" i="32"/>
  <c r="W35" i="32"/>
  <c r="W34" i="32"/>
  <c r="W33" i="32"/>
  <c r="W32" i="32"/>
  <c r="W31" i="32"/>
  <c r="W30" i="32"/>
  <c r="W29" i="32"/>
  <c r="W28" i="32"/>
  <c r="W27" i="32"/>
  <c r="W26" i="32"/>
  <c r="W25" i="32"/>
  <c r="W24" i="32"/>
  <c r="W23" i="32"/>
  <c r="W22" i="32"/>
  <c r="W21" i="32"/>
  <c r="W20" i="32"/>
  <c r="W19" i="32"/>
  <c r="W18" i="32"/>
  <c r="W17" i="32"/>
  <c r="W16" i="32"/>
  <c r="W15" i="32"/>
  <c r="W14" i="32"/>
  <c r="W13" i="32"/>
  <c r="W12" i="32"/>
  <c r="W11" i="32"/>
  <c r="W10" i="32"/>
  <c r="W63" i="31"/>
  <c r="X63" i="31" s="1"/>
  <c r="W62" i="31"/>
  <c r="X62" i="31" s="1"/>
  <c r="W57" i="31"/>
  <c r="W56" i="31"/>
  <c r="X56" i="31" s="1"/>
  <c r="W55" i="31"/>
  <c r="X55" i="31" s="1"/>
  <c r="W54" i="31"/>
  <c r="X54" i="31" s="1"/>
  <c r="W53" i="31"/>
  <c r="W42" i="31"/>
  <c r="X42" i="31" s="1"/>
  <c r="W41" i="31"/>
  <c r="X41" i="31" s="1"/>
  <c r="W40" i="31"/>
  <c r="X40" i="31" s="1"/>
  <c r="W39" i="31"/>
  <c r="W38" i="31"/>
  <c r="X38" i="31" s="1"/>
  <c r="W37" i="31"/>
  <c r="X37" i="31" s="1"/>
  <c r="W36" i="31"/>
  <c r="X36" i="31" s="1"/>
  <c r="W35" i="31"/>
  <c r="W34" i="31"/>
  <c r="W33" i="31"/>
  <c r="X33" i="31" s="1"/>
  <c r="W32" i="31"/>
  <c r="X32" i="31" s="1"/>
  <c r="W31" i="31"/>
  <c r="W30" i="31"/>
  <c r="X30" i="31" s="1"/>
  <c r="W29" i="31"/>
  <c r="W28" i="31"/>
  <c r="X28" i="31" s="1"/>
  <c r="W27" i="31"/>
  <c r="W26" i="31"/>
  <c r="X26" i="31" s="1"/>
  <c r="W25" i="31"/>
  <c r="X25" i="31" s="1"/>
  <c r="W24" i="31"/>
  <c r="X24" i="31" s="1"/>
  <c r="W23" i="31"/>
  <c r="W22" i="31"/>
  <c r="W21" i="31"/>
  <c r="X21" i="31" s="1"/>
  <c r="W20" i="31"/>
  <c r="X20" i="31" s="1"/>
  <c r="W19" i="31"/>
  <c r="W18" i="31"/>
  <c r="X18" i="31" s="1"/>
  <c r="W17" i="31"/>
  <c r="X17" i="31" s="1"/>
  <c r="W16" i="31"/>
  <c r="X16" i="31" s="1"/>
  <c r="W15" i="31"/>
  <c r="W14" i="31"/>
  <c r="X14" i="31" s="1"/>
  <c r="W13" i="31"/>
  <c r="X13" i="31" s="1"/>
  <c r="W12" i="31"/>
  <c r="X12" i="31" s="1"/>
  <c r="W11" i="31"/>
  <c r="W10" i="31"/>
  <c r="X10" i="31" s="1"/>
  <c r="V34" i="30"/>
  <c r="W34" i="30" s="1"/>
  <c r="V33" i="30"/>
  <c r="W33" i="30" s="1"/>
  <c r="V32" i="30"/>
  <c r="V31" i="30"/>
  <c r="W31" i="30" s="1"/>
  <c r="V30" i="30"/>
  <c r="W30" i="30" s="1"/>
  <c r="V13" i="30"/>
  <c r="W13" i="30" s="1"/>
  <c r="V12" i="30"/>
  <c r="V11" i="30"/>
  <c r="V10" i="30"/>
  <c r="W10" i="30" s="1"/>
  <c r="AC8" i="59"/>
  <c r="S26" i="43"/>
  <c r="T26" i="43" s="1"/>
  <c r="S25" i="43"/>
  <c r="S24" i="43"/>
  <c r="T24" i="43" s="1"/>
  <c r="F8" i="58"/>
  <c r="H8" i="58"/>
  <c r="N8" i="58"/>
  <c r="P8" i="58"/>
  <c r="R8" i="58"/>
  <c r="P28" i="43"/>
  <c r="Y9" i="47"/>
  <c r="U11" i="46"/>
  <c r="V11" i="46"/>
  <c r="U9" i="45"/>
  <c r="U47" i="45"/>
  <c r="V47" i="45" s="1"/>
  <c r="U50" i="45"/>
  <c r="U52" i="45"/>
  <c r="U53" i="45"/>
  <c r="S10" i="43"/>
  <c r="T10" i="43" s="1"/>
  <c r="U9" i="40"/>
  <c r="V9" i="40" s="1"/>
  <c r="X10" i="36"/>
  <c r="Y10" i="36" s="1"/>
  <c r="S8" i="34"/>
  <c r="T8" i="34" s="1"/>
  <c r="W8" i="33"/>
  <c r="W9" i="32"/>
  <c r="W9" i="31"/>
  <c r="X9" i="31" s="1"/>
  <c r="W66" i="31"/>
  <c r="X66" i="31" s="1"/>
  <c r="V9" i="30"/>
  <c r="V35" i="30"/>
  <c r="V36" i="30"/>
  <c r="V37" i="30"/>
  <c r="W37" i="30" s="1"/>
  <c r="Z9" i="54"/>
  <c r="AA9" i="54" s="1"/>
  <c r="Z10" i="54"/>
  <c r="AA10" i="54" s="1"/>
  <c r="Z11" i="54"/>
  <c r="Z12" i="54"/>
  <c r="AA12" i="54" s="1"/>
  <c r="Z13" i="54"/>
  <c r="AA13" i="54" s="1"/>
  <c r="Z106" i="54"/>
  <c r="AA106" i="54" s="1"/>
  <c r="Z83" i="54"/>
  <c r="AA83" i="54" s="1"/>
  <c r="Z84" i="54"/>
  <c r="Z179" i="54"/>
  <c r="AA179" i="54" s="1"/>
  <c r="P33" i="48"/>
  <c r="H33" i="48"/>
  <c r="M19" i="48"/>
  <c r="L29" i="48"/>
  <c r="M25" i="48"/>
  <c r="P18" i="48"/>
  <c r="H18" i="48"/>
  <c r="H34" i="48" s="1"/>
  <c r="M11" i="48"/>
  <c r="J33" i="48"/>
  <c r="Q32" i="48"/>
  <c r="M26" i="48"/>
  <c r="Q27" i="48"/>
  <c r="V33" i="48"/>
  <c r="M24" i="48"/>
  <c r="M22" i="48"/>
  <c r="L20" i="48"/>
  <c r="E33" i="48"/>
  <c r="G33" i="48" s="1"/>
  <c r="Q17" i="48"/>
  <c r="S14" i="48"/>
  <c r="O14" i="48"/>
  <c r="V18" i="48"/>
  <c r="V34" i="48" s="1"/>
  <c r="E18" i="48"/>
  <c r="Q18" i="48" s="1"/>
  <c r="G10" i="48"/>
  <c r="K10" i="48"/>
  <c r="S10" i="48"/>
  <c r="O10" i="48"/>
  <c r="V41" i="45"/>
  <c r="V81" i="46"/>
  <c r="T22" i="43"/>
  <c r="T20" i="43"/>
  <c r="V11" i="37"/>
  <c r="X33" i="33"/>
  <c r="X35" i="33"/>
  <c r="X29" i="31"/>
  <c r="X22" i="31"/>
  <c r="AA11" i="54"/>
  <c r="I27" i="48"/>
  <c r="K17" i="48" l="1"/>
  <c r="L19" i="48"/>
  <c r="R18" i="48"/>
  <c r="Q31" i="48"/>
  <c r="N18" i="48"/>
  <c r="L25" i="48"/>
  <c r="R33" i="48"/>
  <c r="T18" i="48"/>
  <c r="L16" i="48"/>
  <c r="D33" i="48"/>
  <c r="K23" i="48"/>
  <c r="Q23" i="48"/>
  <c r="I14" i="48"/>
  <c r="L27" i="48"/>
  <c r="Z33" i="47"/>
  <c r="Z46" i="47"/>
  <c r="AD57" i="59"/>
  <c r="AD51" i="59"/>
  <c r="AD49" i="59"/>
  <c r="AD46" i="59"/>
  <c r="AD53" i="59"/>
  <c r="AD59" i="59"/>
  <c r="AD52" i="59"/>
  <c r="AD61" i="59"/>
  <c r="AD62" i="59"/>
  <c r="AD56" i="59"/>
  <c r="Z10" i="47"/>
  <c r="Z45" i="47"/>
  <c r="Z44" i="47"/>
  <c r="Z9" i="47"/>
  <c r="V9" i="45"/>
  <c r="V39" i="45"/>
  <c r="V35" i="45"/>
  <c r="V30" i="45"/>
  <c r="V12" i="45"/>
  <c r="V45" i="45"/>
  <c r="V38" i="45"/>
  <c r="V33" i="45"/>
  <c r="V25" i="45"/>
  <c r="V21" i="45"/>
  <c r="V16" i="45"/>
  <c r="V11" i="45"/>
  <c r="V50" i="45"/>
  <c r="V44" i="45"/>
  <c r="V37" i="45"/>
  <c r="V28" i="45"/>
  <c r="V10" i="45"/>
  <c r="V41" i="37"/>
  <c r="V40" i="37"/>
  <c r="T12" i="43"/>
  <c r="T25" i="43"/>
  <c r="T13" i="43"/>
  <c r="V21" i="40"/>
  <c r="V12" i="40"/>
  <c r="V15" i="40"/>
  <c r="V23" i="40"/>
  <c r="V18" i="40"/>
  <c r="V14" i="40"/>
  <c r="V10" i="40"/>
  <c r="V17" i="40"/>
  <c r="V13" i="40"/>
  <c r="T49" i="34"/>
  <c r="T34" i="34"/>
  <c r="T17" i="34"/>
  <c r="T67" i="34"/>
  <c r="T40" i="34"/>
  <c r="T37" i="34"/>
  <c r="T12" i="34"/>
  <c r="T9" i="34"/>
  <c r="T65" i="34"/>
  <c r="T36" i="34"/>
  <c r="T20" i="34"/>
  <c r="T50" i="34"/>
  <c r="T42" i="34"/>
  <c r="T38" i="34"/>
  <c r="T35" i="34"/>
  <c r="T31" i="34"/>
  <c r="T27" i="34"/>
  <c r="T23" i="34"/>
  <c r="T19" i="34"/>
  <c r="T14" i="34"/>
  <c r="O23" i="48"/>
  <c r="W32" i="30"/>
  <c r="W12" i="30"/>
  <c r="K33" i="48"/>
  <c r="Q33" i="48"/>
  <c r="I33" i="48"/>
  <c r="I32" i="48"/>
  <c r="G32" i="48"/>
  <c r="D34" i="48"/>
  <c r="Z43" i="47"/>
  <c r="AD45" i="59"/>
  <c r="AD60" i="59"/>
  <c r="X29" i="33"/>
  <c r="W36" i="30"/>
  <c r="X57" i="33"/>
  <c r="X13" i="33"/>
  <c r="T11" i="43"/>
  <c r="X55" i="33"/>
  <c r="X8" i="33"/>
  <c r="E34" i="48"/>
  <c r="G34" i="48" s="1"/>
  <c r="O18" i="48"/>
  <c r="S17" i="48"/>
  <c r="I17" i="48"/>
  <c r="I18" i="48"/>
  <c r="G17" i="48"/>
  <c r="T13" i="34"/>
  <c r="X43" i="33"/>
  <c r="X31" i="33"/>
  <c r="X27" i="33"/>
  <c r="X23" i="33"/>
  <c r="X15" i="33"/>
  <c r="V53" i="45"/>
  <c r="V46" i="45"/>
  <c r="V42" i="45"/>
  <c r="V26" i="45"/>
  <c r="V22" i="45"/>
  <c r="V17" i="45"/>
  <c r="AD54" i="59"/>
  <c r="X39" i="31"/>
  <c r="X35" i="31"/>
  <c r="X57" i="31"/>
  <c r="X53" i="31"/>
  <c r="X31" i="31"/>
  <c r="X19" i="31"/>
  <c r="X34" i="31"/>
  <c r="X41" i="33"/>
  <c r="X21" i="33"/>
  <c r="X36" i="33"/>
  <c r="X16" i="33"/>
  <c r="X9" i="33"/>
  <c r="V77" i="37"/>
  <c r="V24" i="45"/>
  <c r="V13" i="45"/>
  <c r="T43" i="34"/>
  <c r="T39" i="34"/>
  <c r="T24" i="34"/>
  <c r="W35" i="30"/>
  <c r="W9" i="30"/>
  <c r="X27" i="31"/>
  <c r="X37" i="33"/>
  <c r="X25" i="33"/>
  <c r="X19" i="33"/>
  <c r="V32" i="45"/>
  <c r="V20" i="45"/>
  <c r="V15" i="45"/>
  <c r="X59" i="33"/>
  <c r="X28" i="33"/>
  <c r="X20" i="33"/>
  <c r="X23" i="31"/>
  <c r="X15" i="31"/>
  <c r="X11" i="31"/>
  <c r="T45" i="34"/>
  <c r="T41" i="34"/>
  <c r="AA84" i="54"/>
  <c r="AD8" i="59"/>
  <c r="AD47" i="59"/>
  <c r="L8" i="58"/>
  <c r="X45" i="33"/>
  <c r="L22" i="48"/>
  <c r="L12" i="48"/>
  <c r="M9" i="48"/>
  <c r="P34" i="48"/>
  <c r="X12" i="33"/>
  <c r="X24" i="33"/>
  <c r="X32" i="33"/>
  <c r="X53" i="33"/>
  <c r="X51" i="33"/>
  <c r="X47" i="33"/>
  <c r="X38" i="33"/>
  <c r="X30" i="33"/>
  <c r="X26" i="33"/>
  <c r="X22" i="33"/>
  <c r="T44" i="34"/>
  <c r="T33" i="34"/>
  <c r="T29" i="34"/>
  <c r="T25" i="34"/>
  <c r="T21" i="34"/>
  <c r="T16" i="34"/>
  <c r="V24" i="40"/>
  <c r="T33" i="48"/>
  <c r="I31" i="48"/>
  <c r="L31" i="48" s="1"/>
  <c r="L30" i="48"/>
  <c r="L26" i="48"/>
  <c r="G23" i="48"/>
  <c r="M13" i="48"/>
  <c r="M12" i="48"/>
  <c r="M27" i="48"/>
  <c r="X40" i="33"/>
  <c r="T10" i="34"/>
  <c r="F18" i="48"/>
  <c r="G18" i="48" s="1"/>
  <c r="J18" i="48"/>
  <c r="K18" i="48" s="1"/>
  <c r="L8" i="48"/>
  <c r="V52" i="45"/>
  <c r="V29" i="45"/>
  <c r="Z32" i="47"/>
  <c r="S33" i="48"/>
  <c r="R34" i="48"/>
  <c r="S18" i="48"/>
  <c r="K8" i="58"/>
  <c r="X34" i="33"/>
  <c r="X14" i="33"/>
  <c r="X10" i="33"/>
  <c r="N33" i="48"/>
  <c r="M15" i="48"/>
  <c r="L15" i="48"/>
  <c r="Q14" i="48"/>
  <c r="I10" i="48"/>
  <c r="Q10" i="48"/>
  <c r="W11" i="30"/>
  <c r="L24" i="48"/>
  <c r="L13" i="48"/>
  <c r="G14" i="48"/>
  <c r="T23" i="43"/>
  <c r="M28" i="48"/>
  <c r="L28" i="48"/>
  <c r="M16" i="48"/>
  <c r="K14" i="48"/>
  <c r="L11" i="48"/>
  <c r="M8" i="48"/>
  <c r="M30" i="48"/>
  <c r="L32" i="48" l="1"/>
  <c r="M17" i="48"/>
  <c r="M18" i="48"/>
  <c r="L33" i="48"/>
  <c r="Q34" i="48"/>
  <c r="M32" i="48"/>
  <c r="I34" i="48"/>
  <c r="M34" i="48" s="1"/>
  <c r="S34" i="48"/>
  <c r="M33" i="48"/>
  <c r="L17" i="48"/>
  <c r="L18" i="48"/>
  <c r="J34" i="48"/>
  <c r="K34" i="48" s="1"/>
  <c r="L23" i="48"/>
  <c r="M23" i="48"/>
  <c r="M31" i="48"/>
  <c r="M14" i="48"/>
  <c r="L14" i="48"/>
  <c r="M10" i="48"/>
  <c r="L10" i="48"/>
  <c r="O33" i="48"/>
  <c r="N34" i="48"/>
  <c r="O34" i="48" s="1"/>
  <c r="L34" i="48" l="1"/>
</calcChain>
</file>

<file path=xl/comments1.xml><?xml version="1.0" encoding="utf-8"?>
<comments xmlns="http://schemas.openxmlformats.org/spreadsheetml/2006/main">
  <authors>
    <author>TRAN THINH</author>
  </authors>
  <commentList>
    <comment ref="A5" authorId="0">
      <text>
        <r>
          <rPr>
            <b/>
            <sz val="9"/>
            <color indexed="81"/>
            <rFont val="Tahoma"/>
            <family val="2"/>
          </rPr>
          <t>TRAN THINH: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TRAN THINH</author>
  </authors>
  <commentList>
    <comment ref="A5" authorId="0">
      <text>
        <r>
          <rPr>
            <b/>
            <sz val="9"/>
            <color indexed="81"/>
            <rFont val="Tahoma"/>
            <family val="2"/>
          </rPr>
          <t>TRAN THINH: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<sst xmlns="http://schemas.openxmlformats.org/spreadsheetml/2006/main" count="8597" uniqueCount="4603">
  <si>
    <t>§Þa h×nh Qu©n sù</t>
  </si>
  <si>
    <t>Khãa 28 - §µo t¹o Nh©n viªn B¸o vô n¨m 2019</t>
  </si>
  <si>
    <t>Kü thuËt chuyªn nghµnh</t>
  </si>
  <si>
    <t>`</t>
  </si>
  <si>
    <t>Thao t¸c chiÕn ®Êu</t>
  </si>
  <si>
    <t>Kü thuËt ®¸nh b¾t ®Þch (vâ)</t>
  </si>
  <si>
    <t>KÕt qu¶ kiÓm tra th­êng xuyªn =14</t>
  </si>
  <si>
    <t xml:space="preserve">Lý luËn X¹ kÝch </t>
  </si>
  <si>
    <t>20.01.2001</t>
  </si>
  <si>
    <t>A Thuye</t>
  </si>
  <si>
    <t>NguyÔn V¨n Qu©n</t>
  </si>
  <si>
    <t>13.5.2001</t>
  </si>
  <si>
    <t>An D­¬ng-H¶i Phßng</t>
  </si>
  <si>
    <t>15.4.2001</t>
  </si>
  <si>
    <t>KiÕn thøc c¬ së CN cO 60 mm</t>
  </si>
  <si>
    <t>Tiªn L÷-H­ng Yªn</t>
  </si>
  <si>
    <t>Kü thuËt T. s¸t bÝ mËt v. ®éng</t>
  </si>
  <si>
    <t>Th¸i Thuþ-Th¸i B×nh</t>
  </si>
  <si>
    <t>H­ng Hµ-Th¸i B×nh</t>
  </si>
  <si>
    <t>0750</t>
  </si>
  <si>
    <t>0834</t>
  </si>
  <si>
    <t>0910</t>
  </si>
  <si>
    <t>1103</t>
  </si>
  <si>
    <t>1147</t>
  </si>
  <si>
    <t>1153</t>
  </si>
  <si>
    <t>1249</t>
  </si>
  <si>
    <t>Liªn l¹c cù ly gÇn</t>
  </si>
  <si>
    <t>Liªn l¹c cù ly trung b×nh</t>
  </si>
  <si>
    <t>(KÌm theo Q§ sè:            /Q§-HT ngµy      th¸ng    n¨m 2015)</t>
  </si>
  <si>
    <t>kÕt qu¶ KiÓm tra th­êng xuyªn</t>
  </si>
  <si>
    <t>kÕt qu¶ kiÓm tra th­êng xuyªn</t>
  </si>
  <si>
    <t>KT C«ng sù</t>
  </si>
  <si>
    <t>(KÌm theo Q§ sè:            /Q§-TQS  ngµy      th¸ng 5 n¨m 2015)</t>
  </si>
  <si>
    <t>Nh©n viªn B¸o vô</t>
  </si>
  <si>
    <t>(KÌm theo Q§ sè:            /Q§-HT ngµy      th¸ng 5 n¨m 2015)</t>
  </si>
  <si>
    <t>at  NÊu ¨n</t>
  </si>
  <si>
    <t xml:space="preserve">atBB  </t>
  </si>
  <si>
    <t xml:space="preserve">at §¹i liªn </t>
  </si>
  <si>
    <t xml:space="preserve">B¾n §¹i liªn-1 ngµy </t>
  </si>
  <si>
    <t>X¹ kÝch</t>
  </si>
  <si>
    <t>Kü thuËt vËt c¶n</t>
  </si>
  <si>
    <t>CÇu qu©n sù</t>
  </si>
  <si>
    <t>Ph¸ næ</t>
  </si>
  <si>
    <t>Binh khÝ</t>
  </si>
  <si>
    <t xml:space="preserve">                KÕt qu¶ tæng hîp xÐt ®iÒu kiÖn dù thi tèt nghiÖp</t>
  </si>
  <si>
    <t>§¬n vÞ</t>
  </si>
  <si>
    <t>Chuyªn ngµnh</t>
  </si>
  <si>
    <t>Khãa</t>
  </si>
  <si>
    <t>Qu©n sè</t>
  </si>
  <si>
    <t xml:space="preserve">KÕt qu¶ ph©n lo¹i häc lùc </t>
  </si>
  <si>
    <t>KÕt qu¶ rÌn luyÖn</t>
  </si>
  <si>
    <t xml:space="preserve">Qu©n sè </t>
  </si>
  <si>
    <t>§Çu</t>
  </si>
  <si>
    <t>HiÖn</t>
  </si>
  <si>
    <t>Giái</t>
  </si>
  <si>
    <t>Trung b×nh</t>
  </si>
  <si>
    <t>Tû lÖ</t>
  </si>
  <si>
    <t>YÕu</t>
  </si>
  <si>
    <t xml:space="preserve">§ñ ®iÒu kiÖn </t>
  </si>
  <si>
    <t>vµo</t>
  </si>
  <si>
    <t>t¹i</t>
  </si>
  <si>
    <t>Ng</t>
  </si>
  <si>
    <t>%</t>
  </si>
  <si>
    <t>HTNV</t>
  </si>
  <si>
    <t>K+G</t>
  </si>
  <si>
    <t xml:space="preserve"> dù thi</t>
  </si>
  <si>
    <t>c9</t>
  </si>
  <si>
    <t>c10</t>
  </si>
  <si>
    <t xml:space="preserve"> +</t>
  </si>
  <si>
    <t>c11</t>
  </si>
  <si>
    <t>at T.S¸t BB</t>
  </si>
  <si>
    <t>at Sóng Co60mm</t>
  </si>
  <si>
    <t>c12</t>
  </si>
  <si>
    <t>at VT§ tho¹i</t>
  </si>
  <si>
    <t>at HT§</t>
  </si>
  <si>
    <t>d3</t>
  </si>
  <si>
    <t>c13</t>
  </si>
  <si>
    <t xml:space="preserve"> at TS,KT P.Binh</t>
  </si>
  <si>
    <t>K®t Ph¸o xe kÐo</t>
  </si>
  <si>
    <t>K®t Sóng Co100mm</t>
  </si>
  <si>
    <t>K®t PPK 37mm</t>
  </si>
  <si>
    <t>K®t PPK 57mm</t>
  </si>
  <si>
    <t>K®t SMPK 12,7mm</t>
  </si>
  <si>
    <t>c15</t>
  </si>
  <si>
    <t>K®t Ph¸o §KZ 82mm</t>
  </si>
  <si>
    <t>K®t Ph¸o §KZ SPG9</t>
  </si>
  <si>
    <t>K®t Sóng Co82mm</t>
  </si>
  <si>
    <t>c16</t>
  </si>
  <si>
    <t>d4</t>
  </si>
  <si>
    <t>Céng toµn tr­êng</t>
  </si>
  <si>
    <t>Quª qu¸n</t>
  </si>
  <si>
    <t>TT</t>
  </si>
  <si>
    <t>Hä vµ tªn</t>
  </si>
  <si>
    <t>Ngµy th¸ng n¨m sinh</t>
  </si>
  <si>
    <t xml:space="preserve"> </t>
  </si>
  <si>
    <t>Kh¸</t>
  </si>
  <si>
    <t>§iÒu lÖnh</t>
  </si>
  <si>
    <t>Kü-chiÕn thuËt BB</t>
  </si>
  <si>
    <t>TB thi</t>
  </si>
  <si>
    <t>§iÓm TB toµn kho¸</t>
  </si>
  <si>
    <t>Ph©n lo¹i rÌn luyÖn</t>
  </si>
  <si>
    <t>Tèt</t>
  </si>
  <si>
    <t>Trung b×nh céng</t>
  </si>
  <si>
    <t>Ph©n lo¹i TN</t>
  </si>
  <si>
    <t>KÕt qu¶ thi</t>
  </si>
  <si>
    <t>kÕt qu¶ ph©n lo¹i tèt nghiÖp</t>
  </si>
  <si>
    <t>Sè vµo sæ</t>
  </si>
  <si>
    <t>B¾n AK-2 ngµy</t>
  </si>
  <si>
    <t>GDCT</t>
  </si>
  <si>
    <t>at CBCT</t>
  </si>
  <si>
    <t>B¾n Ak-2 ngµy</t>
  </si>
  <si>
    <t xml:space="preserve">Thao t¸c </t>
  </si>
  <si>
    <t>§­êng qu©n sù</t>
  </si>
  <si>
    <t>ChiÕn thuËt CN</t>
  </si>
  <si>
    <t xml:space="preserve">   </t>
  </si>
  <si>
    <t xml:space="preserve">     </t>
  </si>
  <si>
    <t>B¾n AK-2d ngµy ,TS¸t</t>
  </si>
  <si>
    <t>Thu b¸o ®Ò môc 2</t>
  </si>
  <si>
    <t>Ph¸t b¸o ®Ò môc 2</t>
  </si>
  <si>
    <t>Thu b¸o §Ò môc 3</t>
  </si>
  <si>
    <t>Ph¸t b¸o §Ò môc 3</t>
  </si>
  <si>
    <t>Thu b¸o §Ò môc 4</t>
  </si>
  <si>
    <t>NghiÖp vô qu©n nhu 1</t>
  </si>
  <si>
    <t>Ph¸t b¸o §Ò môc 4</t>
  </si>
  <si>
    <t>Ph¸t b¸o ®Ò môc 5</t>
  </si>
  <si>
    <t>Thu b¸o ®Ò môc 5</t>
  </si>
  <si>
    <t>B¾n co 60-1</t>
  </si>
  <si>
    <t xml:space="preserve">§iÒu lÖnh </t>
  </si>
  <si>
    <t>KÕt qu¶ kiÓm tra th­êng xuyªn =12</t>
  </si>
  <si>
    <t>B¾n  B41-1</t>
  </si>
  <si>
    <t>5Aa</t>
  </si>
  <si>
    <t>Th«ng b¸o Gi¶ng ®­êng</t>
  </si>
  <si>
    <t>KÕt qu¶ kiÓm tra th­êng xuyªn =11</t>
  </si>
  <si>
    <t>B¾n AK-2 ban ngµy</t>
  </si>
  <si>
    <t>c12/d3</t>
  </si>
  <si>
    <t>NguyÔn V¨n Minh</t>
  </si>
  <si>
    <t>NguyÔn V¨n Quang</t>
  </si>
  <si>
    <t>29.4.2001</t>
  </si>
  <si>
    <t>14.6.2002</t>
  </si>
  <si>
    <t>09.8.2002</t>
  </si>
  <si>
    <t>Vò Quang Huy</t>
  </si>
  <si>
    <t>Vò Th­-Th¸i B×nh</t>
  </si>
  <si>
    <t>TrÇn Quèc Huy</t>
  </si>
  <si>
    <t>NguyÔn §øc Nam</t>
  </si>
  <si>
    <t>A Hïng TB</t>
  </si>
  <si>
    <t>Vò Thµnh §¹t</t>
  </si>
  <si>
    <t>NguyÔn V¨n Thµnh</t>
  </si>
  <si>
    <t>NguyÔn V¨n §øc</t>
  </si>
  <si>
    <t>§ç V¨n HiÖp</t>
  </si>
  <si>
    <t>Ph¹m V¨n Tr­êng</t>
  </si>
  <si>
    <t>16.7.2000</t>
  </si>
  <si>
    <t>NguyÔn Thanh Tïng</t>
  </si>
  <si>
    <t>?</t>
  </si>
  <si>
    <t>04.11.2001</t>
  </si>
  <si>
    <t>NguyÔn Trung Kiªn</t>
  </si>
  <si>
    <t>19.11.2001</t>
  </si>
  <si>
    <t>Lý Nh©n-Hµ Nam</t>
  </si>
  <si>
    <t>NguyÔn V¨n §¹t</t>
  </si>
  <si>
    <t>NguyÔn V¨n HiÕu</t>
  </si>
  <si>
    <t>NguyÔn TiÕn Dòng</t>
  </si>
  <si>
    <t>21.4.2001</t>
  </si>
  <si>
    <t>NguyÔn Quang Huy</t>
  </si>
  <si>
    <t>Thùc tËp c¸c bÕp</t>
  </si>
  <si>
    <t xml:space="preserve">          v               </t>
  </si>
  <si>
    <t>15.3.2003</t>
  </si>
  <si>
    <t>06.12.2002</t>
  </si>
  <si>
    <t>18.01.2000</t>
  </si>
  <si>
    <t>04.8.2002</t>
  </si>
  <si>
    <t>30.10.2002</t>
  </si>
  <si>
    <t>KiÕn Thuþ-H¶i Phßng</t>
  </si>
  <si>
    <t>VÜnh B¶o-H¶i Phßng</t>
  </si>
  <si>
    <t>Tp ChÝ Linh-H¶i D­¬ng</t>
  </si>
  <si>
    <t>Ba ChÏ-Qu¶ng Ninh</t>
  </si>
  <si>
    <t>Tp Th¸i B×nh-Th¸i B×nh</t>
  </si>
  <si>
    <t>§«ng H­ng-Th¸i B×nh</t>
  </si>
  <si>
    <t>Yªn Mü-H­ng Yªn</t>
  </si>
  <si>
    <t>D­¬ng Kinh-H¶i Phßng</t>
  </si>
  <si>
    <t>H¶i Hµ-Qu¶ng Ninh</t>
  </si>
  <si>
    <t>Tx Qu¶ng Yªn-Qu¶ng Ninh</t>
  </si>
  <si>
    <t>KiÕn An-H¶i Phßng</t>
  </si>
  <si>
    <t>Ng« QuyÒn-H¶i Phßng</t>
  </si>
  <si>
    <t>Gia ViÔn-Ninh B×nh</t>
  </si>
  <si>
    <t>Quúnh Phô-Th¸i B×nh</t>
  </si>
  <si>
    <t>Tp CÈm Ph¶-Qu¶ng Ninh</t>
  </si>
  <si>
    <t>L¹c S¬n-Hoµ B×nh</t>
  </si>
  <si>
    <t>C¸t H¶i-H¶i Phßng</t>
  </si>
  <si>
    <t>Thuû Nguyªn-H¶i Phßng</t>
  </si>
  <si>
    <t>Kim B«i-Hoµ B×nh</t>
  </si>
  <si>
    <t>Thanh Liªm-Hµ Nam</t>
  </si>
  <si>
    <t>C« T«-Qu¶ng Ninh</t>
  </si>
  <si>
    <t>Tiªn L·ng-H¶i Phßng</t>
  </si>
  <si>
    <t>T©n L¹c-Hoµ B×nh</t>
  </si>
  <si>
    <t>Nam Trùc-Nam §Þnh</t>
  </si>
  <si>
    <t>KiÕn X­¬ng-Th¸i B×nh</t>
  </si>
  <si>
    <t>Tiªn Yªn-Qu¶ng Ninh</t>
  </si>
  <si>
    <t>§å S¬n-H¶i Phßng</t>
  </si>
  <si>
    <t>B×nh Liªu-Qu¶ng Ninh</t>
  </si>
  <si>
    <t>18.7.2002</t>
  </si>
  <si>
    <t>NghÜa H­ng-Nam §Þnh</t>
  </si>
  <si>
    <t>Lª Ch©n-H¶i Phßng</t>
  </si>
  <si>
    <t>L­¬ng S¬n-Hoµ B×nh</t>
  </si>
  <si>
    <t>H¶i An-H¶i Phßng</t>
  </si>
  <si>
    <t>Duy Tiªn-Hµ Nam</t>
  </si>
  <si>
    <t>Hång Bµng-H¶i Phßng</t>
  </si>
  <si>
    <t>02.7.2002</t>
  </si>
  <si>
    <t>10.10.2002</t>
  </si>
  <si>
    <t>Nho Quan-Ninh B×nh</t>
  </si>
  <si>
    <t>§Çm Hµ-Qu¶ng Ninh</t>
  </si>
  <si>
    <t>§µ B¾c-Hoµ B×nh</t>
  </si>
  <si>
    <t>27.12.2002</t>
  </si>
  <si>
    <t>25.12.2002</t>
  </si>
  <si>
    <t>02.02.2002</t>
  </si>
  <si>
    <t>17.4.2002</t>
  </si>
  <si>
    <t>13.7.2002</t>
  </si>
  <si>
    <t>Giao Thuû-Nam §Þnh</t>
  </si>
  <si>
    <t>H¶i HËu-Nam §Þnh</t>
  </si>
  <si>
    <t>An L·o-H¶i Phßng</t>
  </si>
  <si>
    <t>Tp Mãng C¸i-Qu¶ng Ninh</t>
  </si>
  <si>
    <t>TiÒn H¶i-Th¸i B×nh</t>
  </si>
  <si>
    <t>Tp U«ng BÝ-Qu¶ng Ninh</t>
  </si>
  <si>
    <t>01.5.2002</t>
  </si>
  <si>
    <t>Vô B¶n-Nam §Þnh</t>
  </si>
  <si>
    <t>04.11.2002</t>
  </si>
  <si>
    <t>26.6.2002</t>
  </si>
  <si>
    <t>26.5.2002</t>
  </si>
  <si>
    <t>11.12.2002</t>
  </si>
  <si>
    <t>Yªn Kh¸nh-Ninh B×nh</t>
  </si>
  <si>
    <t>Ph¹m Minh §øc</t>
  </si>
  <si>
    <t>NguyÔn §øc ThÞnh</t>
  </si>
  <si>
    <t>14.02.2002</t>
  </si>
  <si>
    <t>23.8.2002</t>
  </si>
  <si>
    <t>06.8.2002</t>
  </si>
  <si>
    <t>09.10.2002</t>
  </si>
  <si>
    <t>30.8.2002</t>
  </si>
  <si>
    <t>Phñ Lý-Hµ Nam</t>
  </si>
  <si>
    <t>V¨n Giang-H­ng Yªn</t>
  </si>
  <si>
    <t>Bïi V¨n Tr­êng</t>
  </si>
  <si>
    <t>24.6.2002</t>
  </si>
  <si>
    <t>20.10.2002</t>
  </si>
  <si>
    <t>12.12.2002</t>
  </si>
  <si>
    <t>Cao Phong-Hoµ B×nh</t>
  </si>
  <si>
    <t>Xu©n Tr­êng-Nam §Þnh</t>
  </si>
  <si>
    <t>NguyÔn §øc HiÕu</t>
  </si>
  <si>
    <t>19.9.1999</t>
  </si>
  <si>
    <t>15.02.1999</t>
  </si>
  <si>
    <t>§ç Thµnh §¹t</t>
  </si>
  <si>
    <t>08.9.2000</t>
  </si>
  <si>
    <t>24.01.2003</t>
  </si>
  <si>
    <t>10.10.2000</t>
  </si>
  <si>
    <t>Vò V¨n M¹nh</t>
  </si>
  <si>
    <t>TrÇn V¨n Trung</t>
  </si>
  <si>
    <t>25.10.2003</t>
  </si>
  <si>
    <t>30.8.2003</t>
  </si>
  <si>
    <t>Ph¹m §×nh Thµnh</t>
  </si>
  <si>
    <t>05.5.2003</t>
  </si>
  <si>
    <t>30.9.2003</t>
  </si>
  <si>
    <t>30.10.2003</t>
  </si>
  <si>
    <r>
      <rPr>
        <sz val="11"/>
        <rFont val=".VnArial NarrowH"/>
        <family val="2"/>
      </rPr>
      <t xml:space="preserve">ý </t>
    </r>
    <r>
      <rPr>
        <sz val="11"/>
        <rFont val=".VnArial Narrow"/>
        <family val="2"/>
      </rPr>
      <t>Yªn-Nam §Þnh</t>
    </r>
  </si>
  <si>
    <r>
      <rPr>
        <sz val="11"/>
        <rFont val=".VnArial NarrowH"/>
        <family val="2"/>
      </rPr>
      <t>ý</t>
    </r>
    <r>
      <rPr>
        <sz val="11"/>
        <rFont val=".VnArial Narrow"/>
        <family val="2"/>
      </rPr>
      <t xml:space="preserve"> Yªn-Nam §Þnh</t>
    </r>
  </si>
  <si>
    <t>Bïi V¨n QuyÕt</t>
  </si>
  <si>
    <t>NguyÔn V¨n TiÕn</t>
  </si>
  <si>
    <t>04.12.2002</t>
  </si>
  <si>
    <t>21.5.2002</t>
  </si>
  <si>
    <t>21.10.1999</t>
  </si>
  <si>
    <t>03.7.2002</t>
  </si>
  <si>
    <t>31.01.2003</t>
  </si>
  <si>
    <t>11.9.2002</t>
  </si>
  <si>
    <t>20.7.2003</t>
  </si>
  <si>
    <t>Yªn M«-Ninh B×nh</t>
  </si>
  <si>
    <t>Tp Hoµ B×nh-Hoµ B×nh</t>
  </si>
  <si>
    <t>Ph¹m V¨n Phong</t>
  </si>
  <si>
    <t>Vò Minh Quang</t>
  </si>
  <si>
    <t>05.6.2003</t>
  </si>
  <si>
    <t>06.9.2003</t>
  </si>
  <si>
    <t>06.6.2003</t>
  </si>
  <si>
    <t>27.6.2002</t>
  </si>
  <si>
    <t>NguyÔn Trung HiÕu</t>
  </si>
  <si>
    <t>28.4.2003</t>
  </si>
  <si>
    <t>14.11.2002</t>
  </si>
  <si>
    <t>27.9.2002</t>
  </si>
  <si>
    <t>20.3.2002</t>
  </si>
  <si>
    <t>09.6.2002</t>
  </si>
  <si>
    <t>V©n §ån-Qu¶ng Ninh</t>
  </si>
  <si>
    <t>Bïi V¨n Hoµn</t>
  </si>
  <si>
    <t>29.01.2003</t>
  </si>
  <si>
    <t>23.8.2001</t>
  </si>
  <si>
    <t>§Æng Hoµng Anh</t>
  </si>
  <si>
    <t>10.01.2003</t>
  </si>
  <si>
    <t>29.10.2002</t>
  </si>
  <si>
    <t>B¾n AK-3 ®ªm</t>
  </si>
  <si>
    <t xml:space="preserve">ChiÕn thuËt aBB </t>
  </si>
  <si>
    <t xml:space="preserve">ChiÕn thuËt bBB </t>
  </si>
  <si>
    <t>B¾n Bµi 1 aBB b¾n (M) treo t¹i chç</t>
  </si>
  <si>
    <t>B¾n AK-3d ®ªm,TS¸t</t>
  </si>
  <si>
    <t>ChiÕn thuËt tæ Trinh s¸t</t>
  </si>
  <si>
    <t>KiÕn thøc c¬ së §¹i liªn</t>
  </si>
  <si>
    <t xml:space="preserve">B¾n §¹i liªn-3 ngµy </t>
  </si>
  <si>
    <t xml:space="preserve">B¾n §¹i liªn-3 ®ªm </t>
  </si>
  <si>
    <t>B¾n M treo t¹i chç B1 K§ §¹i liªn</t>
  </si>
  <si>
    <t>PP duy tr× luyÖn tËp b¾n §L</t>
  </si>
  <si>
    <t>PP duy tr× luyÖn tËp b¾n cO60</t>
  </si>
  <si>
    <t>B2: B¾n Too chuÈn bÞ gÊp b. ®ªm</t>
  </si>
  <si>
    <t>B3: B¾n gi¸n tiÕp b. ngµy</t>
  </si>
  <si>
    <t>Bµi: B¾n øng dông ®¹n h. luyÖn</t>
  </si>
  <si>
    <t>KiÕn thøc  c¬ së TTVT§</t>
  </si>
  <si>
    <t>KiÕn thøc  Chuyªn ngµnh TTVT§</t>
  </si>
  <si>
    <t>§iÖn ®µi VT§ S. Cùc ng¾n VRU 812</t>
  </si>
  <si>
    <t xml:space="preserve">§iÖn ®µi VT§ S. Cùc ng¾ VRU-811/A  </t>
  </si>
  <si>
    <t xml:space="preserve">§iÖn ®µi VT§ S. Cùc ng¾ VRU-811/S  </t>
  </si>
  <si>
    <t>KiÕn thøc  c¬ së TT HT§</t>
  </si>
  <si>
    <t>KiÕn thøc  C. ngµnh thiÕt bÞ TT HT§</t>
  </si>
  <si>
    <t>NghiÖp vô  TT HT§</t>
  </si>
  <si>
    <t>ChiÕn thuËt CN TT HT§</t>
  </si>
  <si>
    <t>KiÕn thøc c¬ së</t>
  </si>
  <si>
    <t>§o ®¹c chuyªn ngµnh</t>
  </si>
  <si>
    <t>KiÓm tra b¾n thö, söa b¾n ph¸o</t>
  </si>
  <si>
    <t>ChiÕn thuËt CN TiÓu ®éi</t>
  </si>
  <si>
    <t>ChiÕn thuËt CN Trung ®éi ®éi</t>
  </si>
  <si>
    <t>§¹n ph¸o</t>
  </si>
  <si>
    <t>CT C. bÞ ph¸o hµnh qu©n, C§</t>
  </si>
  <si>
    <t>Thi kü thuËt CN</t>
  </si>
  <si>
    <t>ChiÕn thuËt CN khÈu ®éi</t>
  </si>
  <si>
    <t>ChiÕn thuËt CN trung ®éi</t>
  </si>
  <si>
    <t>B¾n ph¸o b 1: M cè ®inh b. ngµy</t>
  </si>
  <si>
    <t>KÕt qu¶ kiÓm tra th­êng xuyªn =10</t>
  </si>
  <si>
    <t>B¾n bµi 3a SMPK 12,7</t>
  </si>
  <si>
    <t>Thi ND b¾n ph¸o</t>
  </si>
  <si>
    <t>Xe m¸y c«ng tr×nh</t>
  </si>
  <si>
    <t>Nguþ trang, cung cÊp n­íc</t>
  </si>
  <si>
    <t>KhÝ tµi chØ huy b¾n (KTCS)</t>
  </si>
  <si>
    <t>VËt c¶n HLTL + B¬i</t>
  </si>
  <si>
    <t>Thu b¸o ®Ò môc 1</t>
  </si>
  <si>
    <t>Ph¸t b¸o ®Ò môc 1</t>
  </si>
  <si>
    <t>§C Hïng TB</t>
  </si>
  <si>
    <t>C¸c líp ®µo t¹o tiÓu (khÈu) ®éi tr­ëng bé binh n¨m 2021</t>
  </si>
  <si>
    <t>Thao t¸c §éng t¸c ph¸o thñ</t>
  </si>
  <si>
    <t>KÕt qu¶ häc tËp toµn kho¸ =20</t>
  </si>
  <si>
    <t xml:space="preserve">ChuÈn bÞ phÇn tö B¾n </t>
  </si>
  <si>
    <t>Thao t¸c b¾n,N b¾n trùc tiÕp M</t>
  </si>
  <si>
    <t>KÕt qu¶ häc tËp toµn kho¸ =16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</si>
  <si>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</si>
  <si>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</si>
  <si>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</si>
  <si>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</si>
  <si>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</si>
  <si>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</si>
  <si>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</si>
  <si>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</si>
  <si>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</si>
  <si>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</si>
  <si>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</si>
  <si>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</si>
  <si>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</si>
  <si>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</si>
  <si>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</si>
  <si>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</si>
  <si>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</si>
  <si>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</si>
  <si>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</si>
  <si>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</si>
  <si>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</si>
  <si>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</si>
  <si>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</si>
  <si>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</si>
  <si>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</si>
  <si>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</si>
  <si>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</si>
  <si>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</si>
  <si>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</si>
  <si>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</si>
  <si>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</si>
  <si>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</si>
  <si>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</si>
  <si>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</si>
  <si>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</si>
  <si>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</si>
  <si>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</si>
  <si>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</si>
  <si>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</si>
  <si>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</si>
  <si>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</si>
  <si>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</si>
  <si>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</si>
  <si>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</si>
  <si>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</si>
  <si>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</si>
  <si>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</si>
  <si>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</si>
  <si>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</si>
  <si>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</si>
  <si>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</si>
  <si>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</si>
  <si>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</si>
  <si>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</si>
  <si>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</si>
  <si>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</si>
  <si>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</si>
  <si>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</si>
  <si>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</si>
  <si>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</si>
  <si>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</si>
  <si>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</si>
  <si>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</si>
  <si>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</si>
  <si>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</si>
  <si>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</si>
  <si>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</si>
  <si>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</si>
  <si>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</si>
  <si>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</si>
  <si>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</si>
  <si>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</si>
  <si>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</si>
  <si>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</si>
  <si>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</si>
  <si>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</si>
  <si>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</si>
  <si>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</si>
  <si>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</si>
  <si>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</si>
  <si>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</si>
  <si>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</si>
  <si>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</si>
  <si>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</si>
  <si>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</si>
  <si>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</si>
  <si>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</si>
  <si>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1730</t>
  </si>
  <si>
    <t>1733</t>
  </si>
  <si>
    <t>1737</t>
  </si>
  <si>
    <t>1738</t>
  </si>
  <si>
    <t>1739</t>
  </si>
  <si>
    <t>1765</t>
  </si>
  <si>
    <t>1768</t>
  </si>
  <si>
    <t>1777</t>
  </si>
  <si>
    <t>1778</t>
  </si>
  <si>
    <t>1779</t>
  </si>
  <si>
    <t>1780</t>
  </si>
  <si>
    <t>1803</t>
  </si>
  <si>
    <t>V­ît vËt c¶n trong HL thÓ lùc</t>
  </si>
  <si>
    <t>§¬n vÞ: 3/d2 - §µo t¹o nh©n viªn B¸o vu - Kho¸ 31</t>
  </si>
  <si>
    <t xml:space="preserve">                                                            Khai gi¶ng: 10/6/2022    BÕ gi¶ng : 12/12/2022</t>
  </si>
  <si>
    <t>1821</t>
  </si>
  <si>
    <t>C¸c líp ®µo t¹o tiÓu (khÈu) ®éi tr­ëng bé binh, binh chñng, nÊu ¨n  n¨m 2022</t>
  </si>
  <si>
    <t>§¬n vÞ: 3/4/d3  - §µo t¹o TiÓu ®éi tr­ëng bé binh kho¸ 34</t>
  </si>
  <si>
    <t>Khai gi¶ng: 10/6/2022 BÕ gi¶ng : 12/9/2022</t>
  </si>
  <si>
    <t>Kü thuËt TN, CSNT, §G</t>
  </si>
  <si>
    <t>PP duy tr× aBB luyÖn tËp KT, BS</t>
  </si>
  <si>
    <t xml:space="preserve">ChiÕn thuËt tæ BB </t>
  </si>
  <si>
    <t>KHXH&amp;NV phÇn 1</t>
  </si>
  <si>
    <t>KHXH&amp;NV phÇn 2</t>
  </si>
  <si>
    <t>§¬n vÞ: 4/4/d3  - §µo t¹o TiÓu ®éi tr­ëng bé binh kho¸ 34</t>
  </si>
  <si>
    <r>
      <t xml:space="preserve">KÕt qu¶ kiÓm tra th­êng xuyªn = </t>
    </r>
    <r>
      <rPr>
        <b/>
        <sz val="12"/>
        <color indexed="8"/>
        <rFont val=".VnArial Narrow"/>
        <family val="2"/>
      </rPr>
      <t>13</t>
    </r>
  </si>
  <si>
    <t>Khai gi¶ng: 10/6/2021          BÕ gi¶ng : 12/9/2021</t>
  </si>
  <si>
    <t>§¬n vÞ: 5/5/d3  - §µo t¹o TiÓu ®éi tr­ëng bé binh kho¸ 34</t>
  </si>
  <si>
    <t>Khai gi¶ng: 10/6/2022    BÕ gi¶ng : 12/9/2022</t>
  </si>
  <si>
    <t>§¬n vÞ: 6/5/d3  - §µo t¹o TiÓu ®éi tr­ëng bé binh kho¸ 34</t>
  </si>
  <si>
    <t>Khai gi¶ng: 10/6/2022      BÕ gi¶ng : 12/9/2022</t>
  </si>
  <si>
    <t xml:space="preserve">KiÓm tra KHXHNV phÇn 1 </t>
  </si>
  <si>
    <t xml:space="preserve">KiÓm tra KHXHNV phÇn 2 </t>
  </si>
  <si>
    <t xml:space="preserve"> §¬n vÞ: 6/d3 - §µo t¹o TiÓu ®éi tr­ëng trinh s¸t bé ®éi - kho¸ 39</t>
  </si>
  <si>
    <t xml:space="preserve">                                                 Khai gi¶ng: 10/6/2022      BÕ gi¶ng : 12/9/2022</t>
  </si>
  <si>
    <t xml:space="preserve"> §¬n vÞ 6/d3 - §µo t¹o KhÈu ®éi tr­ëng §¹i liªn - kho¸ 41</t>
  </si>
  <si>
    <t xml:space="preserve">                                                 Khai gi¶ng: 10/6/2022     BÕ gi¶ng : 12/9/2022</t>
  </si>
  <si>
    <t>KiÓm tra KHXHNV phÇn 2</t>
  </si>
  <si>
    <t xml:space="preserve"> §¬n vÞ: 6/d3 - §µo t¹o KhÈu ®éi tr­ëng Cèi 60mm - kho¸ 41</t>
  </si>
  <si>
    <t xml:space="preserve">                                                 Khai gi¶ng: 10/6/2022         BÕ gi¶ng : 12/9/2022</t>
  </si>
  <si>
    <t>§¬n vÞ: 12/d3 - §µo t¹o TiÓu ®éi tr­ëng VT§ tho¹i -  Kho¸ 41</t>
  </si>
  <si>
    <t xml:space="preserve">                                                 Khai gi¶ng: 10/6/2022  BÕ gi¶ng : 10/10/2022</t>
  </si>
  <si>
    <t>KiÓm tra  KHXHNV phÇn 2</t>
  </si>
  <si>
    <t>§¬n vÞ: 7/d3 - §µo t¹o TiÓu ®éi tr­ëng HT§ - kho¸ 39</t>
  </si>
  <si>
    <t>§¬n vÞ: 8/d4 - §µo t¹o TiÓu ®éi tr­ëng kÕ to¸n Ph¸o binh - kho¸ 31</t>
  </si>
  <si>
    <t xml:space="preserve">                                                 Khai gi¶ng: 10/6/2022  BÕ gi¶ng : 10/11/2022</t>
  </si>
  <si>
    <t>§¬n vÞ: 8/d4 - §µo t¹o khÈu ®éi tr­ëng ph¸o xe kÐo - Kho¸ 34</t>
  </si>
  <si>
    <t xml:space="preserve"> §¬n vÞ: 8/d4 - §µo t¹o khÈu ®éi tr­ëng sóng Cèi 82 mm - kho¸ 41</t>
  </si>
  <si>
    <t xml:space="preserve">                                                 Khai gi¶ng: 10/6/2022        BÕ gi¶ng : 10/10/2022</t>
  </si>
  <si>
    <t>§¬n vÞ: 8/d4 - §µo t¹o khÈu ®éi tr­ëng Cèi 100 mm - kho¸ 39</t>
  </si>
  <si>
    <t>§¬n vÞ: 9/d4 - §µo t¹o khÈu ®éi tr­ëng PPK 37mm - kho¸ 35</t>
  </si>
  <si>
    <t>§¬n vÞ: 9/d4 - §µo t¹o khÈu ®éi tr­ëng PPK 57mm - kho¸ 33</t>
  </si>
  <si>
    <t xml:space="preserve">                                                 Khai gi¶ng: 10/6/2022    BÕ gi¶ng : 10/11/2022</t>
  </si>
  <si>
    <t>§¬n vÞ: 9/d4 - §µo t¹o khÈu ®éi tr­ëng SMPK 12,7mm -  kho¸ 41</t>
  </si>
  <si>
    <t xml:space="preserve">                                                 Khai gi¶ng: 10/6/2022        BÕ gi¶ng : 10/11/2022</t>
  </si>
  <si>
    <t>§¬n vÞ: 10/d4 - §µo t¹o khÈu ®éi tr­ëng §KZ 82 - K65 mm - kho¸ 41</t>
  </si>
  <si>
    <t xml:space="preserve">                                                 Khai gi¶ng: 10/6/2022       BÕ gi¶ng : 10/10/2022</t>
  </si>
  <si>
    <t xml:space="preserve"> §¬n vÞ: 10/d4 - §µo t¹o khÈu ®éi tr­ëng §KZ SPG-9 -  kho¸ 18</t>
  </si>
  <si>
    <t xml:space="preserve"> §¬n vÞ: 10/d4 - §µo t¹o TiÓu ®éi tr­ëng NÊu ¨n -  kho¸ 22</t>
  </si>
  <si>
    <t xml:space="preserve">                                                 Khai gi¶ng: 10/6/2022       BÕ gi¶ng : 10/11/2022</t>
  </si>
  <si>
    <t>§¬n vÞ: 10/4 - §µo t¹o TiÓu ®éi tr­ëng c«ng binh c«ng tr×nh - kho¸ 35</t>
  </si>
  <si>
    <t>ND c¬ b¶n vÒ CT hËu cÇn</t>
  </si>
  <si>
    <t>BÕp Hoµng cÇm</t>
  </si>
  <si>
    <t>LTTP; Sinh lý dinh d­ìng</t>
  </si>
  <si>
    <t>NghiÖp vô qu©n nhu 2 (sæ s¸ch)</t>
  </si>
  <si>
    <t>Trang bÞ nhµ ¨n, nhµ bÕp</t>
  </si>
  <si>
    <t>Kü thuËt  nÊu ¨n (lý thuyÕt)</t>
  </si>
  <si>
    <t>Thùc hµnh chÕ biÕn giÕt mæ(lý thuyÕt)</t>
  </si>
  <si>
    <t>NguyÔn Hoµng Anh</t>
  </si>
  <si>
    <t>10.7.1998</t>
  </si>
  <si>
    <t>Vò L©m Anh</t>
  </si>
  <si>
    <t>13.12.2003</t>
  </si>
  <si>
    <t>Khóc Ngäc Anh</t>
  </si>
  <si>
    <t>29.12.2003</t>
  </si>
  <si>
    <t>TrÞnh Vò TuÊn Anh</t>
  </si>
  <si>
    <t>§ç ThÕ Anh</t>
  </si>
  <si>
    <t>27.9.2003</t>
  </si>
  <si>
    <t>Vò §×nh B¸ch</t>
  </si>
  <si>
    <t>25.02.2003</t>
  </si>
  <si>
    <t>Bïi V¨n B»ng</t>
  </si>
  <si>
    <t>01.8.2002</t>
  </si>
  <si>
    <t>Qu¸ch V¨n B»ng</t>
  </si>
  <si>
    <t>02.3.2002</t>
  </si>
  <si>
    <t>Hoµng §øc B¶o</t>
  </si>
  <si>
    <t>Bïi V¨n BiÓn</t>
  </si>
  <si>
    <t>17.5.1999</t>
  </si>
  <si>
    <t>§oµn V¨n Bun</t>
  </si>
  <si>
    <t>09.3.2003</t>
  </si>
  <si>
    <t>NguyÔn Thµnh C«ng</t>
  </si>
  <si>
    <t>13.10.2003</t>
  </si>
  <si>
    <t>TrÇn §øc C¶nh</t>
  </si>
  <si>
    <t>21.7.2000</t>
  </si>
  <si>
    <t>Lª M¹nh C­êng</t>
  </si>
  <si>
    <t>03.8.1999</t>
  </si>
  <si>
    <t>L­u Xu©n ChiÒu</t>
  </si>
  <si>
    <t>08.5.2003</t>
  </si>
  <si>
    <t>TrÇn A Chiu</t>
  </si>
  <si>
    <t>31.3.2003</t>
  </si>
  <si>
    <t>NguyÔn C«ng ChuÈn</t>
  </si>
  <si>
    <t>06.3.2003</t>
  </si>
  <si>
    <t>Bïi V¨n D÷</t>
  </si>
  <si>
    <t>20.11.2002</t>
  </si>
  <si>
    <t>Lª V¨n D­¬ng</t>
  </si>
  <si>
    <t>26.3.2003</t>
  </si>
  <si>
    <t>TrÇn Th¸i D­¬ng</t>
  </si>
  <si>
    <t>23.6.2003</t>
  </si>
  <si>
    <t>NguyÔn TuÊn D­¬ng A</t>
  </si>
  <si>
    <t>03.11.2003</t>
  </si>
  <si>
    <t>NguyÔn TuÊn D­¬ng B</t>
  </si>
  <si>
    <t>24.3.2003</t>
  </si>
  <si>
    <t>Doßng C¾m D¼u</t>
  </si>
  <si>
    <t>14.5.2003</t>
  </si>
  <si>
    <t>TrÇn V¨n Dòng</t>
  </si>
  <si>
    <t>18.9.2002</t>
  </si>
  <si>
    <t>Hµ M¹nh Dòng</t>
  </si>
  <si>
    <t>16.5.2002</t>
  </si>
  <si>
    <t>L­u §øc Duy</t>
  </si>
  <si>
    <t>18.12.2003</t>
  </si>
  <si>
    <t>NguyÔn V¨n Duy</t>
  </si>
  <si>
    <t>03.8.2003</t>
  </si>
  <si>
    <t>Hµ Quang §«ng</t>
  </si>
  <si>
    <t>13.9.2003</t>
  </si>
  <si>
    <t>NguyÔn Anh §¹i</t>
  </si>
  <si>
    <t>10.12.2003</t>
  </si>
  <si>
    <t>16.11.2003</t>
  </si>
  <si>
    <t>NguyÔn Trung §øc</t>
  </si>
  <si>
    <t>02.01.2003</t>
  </si>
  <si>
    <t>TrÇn §×nh §Þnh</t>
  </si>
  <si>
    <t>19.02.2003</t>
  </si>
  <si>
    <t>§ç Xu©n Hïng</t>
  </si>
  <si>
    <t>10.02.2003</t>
  </si>
  <si>
    <t>Bïi V¨n HiÖn</t>
  </si>
  <si>
    <t>13.5.2000</t>
  </si>
  <si>
    <t>TrÇn Hoµng HiÖp</t>
  </si>
  <si>
    <t>06.10.2004</t>
  </si>
  <si>
    <t>TrÞnh §¨ng HiÕu</t>
  </si>
  <si>
    <t>25.6.2003</t>
  </si>
  <si>
    <t>§Æng V¨n Ho»ng</t>
  </si>
  <si>
    <t>09.7.2003</t>
  </si>
  <si>
    <t>§inh V¨n Hoµng</t>
  </si>
  <si>
    <t>11.8.2003</t>
  </si>
  <si>
    <t>17.11.2003</t>
  </si>
  <si>
    <t>Vò V¨n Huy</t>
  </si>
  <si>
    <t>12.12.2003</t>
  </si>
  <si>
    <t>NguyÔn Quang Kh¶i</t>
  </si>
  <si>
    <t>05.7.2003</t>
  </si>
  <si>
    <t>NguyÔn Hoµng L©n</t>
  </si>
  <si>
    <t>11.3.2003</t>
  </si>
  <si>
    <t>§ç ViÕt Léc</t>
  </si>
  <si>
    <t>Lª Minh Lîi</t>
  </si>
  <si>
    <t>21.4.2003</t>
  </si>
  <si>
    <t>Ph¹m B¶o Long</t>
  </si>
  <si>
    <t>18.01.2003</t>
  </si>
  <si>
    <t>TrÇn H÷u Ngäc LÜnh</t>
  </si>
  <si>
    <t>06.11.2002</t>
  </si>
  <si>
    <t>T« §øc M¹nh</t>
  </si>
  <si>
    <t>13.7.2003</t>
  </si>
  <si>
    <t>Bïi V¨n M¹nh</t>
  </si>
  <si>
    <t>28.7.2004</t>
  </si>
  <si>
    <t>NguyÔn B×nh Minh</t>
  </si>
  <si>
    <t>01.01.1998</t>
  </si>
  <si>
    <t>Ph¹m TiÕn Ngäc</t>
  </si>
  <si>
    <t>18.12.1998</t>
  </si>
  <si>
    <t>Phan V¨n Ph­¬ng</t>
  </si>
  <si>
    <t>28.5.2002</t>
  </si>
  <si>
    <t>Bïi V¨n Phó</t>
  </si>
  <si>
    <t>NguyÔn V¨n Phóc</t>
  </si>
  <si>
    <t>02.02.2003</t>
  </si>
  <si>
    <t>§inh Thanh Phong</t>
  </si>
  <si>
    <t>08.02.2000</t>
  </si>
  <si>
    <t>D­¬ng V¨n Qu©n</t>
  </si>
  <si>
    <t>09.5.2003</t>
  </si>
  <si>
    <t>Vò Kh¾c Qu©n</t>
  </si>
  <si>
    <t>10.7.2003</t>
  </si>
  <si>
    <t>§oµn Ngäc Quang</t>
  </si>
  <si>
    <t>20.5.2003</t>
  </si>
  <si>
    <t>NguyÔn V¨n Quèc</t>
  </si>
  <si>
    <t>17.6.2002</t>
  </si>
  <si>
    <t>Hoµng Anh Quý</t>
  </si>
  <si>
    <t>Vò V¨n QuyÕn</t>
  </si>
  <si>
    <t>19.12.2003</t>
  </si>
  <si>
    <t>§inh V¨n QuyÕt</t>
  </si>
  <si>
    <t>11.4.2003</t>
  </si>
  <si>
    <t>Vò Ngäc S¬n</t>
  </si>
  <si>
    <t>26.01.1999</t>
  </si>
  <si>
    <t>10.11.2003</t>
  </si>
  <si>
    <t>Vò §øc T×nh</t>
  </si>
  <si>
    <t>18.8.2003</t>
  </si>
  <si>
    <t>§ç V¨n T©m</t>
  </si>
  <si>
    <t>25.12.2003</t>
  </si>
  <si>
    <t>Phan Nh©n Tµi</t>
  </si>
  <si>
    <t>12.8.1999</t>
  </si>
  <si>
    <t>Phan Nh­ Thµnh</t>
  </si>
  <si>
    <t>18.10.2003</t>
  </si>
  <si>
    <t>NguyÔn H÷u Thµnh</t>
  </si>
  <si>
    <t>NguyÔn C«ng Th¾ng</t>
  </si>
  <si>
    <t>§oµn H÷u Thä</t>
  </si>
  <si>
    <t>02.7.1999</t>
  </si>
  <si>
    <t>NguyÔn TrÝ Thanh</t>
  </si>
  <si>
    <t>09.10.2003</t>
  </si>
  <si>
    <t>L­u §øc Thanh</t>
  </si>
  <si>
    <t>22.9.2003</t>
  </si>
  <si>
    <t>Bïi V¨n Tho¸ng</t>
  </si>
  <si>
    <t>21.11.2003</t>
  </si>
  <si>
    <t>Phïng TrÝ Thøc</t>
  </si>
  <si>
    <t>12.10.2003</t>
  </si>
  <si>
    <t>TrÇn Trung Thùc</t>
  </si>
  <si>
    <t>Lª Quang ThuyÕt</t>
  </si>
  <si>
    <t>09.11.2003</t>
  </si>
  <si>
    <t>Ph¹m V¨n Ngäc Toµn</t>
  </si>
  <si>
    <t>NguyÔn Huy Toµn</t>
  </si>
  <si>
    <t>NguyÔn V¨n Tr­êng</t>
  </si>
  <si>
    <t>08.4.2003</t>
  </si>
  <si>
    <t>§Æng Xu©n Tr­êng</t>
  </si>
  <si>
    <t>30.11.2000</t>
  </si>
  <si>
    <t>NguyÔn Sü Trung</t>
  </si>
  <si>
    <t>09.01.2000</t>
  </si>
  <si>
    <t>TrÇn Quèc Trung</t>
  </si>
  <si>
    <t>24.01.1999</t>
  </si>
  <si>
    <t>Lª Quèc Trung</t>
  </si>
  <si>
    <t>18.7.1999</t>
  </si>
  <si>
    <t>Hoµng Quèc Trung</t>
  </si>
  <si>
    <t>07.11.2001</t>
  </si>
  <si>
    <t>NguyÔn §øc Trung</t>
  </si>
  <si>
    <t>20.3.2004</t>
  </si>
  <si>
    <t>Ph¹m V¨n TuÊn</t>
  </si>
  <si>
    <t>27.7.2003</t>
  </si>
  <si>
    <t>NguyÔn Gia TuÊn</t>
  </si>
  <si>
    <t>14.11.2003</t>
  </si>
  <si>
    <t>Mai Anh TuÊn</t>
  </si>
  <si>
    <t>Bïi Duy V­¬ng</t>
  </si>
  <si>
    <t>13.6.2003</t>
  </si>
  <si>
    <t>Mai Quèc ViÖt</t>
  </si>
  <si>
    <t>28.02.2003</t>
  </si>
  <si>
    <t>NguyÔn Quèc ViÖt</t>
  </si>
  <si>
    <t>06.6.2004</t>
  </si>
  <si>
    <t>§inh Quang Huy</t>
  </si>
  <si>
    <t>Bïi §øc S¬n</t>
  </si>
  <si>
    <t>Tx Duy Tiªn-Hµ Nam</t>
  </si>
  <si>
    <t>Mai Ch©u-Hoµ B×nh</t>
  </si>
  <si>
    <t>Tp H¹ Long-Qu¶ng Ninh</t>
  </si>
  <si>
    <t>NguyÔn Anh</t>
  </si>
  <si>
    <t>11.10.1996</t>
  </si>
  <si>
    <t>Vò TiÕn Anh</t>
  </si>
  <si>
    <t>19.9.2001</t>
  </si>
  <si>
    <t>NguyÔn TiÕn B×nh</t>
  </si>
  <si>
    <t>26.12.2003</t>
  </si>
  <si>
    <t>L¹c V¨n D»n</t>
  </si>
  <si>
    <t>Bïi B×nh D­¬ng</t>
  </si>
  <si>
    <t>08.8.2003</t>
  </si>
  <si>
    <t>N«ng TiÕn §øc</t>
  </si>
  <si>
    <t>NguyÔn Quý Hµ</t>
  </si>
  <si>
    <t>23.8.2003</t>
  </si>
  <si>
    <t>NguyÔn C«ng Hanh</t>
  </si>
  <si>
    <t>01.8.2000</t>
  </si>
  <si>
    <t>NguyÔn ChÝ H­íng</t>
  </si>
  <si>
    <t>NguyÔn §×nh HiÖu</t>
  </si>
  <si>
    <t>Ph¹m ThÕ Hoµn</t>
  </si>
  <si>
    <t>12.11.1998</t>
  </si>
  <si>
    <t>27.10.2003</t>
  </si>
  <si>
    <t>Bïi V¨n Huy</t>
  </si>
  <si>
    <t>Vò §×nh Huynh</t>
  </si>
  <si>
    <t>19.9.2003</t>
  </si>
  <si>
    <t>Ph¹m Minh Kh«i</t>
  </si>
  <si>
    <t>16.10.2003</t>
  </si>
  <si>
    <t>NguyÔn V¨n Kiªn</t>
  </si>
  <si>
    <t>02.01.2004</t>
  </si>
  <si>
    <t>Ph¹m §×nh L­îng</t>
  </si>
  <si>
    <t>18.02.2003</t>
  </si>
  <si>
    <t>NguyÔn Thµnh LuËt</t>
  </si>
  <si>
    <t>Vò Quý M¹nh</t>
  </si>
  <si>
    <t>20.02.2003</t>
  </si>
  <si>
    <t>NguyÔn H÷u NghÜa</t>
  </si>
  <si>
    <t>25.3.2000</t>
  </si>
  <si>
    <t>Ph¹m Xu©n Phãng</t>
  </si>
  <si>
    <t>13.4.2003</t>
  </si>
  <si>
    <t>Vò Th¸i S¬n</t>
  </si>
  <si>
    <t>31.8.2004</t>
  </si>
  <si>
    <t>NguyÔn Anh S¬n</t>
  </si>
  <si>
    <t>NguyÔn C«ng Th¸i</t>
  </si>
  <si>
    <t>01.11.2003</t>
  </si>
  <si>
    <t>Hoµng ViÖt Th¸i</t>
  </si>
  <si>
    <t>01.8.2003</t>
  </si>
  <si>
    <t>TrÇn H÷u Thµnh</t>
  </si>
  <si>
    <t>TrÇn V¨n Thµnh</t>
  </si>
  <si>
    <t>28.9.2003</t>
  </si>
  <si>
    <t>NguyÔn Thanh Th­ëng</t>
  </si>
  <si>
    <t>Chu §øc ThiÖn</t>
  </si>
  <si>
    <t>§Æng V¨n Tó</t>
  </si>
  <si>
    <t>02.7.2003</t>
  </si>
  <si>
    <t>NguyÔn C«ng Tu©n</t>
  </si>
  <si>
    <t>31.12.2003</t>
  </si>
  <si>
    <t>Xa Anh TuÊn</t>
  </si>
  <si>
    <t>28.10.2003</t>
  </si>
  <si>
    <t>Kho¸i Ch©u-H­ng Yªn</t>
  </si>
  <si>
    <t>NguyÔn TuÊn Anh</t>
  </si>
  <si>
    <t>TrÇn TiÕn Anh</t>
  </si>
  <si>
    <t>15.10.2003</t>
  </si>
  <si>
    <t>NguyÔn Quèc C­êng</t>
  </si>
  <si>
    <t>18.9.2003</t>
  </si>
  <si>
    <t>§ç Quang ChiÕn</t>
  </si>
  <si>
    <t>03.12.2002</t>
  </si>
  <si>
    <t>Hoµng NguyÔn Chung</t>
  </si>
  <si>
    <t>§Æng V¨n DiÖn</t>
  </si>
  <si>
    <t>23.02.2003</t>
  </si>
  <si>
    <t>Lª V¨n Dù</t>
  </si>
  <si>
    <t>12.4.2003</t>
  </si>
  <si>
    <t>NguyÔn ViÕt Duy</t>
  </si>
  <si>
    <t>30.9.2001</t>
  </si>
  <si>
    <t>NguyÔn Minh §øc</t>
  </si>
  <si>
    <t>NguyÔn §øc H¶i</t>
  </si>
  <si>
    <t>17.4.2001</t>
  </si>
  <si>
    <t>Bïi Minh H­íng</t>
  </si>
  <si>
    <t>27.5.2001</t>
  </si>
  <si>
    <t>Vò §øc Hïng</t>
  </si>
  <si>
    <t>08.11.2003</t>
  </si>
  <si>
    <t>Lª Xu©n Hïng</t>
  </si>
  <si>
    <t>25.8.2001</t>
  </si>
  <si>
    <t>Ph¹m Quang HiÖu</t>
  </si>
  <si>
    <t>22.5.2003</t>
  </si>
  <si>
    <t>NguyÔn Quèc Huy</t>
  </si>
  <si>
    <t>08.6.2003</t>
  </si>
  <si>
    <t>Ph¹m §×nh Khang</t>
  </si>
  <si>
    <t>02.8.2003</t>
  </si>
  <si>
    <t>NguyÔn Kh¾c Khang</t>
  </si>
  <si>
    <t>20.10.2004</t>
  </si>
  <si>
    <t>Vò §×nh Minh</t>
  </si>
  <si>
    <t>Hoµng §×nh NghÜa</t>
  </si>
  <si>
    <t>03.9.2003</t>
  </si>
  <si>
    <t>NguyÔn V¨n §øc Ph­¬ng</t>
  </si>
  <si>
    <t>NguyÔn §øc Phãng</t>
  </si>
  <si>
    <t>27.5.2003</t>
  </si>
  <si>
    <t>Bïi V¨n Phóc</t>
  </si>
  <si>
    <t>14.10.2002</t>
  </si>
  <si>
    <t>TrÇn Minh Quang</t>
  </si>
  <si>
    <t>§oµn V¨n S¸ng</t>
  </si>
  <si>
    <t>05.9.2003</t>
  </si>
  <si>
    <t>TrÇn Tam Sao</t>
  </si>
  <si>
    <t>23.01.2001</t>
  </si>
  <si>
    <t>Bïi B¸ T­¬ng</t>
  </si>
  <si>
    <t>L­¬ng Ngäc Th¾ng</t>
  </si>
  <si>
    <t>01.6.2002</t>
  </si>
  <si>
    <t>Bïi Thanh Trµ</t>
  </si>
  <si>
    <t>24.6.2003</t>
  </si>
  <si>
    <t>NguyÔn §×nh TuÊn</t>
  </si>
  <si>
    <t>27.8.2001</t>
  </si>
  <si>
    <t>Mai Quèc TuÊn</t>
  </si>
  <si>
    <t>Bïi ThÕ ViÖt</t>
  </si>
  <si>
    <t>12.7.2004</t>
  </si>
  <si>
    <t>NguyÔn Thanh B×nh</t>
  </si>
  <si>
    <t>Vò V¨n C­êng</t>
  </si>
  <si>
    <t>11.12.2003</t>
  </si>
  <si>
    <t>Hoµng V¨n ChiÕn</t>
  </si>
  <si>
    <t>12.8.2003</t>
  </si>
  <si>
    <t>05.10.2003</t>
  </si>
  <si>
    <t>Vò NhËt Doanh</t>
  </si>
  <si>
    <t>26.12.2004</t>
  </si>
  <si>
    <t>Ph¹m Huy Dòng</t>
  </si>
  <si>
    <t>14.7.2003</t>
  </si>
  <si>
    <t>NguyÔn C«ng §¹t</t>
  </si>
  <si>
    <t>NguyÔn V¨n H©n</t>
  </si>
  <si>
    <t>18.6.2003</t>
  </si>
  <si>
    <t>§inh TiÕn Hïng</t>
  </si>
  <si>
    <t>28.02.2002</t>
  </si>
  <si>
    <t>Ng« Phi Hïng</t>
  </si>
  <si>
    <t>26.6.2003</t>
  </si>
  <si>
    <t>Vò Duy HiÕn</t>
  </si>
  <si>
    <t>08.12.2004</t>
  </si>
  <si>
    <t>NguyÔn Huy HiÖp</t>
  </si>
  <si>
    <t>06.11.2003</t>
  </si>
  <si>
    <t>Vò Quang H­ng</t>
  </si>
  <si>
    <t>14.3.2003</t>
  </si>
  <si>
    <t>§Æng V¨n Ho¸</t>
  </si>
  <si>
    <t>13.01.2003</t>
  </si>
  <si>
    <t>TrÇn V¨n Hoµng</t>
  </si>
  <si>
    <t>13.8.2003</t>
  </si>
  <si>
    <t>Vò H¶i Long</t>
  </si>
  <si>
    <t>02.9.2003</t>
  </si>
  <si>
    <t>Vò Minh LuËt</t>
  </si>
  <si>
    <t>31.10.2003</t>
  </si>
  <si>
    <t>17.02.2003</t>
  </si>
  <si>
    <t>NguyÔn TiÕn Minh</t>
  </si>
  <si>
    <t>Ph¹m H¶i Nam</t>
  </si>
  <si>
    <t>03.6.2003</t>
  </si>
  <si>
    <t>Vò Hoµng Nguyªn</t>
  </si>
  <si>
    <t>Ph¹m C«ng Nguyªn</t>
  </si>
  <si>
    <t>25.3.2003</t>
  </si>
  <si>
    <t>NguyÔn Hoµng Anh Ngäc</t>
  </si>
  <si>
    <t>NguyÔn Ngäc S¬n</t>
  </si>
  <si>
    <t>TrÇn V¨n Sang</t>
  </si>
  <si>
    <t>28.01.2003</t>
  </si>
  <si>
    <t>NguyÔn Minh T©n</t>
  </si>
  <si>
    <t>29.8.2003</t>
  </si>
  <si>
    <t>Ph¹m Xu©n Th¨ng</t>
  </si>
  <si>
    <t>21.5.2003</t>
  </si>
  <si>
    <t>Bïi V¨n ThiÖp</t>
  </si>
  <si>
    <t>25.02.2000</t>
  </si>
  <si>
    <t>§inh V¨n ThuËn</t>
  </si>
  <si>
    <t>16.5.2000</t>
  </si>
  <si>
    <t>NguyÔn §­¬ng Tuyªn</t>
  </si>
  <si>
    <t>29.6.2003</t>
  </si>
  <si>
    <t>Vò V¨n ViÖt</t>
  </si>
  <si>
    <t>Mü Léc-Nam §Þnh</t>
  </si>
  <si>
    <t>Thanh MiÖn-H¶i D­¬ng</t>
  </si>
  <si>
    <t>B×nh Lôc-Hµ Nam</t>
  </si>
  <si>
    <t>NguyÔn §øc Anh A</t>
  </si>
  <si>
    <t>21.6.2003</t>
  </si>
  <si>
    <t>NguyÔn §øc Anh B</t>
  </si>
  <si>
    <t>NguyÔn TiÕn C­êng</t>
  </si>
  <si>
    <t>28.12.2003</t>
  </si>
  <si>
    <t>NguyÔn Ngäc C­êng</t>
  </si>
  <si>
    <t>TrÇn Minh C­êng</t>
  </si>
  <si>
    <t>Bïi Hoµng DiÖp</t>
  </si>
  <si>
    <t>10.8.2001</t>
  </si>
  <si>
    <t>Ph¹m V¨n Duy</t>
  </si>
  <si>
    <t>23.10.2003</t>
  </si>
  <si>
    <t>NguyÔn §inh Phó §«ng</t>
  </si>
  <si>
    <t>12.5.2004</t>
  </si>
  <si>
    <t>§ç V¨n §øc</t>
  </si>
  <si>
    <t>TrÇn H¶i §øc</t>
  </si>
  <si>
    <t>Bïi V¨n H»ng</t>
  </si>
  <si>
    <t>27.11.2000</t>
  </si>
  <si>
    <t>Lª Minh H¶i</t>
  </si>
  <si>
    <t>01.5.2003</t>
  </si>
  <si>
    <t>TrÇn V¨n H¶i</t>
  </si>
  <si>
    <t>18.7.2003</t>
  </si>
  <si>
    <t>Vò M¹nh H¶i</t>
  </si>
  <si>
    <t>22.02.2001</t>
  </si>
  <si>
    <t>Lª M¹nh Hïng</t>
  </si>
  <si>
    <t>24.8.2003</t>
  </si>
  <si>
    <t>Vò Kh¾c Huy</t>
  </si>
  <si>
    <t>Hoµng §øc Kh¸nh</t>
  </si>
  <si>
    <t>NguyÔn §øc L©m</t>
  </si>
  <si>
    <t>02.6.2003</t>
  </si>
  <si>
    <t>Hoµng Phã Long</t>
  </si>
  <si>
    <t>Do·n V¨n Minh</t>
  </si>
  <si>
    <t>06.11.1999</t>
  </si>
  <si>
    <t>L©m Hoµng Ph­¬ng Nam</t>
  </si>
  <si>
    <t>10.10.2003</t>
  </si>
  <si>
    <t>NguyÔn Quang NghÜa</t>
  </si>
  <si>
    <t>31.7.2003</t>
  </si>
  <si>
    <t>NguyÔn Duy Tµi</t>
  </si>
  <si>
    <t>31.8.2003</t>
  </si>
  <si>
    <t>L­u ThÕ Th¨ng</t>
  </si>
  <si>
    <t>22.8.2002</t>
  </si>
  <si>
    <t>NguyÔn M¹nh Th¾ng</t>
  </si>
  <si>
    <t>§oµn Quang Thä</t>
  </si>
  <si>
    <t>14.02.2003</t>
  </si>
  <si>
    <t>Bïi V¨n ThiÖn</t>
  </si>
  <si>
    <t>NguyÔn V¨n TuÊn</t>
  </si>
  <si>
    <t>13.02.2000</t>
  </si>
  <si>
    <t>Bïi V¨n Vinh</t>
  </si>
  <si>
    <t>§ç V¨n Dòng</t>
  </si>
  <si>
    <t>Hå Minh Hoµng</t>
  </si>
  <si>
    <t>§inh V¨n Qu¶ng</t>
  </si>
  <si>
    <t>Kim B¶ng-Hµ Nam</t>
  </si>
  <si>
    <t>Trùc Ninh-Nam §Þnh</t>
  </si>
  <si>
    <t>B×nh Giang-H¶i D­¬ng</t>
  </si>
  <si>
    <t>NguyÔn Duy Anh</t>
  </si>
  <si>
    <t>NguyÔn V¨n Anh</t>
  </si>
  <si>
    <t>28.5.2003</t>
  </si>
  <si>
    <t>Bïi V¨n B×nh</t>
  </si>
  <si>
    <t>22.11.2003</t>
  </si>
  <si>
    <t>TrÇn V¨n B¾c</t>
  </si>
  <si>
    <t>NguyÔn §¾c Dòng</t>
  </si>
  <si>
    <t>13.3.2003</t>
  </si>
  <si>
    <t>NguyÔn Ngäc Duy</t>
  </si>
  <si>
    <t>Ph¹m Träng §¹t</t>
  </si>
  <si>
    <t>Tr­ëng V¨n §¹t</t>
  </si>
  <si>
    <t>Chu TiÕn §ång</t>
  </si>
  <si>
    <t>09.4.2000</t>
  </si>
  <si>
    <t>30.01.2002</t>
  </si>
  <si>
    <t>NguyÔn ChÝ Hoµng</t>
  </si>
  <si>
    <t>15.06.2002</t>
  </si>
  <si>
    <t>Lª V¨n Hoan</t>
  </si>
  <si>
    <t>31.5.2003</t>
  </si>
  <si>
    <t>Tèng Quèc Kh¸nh</t>
  </si>
  <si>
    <t>11.6.2003</t>
  </si>
  <si>
    <t>Vò HiÕu KiÖt</t>
  </si>
  <si>
    <t>§Æng Thanh Minh</t>
  </si>
  <si>
    <t>05.4.2003</t>
  </si>
  <si>
    <t>NguyÔn H÷u Nam</t>
  </si>
  <si>
    <t>08.3.2000</t>
  </si>
  <si>
    <t>Bïi Träng Nam</t>
  </si>
  <si>
    <t>30.11.2003</t>
  </si>
  <si>
    <t>§inh V¨n Nói</t>
  </si>
  <si>
    <t>07.5.2003</t>
  </si>
  <si>
    <t>NguyÔn B¸ Qu©n</t>
  </si>
  <si>
    <t>Ph¹m V¨n Sang</t>
  </si>
  <si>
    <t>TrÇn Duy T­</t>
  </si>
  <si>
    <t>03.01.2003</t>
  </si>
  <si>
    <t>Ph¹m V¨n Th¹nh</t>
  </si>
  <si>
    <t>30.8.2000</t>
  </si>
  <si>
    <t>Hoµng §¨ng Tïng</t>
  </si>
  <si>
    <t>30.3.2002</t>
  </si>
  <si>
    <t>Ph¹m M¹nh Tr­êng</t>
  </si>
  <si>
    <t>Lª Quèc ViÖt</t>
  </si>
  <si>
    <t>Ph¹m V¨n Vò</t>
  </si>
  <si>
    <t>26.7.2000</t>
  </si>
  <si>
    <t>Nam S¸ch-H¶i D­¬ng</t>
  </si>
  <si>
    <t>Qu¶ng Yªn-Qu¶ng Ninh</t>
  </si>
  <si>
    <t>Hoa L­- Ninh B×nh</t>
  </si>
  <si>
    <t>TrÇn TuÊn Anh</t>
  </si>
  <si>
    <t>§iÖp Quèc B¶o</t>
  </si>
  <si>
    <t>NguyÔn Quèc B¶o</t>
  </si>
  <si>
    <t>12.02.2004</t>
  </si>
  <si>
    <t>§ç Thµnh C«ng</t>
  </si>
  <si>
    <t>04.01.2003</t>
  </si>
  <si>
    <t>NguyÔn Minh C«ng</t>
  </si>
  <si>
    <t>09.7.2001</t>
  </si>
  <si>
    <t>NguyÔn V¨n Chøc</t>
  </si>
  <si>
    <t>Bïi §øc Chung</t>
  </si>
  <si>
    <t>TrÇn M¹nh D­¬ng</t>
  </si>
  <si>
    <t>09.12.1998</t>
  </si>
  <si>
    <t>TrÇn V¨n D­¬ng</t>
  </si>
  <si>
    <t>23.11.2003</t>
  </si>
  <si>
    <t>Ph¹m C«ng Dù</t>
  </si>
  <si>
    <t>24.4.2003</t>
  </si>
  <si>
    <t>28.02.2004</t>
  </si>
  <si>
    <t>Mai Thµnh §¹t</t>
  </si>
  <si>
    <t>20.10.2003</t>
  </si>
  <si>
    <t>TrÇn TiÕn §¹t</t>
  </si>
  <si>
    <t>26.8.2003</t>
  </si>
  <si>
    <t>Hoµng M¹nh §iÖp</t>
  </si>
  <si>
    <t>§inh C«ng §øc</t>
  </si>
  <si>
    <t>09.9.2003</t>
  </si>
  <si>
    <t>§µo V¨n §øc</t>
  </si>
  <si>
    <t>15.10.2004</t>
  </si>
  <si>
    <t>NguyÔn V¨n Hµ</t>
  </si>
  <si>
    <t>Ph¹m ViÕt H¶i</t>
  </si>
  <si>
    <t>L­¬ng TuÊn HiÖp</t>
  </si>
  <si>
    <t>TrÇn §øc Huy</t>
  </si>
  <si>
    <t>Hå Quèc Kh¸nh</t>
  </si>
  <si>
    <t>01.9.2003</t>
  </si>
  <si>
    <t>Phan Thanh L©m</t>
  </si>
  <si>
    <t>NguyÔn Tµi L­¬ng</t>
  </si>
  <si>
    <t>23.01.2003</t>
  </si>
  <si>
    <t>§µo H¶i Linh</t>
  </si>
  <si>
    <t>19.01.2001</t>
  </si>
  <si>
    <t>Lª H¶i Long</t>
  </si>
  <si>
    <t>26.4.2003</t>
  </si>
  <si>
    <t>NguyÔn V¨n M¹nh</t>
  </si>
  <si>
    <t>D­¬ng V¨n Nam</t>
  </si>
  <si>
    <t>05.8.2003</t>
  </si>
  <si>
    <t>NguyÔn Ngäc NhËt</t>
  </si>
  <si>
    <t>TrÇn V¨n Ninh</t>
  </si>
  <si>
    <t>16.6.2003</t>
  </si>
  <si>
    <t>NguyÔn Ngäc Qu©n</t>
  </si>
  <si>
    <t>04.12.2003</t>
  </si>
  <si>
    <t>Cao TiÕn Quang</t>
  </si>
  <si>
    <t>§ç V¨n Quang</t>
  </si>
  <si>
    <t>10.3.2003</t>
  </si>
  <si>
    <t>NguyÔn Hoµng Quý</t>
  </si>
  <si>
    <t>10.12.2004</t>
  </si>
  <si>
    <t>TrÇn §øc Quý</t>
  </si>
  <si>
    <t>29.10.2003</t>
  </si>
  <si>
    <t>§oµn Minh QuyÕt</t>
  </si>
  <si>
    <t>Phïn Dïng S¸ng</t>
  </si>
  <si>
    <t>12.7.2003</t>
  </si>
  <si>
    <t>Tr­¬ng V¨n Th¾ng</t>
  </si>
  <si>
    <t>Ph¹m V¨n Thèng</t>
  </si>
  <si>
    <t>25.9.2001</t>
  </si>
  <si>
    <t>Cao Xu©n Th­îng</t>
  </si>
  <si>
    <t>16.4.2002</t>
  </si>
  <si>
    <t>NguyÔn V¨n ThuËn</t>
  </si>
  <si>
    <t>14.9.2003</t>
  </si>
  <si>
    <t>§Æng V¨n Thuû</t>
  </si>
  <si>
    <t>15.7.1996</t>
  </si>
  <si>
    <t>Ph¹m Minh TuÊn</t>
  </si>
  <si>
    <t>19.10.2003</t>
  </si>
  <si>
    <t>T»ng A TuÊn</t>
  </si>
  <si>
    <t>10.4.2003</t>
  </si>
  <si>
    <t>TrÇn V¨n TuyÕn</t>
  </si>
  <si>
    <t>11.01.2003</t>
  </si>
  <si>
    <t>Bïi TuÊn Anh</t>
  </si>
  <si>
    <t>Ph¹m Duy B×nh</t>
  </si>
  <si>
    <t>Lª ViÕt C­êng</t>
  </si>
  <si>
    <t>19.3.2003</t>
  </si>
  <si>
    <t>NguyÔn V¨n ChiÕn</t>
  </si>
  <si>
    <t>16.7.2003</t>
  </si>
  <si>
    <t>Hµ Ngäc ChuyÒn</t>
  </si>
  <si>
    <t>§ç H÷u Dòng</t>
  </si>
  <si>
    <t>30.4.2003</t>
  </si>
  <si>
    <t>Ph¹m V¨n §¹i</t>
  </si>
  <si>
    <t>22.6.2003</t>
  </si>
  <si>
    <t>Lª ThÕ §¹i</t>
  </si>
  <si>
    <t>11.5.1999</t>
  </si>
  <si>
    <t>NguyÔn Anh §øc</t>
  </si>
  <si>
    <t>NguyÔn H÷u §øc</t>
  </si>
  <si>
    <t>07.7.2003</t>
  </si>
  <si>
    <t>Lª V¨n §Þnh</t>
  </si>
  <si>
    <t>Ph¹m Minh Giang</t>
  </si>
  <si>
    <t>Ph¹m Do·n ThÕ H¶i</t>
  </si>
  <si>
    <t>18.5.2003</t>
  </si>
  <si>
    <t>Hoµng ViÖt Hïng</t>
  </si>
  <si>
    <t>19.9.2000</t>
  </si>
  <si>
    <t>NguyÔn Xu©n HiÓn</t>
  </si>
  <si>
    <t>24.10.2003</t>
  </si>
  <si>
    <t>NguyÔn Minh HiÕu</t>
  </si>
  <si>
    <t>01.02.2003</t>
  </si>
  <si>
    <t xml:space="preserve">Bµn V¨n HiÕu </t>
  </si>
  <si>
    <t>07.3.2001</t>
  </si>
  <si>
    <t xml:space="preserve">Bïi V¨n HiÕu </t>
  </si>
  <si>
    <t>N«ng ThÕ H­ng</t>
  </si>
  <si>
    <t>10.9.2003</t>
  </si>
  <si>
    <t>Lª ViÖt Hoµng</t>
  </si>
  <si>
    <t>18.11.2003</t>
  </si>
  <si>
    <t>L¹i Huy Hoµng</t>
  </si>
  <si>
    <t>NguyÔn V¨n Hoµng</t>
  </si>
  <si>
    <t>Bïi Quang Huy</t>
  </si>
  <si>
    <t>02.10.2003</t>
  </si>
  <si>
    <t>Bïi V¨n Kiªn</t>
  </si>
  <si>
    <t>18.11.1999</t>
  </si>
  <si>
    <t>Bïi H÷u KiÒu</t>
  </si>
  <si>
    <t>27.01.2003</t>
  </si>
  <si>
    <t>NguyÔn V¨n L©n</t>
  </si>
  <si>
    <t>Bïi Thanh L©n</t>
  </si>
  <si>
    <t>17.10.2003</t>
  </si>
  <si>
    <t>NguyÔn Thµnh Léc</t>
  </si>
  <si>
    <t>Vò Thµnh Long</t>
  </si>
  <si>
    <t>NguyÔn §×nh MÏ</t>
  </si>
  <si>
    <t>NguyÔn H÷u Ngäc Minh</t>
  </si>
  <si>
    <t>10.5.2003</t>
  </si>
  <si>
    <t>Ph¹m V¨n Minh</t>
  </si>
  <si>
    <t>14.8.2003</t>
  </si>
  <si>
    <t>L­¬ng Quang Minh</t>
  </si>
  <si>
    <t>TrÇn Xu©n Nguyªn</t>
  </si>
  <si>
    <t>20.12.2003</t>
  </si>
  <si>
    <t>L©m TrÞnh Phong Nh·</t>
  </si>
  <si>
    <t>Ph¹m H÷u Ninh</t>
  </si>
  <si>
    <t>Bïi V¨n Ph­íc</t>
  </si>
  <si>
    <t>09.12.2003</t>
  </si>
  <si>
    <t>16.5.2003</t>
  </si>
  <si>
    <t>06.8.2003</t>
  </si>
  <si>
    <t>§ång V¨n QuyÒn</t>
  </si>
  <si>
    <t>29.10.2000</t>
  </si>
  <si>
    <t>Ph¹m V¨n S¬n</t>
  </si>
  <si>
    <t>06.4.2003</t>
  </si>
  <si>
    <t>TrÇn §¹i Th¸i</t>
  </si>
  <si>
    <t>19.6.2003</t>
  </si>
  <si>
    <t>10.11.2000</t>
  </si>
  <si>
    <t>Vò Duy Thµnh</t>
  </si>
  <si>
    <t>NguyÔn Xu©n Tr­êng</t>
  </si>
  <si>
    <t>NguyÔn Quèc Trung</t>
  </si>
  <si>
    <t>02.11.2002</t>
  </si>
  <si>
    <t>Vò Xu©n An</t>
  </si>
  <si>
    <t>22.12.2003</t>
  </si>
  <si>
    <t>L­u §øc TuÊn Anh</t>
  </si>
  <si>
    <t>23.6.2002</t>
  </si>
  <si>
    <t>Vò §×nh Anh</t>
  </si>
  <si>
    <t>TrÇn V¨n B»ng</t>
  </si>
  <si>
    <t>22.8.2003</t>
  </si>
  <si>
    <t>10.9.199</t>
  </si>
  <si>
    <t>Hoµng Anh C«ng</t>
  </si>
  <si>
    <t>Ph¹m Cao C­êng</t>
  </si>
  <si>
    <t>17.8.2003</t>
  </si>
  <si>
    <t>Bïi Ngäc C­êng</t>
  </si>
  <si>
    <t>26.11.2003</t>
  </si>
  <si>
    <t>T« TiÕn C­êng</t>
  </si>
  <si>
    <t>§ång Xu©n Cõ</t>
  </si>
  <si>
    <t>13.11.2002</t>
  </si>
  <si>
    <t>NguyÔn V¨n D­¬ng</t>
  </si>
  <si>
    <t>Hoµng TiÕn Dòng</t>
  </si>
  <si>
    <t>15.8.2001</t>
  </si>
  <si>
    <t>L­êng V¨n Duy</t>
  </si>
  <si>
    <t>19.8.2003</t>
  </si>
  <si>
    <t>§inh Träng §¶ng</t>
  </si>
  <si>
    <t>20.8.2003</t>
  </si>
  <si>
    <t>§ç V¨n §iÖp</t>
  </si>
  <si>
    <t>NguyÔn Thµnh §oµn</t>
  </si>
  <si>
    <t>TrÇn Minh §øc</t>
  </si>
  <si>
    <t>15.10.2002</t>
  </si>
  <si>
    <t>Ph¹m V¨n H¶i A</t>
  </si>
  <si>
    <t>15.01.2003</t>
  </si>
  <si>
    <t>Ph¹m V¨n H¶i B</t>
  </si>
  <si>
    <t>Vò V¨n H¶i</t>
  </si>
  <si>
    <t>Lª V¨n HËu</t>
  </si>
  <si>
    <t>Ph¹m Ngäc Hiªn</t>
  </si>
  <si>
    <t>M¹c Quèc Hïng</t>
  </si>
  <si>
    <t>NguyÔn §×nh Hïng</t>
  </si>
  <si>
    <t>30.8.2004</t>
  </si>
  <si>
    <t>Vò Träng HiÕu</t>
  </si>
  <si>
    <t>T¹ V¨n HiÕu</t>
  </si>
  <si>
    <t>§ç V¨n Hoµng</t>
  </si>
  <si>
    <t>Lß ViÖt Hoµng</t>
  </si>
  <si>
    <t>05.11.2003</t>
  </si>
  <si>
    <t>D­¬ng ViÖt Hoµng</t>
  </si>
  <si>
    <t>Mai Ngäc Huúnh</t>
  </si>
  <si>
    <t>07.8.2003</t>
  </si>
  <si>
    <t>Loan ThÕ Huy</t>
  </si>
  <si>
    <t>27.02.2003</t>
  </si>
  <si>
    <t>Vò TrÝ Kh¸i</t>
  </si>
  <si>
    <t>21.11.2000</t>
  </si>
  <si>
    <t>§Æng V¨n Kiªn</t>
  </si>
  <si>
    <t>21.10.2003</t>
  </si>
  <si>
    <t>NguyÔn ThÕ LËp</t>
  </si>
  <si>
    <t>20.02.2004</t>
  </si>
  <si>
    <t>NguyÔn §øc M¹nh</t>
  </si>
  <si>
    <t>03.9.2001</t>
  </si>
  <si>
    <t>Bïi Ph­¬ng Nam</t>
  </si>
  <si>
    <t>03.4.2003</t>
  </si>
  <si>
    <t>NguyÔn V¨n Nam</t>
  </si>
  <si>
    <t>Ng« Minh Ngäc</t>
  </si>
  <si>
    <t>24.10.2002</t>
  </si>
  <si>
    <t>Bïi Tr¾c Trung NghÜa</t>
  </si>
  <si>
    <t>Lª V¨n Nguyªn</t>
  </si>
  <si>
    <t>04.9.2003</t>
  </si>
  <si>
    <t>NguyÔn Duy NhÊt</t>
  </si>
  <si>
    <t>21.3.1997</t>
  </si>
  <si>
    <t>Ph¹m §×nh Phóc</t>
  </si>
  <si>
    <t>19.12.1998</t>
  </si>
  <si>
    <t>Ph¹m Thµnh Phóc</t>
  </si>
  <si>
    <t>26.9.2002</t>
  </si>
  <si>
    <t>26.7.2003</t>
  </si>
  <si>
    <t>NguyÔn §øc Quang</t>
  </si>
  <si>
    <t>Ph¹m Ngäc Quang</t>
  </si>
  <si>
    <t>Ph¹m Quang S¬n</t>
  </si>
  <si>
    <t>21.6.2001</t>
  </si>
  <si>
    <t>Bµn V¨n S¬n</t>
  </si>
  <si>
    <t>NguyÔn Hång S¬n</t>
  </si>
  <si>
    <t>Phïng Ngäc S¬n</t>
  </si>
  <si>
    <t>08.7.2003</t>
  </si>
  <si>
    <t>Bïi QuyÕt T©m</t>
  </si>
  <si>
    <t>Bïi Ngäc T©n</t>
  </si>
  <si>
    <t>Vò Minh T©y</t>
  </si>
  <si>
    <t>06.12.2003</t>
  </si>
  <si>
    <t>Bïi V¨n T­êng</t>
  </si>
  <si>
    <t>15.02.2003</t>
  </si>
  <si>
    <t>Chu An Th¸i</t>
  </si>
  <si>
    <t>Bïi §iÖp Thµnh</t>
  </si>
  <si>
    <t>11.02.2000</t>
  </si>
  <si>
    <t>Ph¹m V¨n Thµnh</t>
  </si>
  <si>
    <t>11.4.2002</t>
  </si>
  <si>
    <t>Vò V¨n Thµnh</t>
  </si>
  <si>
    <t>11.6.1998</t>
  </si>
  <si>
    <t>NguyÔn Gia Thanh</t>
  </si>
  <si>
    <t>NguyÔn Träng Th¾ng</t>
  </si>
  <si>
    <t>16.02.2003</t>
  </si>
  <si>
    <t>Ph¹m V¨n Th¾ng</t>
  </si>
  <si>
    <t>Vò V¨n Th¾ng</t>
  </si>
  <si>
    <t>07.4.2000</t>
  </si>
  <si>
    <t>NguyÔn V¨n Th­êng</t>
  </si>
  <si>
    <t>03.6.2001</t>
  </si>
  <si>
    <t>Vò V¨n Th­ëng</t>
  </si>
  <si>
    <t>05.8.1998</t>
  </si>
  <si>
    <t>§µo §×nh Tïng</t>
  </si>
  <si>
    <t>25.8.2003</t>
  </si>
  <si>
    <t>Hoµng Quang Tïng</t>
  </si>
  <si>
    <t>TrÇn V¨n Tó</t>
  </si>
  <si>
    <t>Tèng V¨n Toµn</t>
  </si>
  <si>
    <t>23.12.2003</t>
  </si>
  <si>
    <t>Xa V¨n Tr­êng</t>
  </si>
  <si>
    <t>16.5.2001</t>
  </si>
  <si>
    <t>§ång V¨n Tr­ëng</t>
  </si>
  <si>
    <t>17.5.2003</t>
  </si>
  <si>
    <t>07.10.2003</t>
  </si>
  <si>
    <t>Lû §øc Trung</t>
  </si>
  <si>
    <t>29.10.2001</t>
  </si>
  <si>
    <t>Vò Minh Tu©n</t>
  </si>
  <si>
    <t>19.10.2000</t>
  </si>
  <si>
    <t>Hoµng §øc Tu©n</t>
  </si>
  <si>
    <t>Bïi Anh TuÊn</t>
  </si>
  <si>
    <t>§Æng Quèc TuÊn</t>
  </si>
  <si>
    <t>03.10.2003</t>
  </si>
  <si>
    <t>Lª TrÝ TuÊn</t>
  </si>
  <si>
    <t>NguyÔn v¨n TuyÓn</t>
  </si>
  <si>
    <t>16.12.2003</t>
  </si>
  <si>
    <t>NguyÔn V¨n Uyªn</t>
  </si>
  <si>
    <t>NguyÔn Anh V¨n</t>
  </si>
  <si>
    <t>§oµn V¨n Vò</t>
  </si>
  <si>
    <t>Kinh M«n-H¶i D­¬ng</t>
  </si>
  <si>
    <t>L¹c Thuû-Hoµ B×nh</t>
  </si>
  <si>
    <t>Tp Nam §Þnh-Nam §Þnh</t>
  </si>
  <si>
    <t>Kim S¬n-Ninh B×nh</t>
  </si>
  <si>
    <t xml:space="preserve">Bïi §øc Anh </t>
  </si>
  <si>
    <t>25.5.2003</t>
  </si>
  <si>
    <t>NguyÔn Träng C«ng</t>
  </si>
  <si>
    <t>NguyÔn M¹nh C­êng</t>
  </si>
  <si>
    <t>Mai v¨n ChiÕn</t>
  </si>
  <si>
    <t>Bïi V¨n D­¬ng</t>
  </si>
  <si>
    <t>§Æng Xu©n Dòng</t>
  </si>
  <si>
    <t>09.6.2003</t>
  </si>
  <si>
    <t>T« V¨n §­¬ng</t>
  </si>
  <si>
    <t>NguyÔn §¾c §¹t</t>
  </si>
  <si>
    <t>15.12.2003</t>
  </si>
  <si>
    <t>§ç Thµnh §ång</t>
  </si>
  <si>
    <t>04.11.2003</t>
  </si>
  <si>
    <t xml:space="preserve">Bïi Anh §øc </t>
  </si>
  <si>
    <t>Bïi V¨n §øc</t>
  </si>
  <si>
    <t>§ång ThÕ Hoµng Giang</t>
  </si>
  <si>
    <t>Vò Hoµng Hµ</t>
  </si>
  <si>
    <t>18.7.2000</t>
  </si>
  <si>
    <t>Chu V¨n H¶i</t>
  </si>
  <si>
    <t>15.8.2000</t>
  </si>
  <si>
    <t>Hå V¨n H¶i</t>
  </si>
  <si>
    <t>22.7.2002</t>
  </si>
  <si>
    <t>Hoµng Ngäc H¶i</t>
  </si>
  <si>
    <t>L­¬ng Xu©n Hanh</t>
  </si>
  <si>
    <t>25.12.2000</t>
  </si>
  <si>
    <t>Ph¹m B¸ Anh HiÖp</t>
  </si>
  <si>
    <t>Bïi Trung HiÕu</t>
  </si>
  <si>
    <t>16.6.2002</t>
  </si>
  <si>
    <t>Bïi Ngäc HiÕu</t>
  </si>
  <si>
    <t>Hoµng ThÕ H­ng</t>
  </si>
  <si>
    <t>17.11.2001</t>
  </si>
  <si>
    <t>Tr­ëng Xu©n Hoµ</t>
  </si>
  <si>
    <t>05.01.2004</t>
  </si>
  <si>
    <t>Phoßng V¨n Kh«i</t>
  </si>
  <si>
    <t>15.8.2003</t>
  </si>
  <si>
    <t>T¹ M¹nh Kh­¬ng</t>
  </si>
  <si>
    <t>NguyÔn V¨n Kh¶i</t>
  </si>
  <si>
    <t>D­¬ng Hoa KiÖt</t>
  </si>
  <si>
    <t>ChÝu V¨n L©m</t>
  </si>
  <si>
    <t>18.01.2001</t>
  </si>
  <si>
    <t>NguyÔn Ngäc L©m</t>
  </si>
  <si>
    <t>§Æng Phóc L©m</t>
  </si>
  <si>
    <t>Ph¹m C«ng Lîi</t>
  </si>
  <si>
    <t>NguyÔn TuÊn Linh</t>
  </si>
  <si>
    <t>06.9.2001</t>
  </si>
  <si>
    <t>NguyÔn §øc Long</t>
  </si>
  <si>
    <t>NguyÔn Thµnh Lu©n</t>
  </si>
  <si>
    <t>D­¬ng V¨n M¹nh</t>
  </si>
  <si>
    <t>04.6.2001</t>
  </si>
  <si>
    <t>Ph¹m Thµnh Nam</t>
  </si>
  <si>
    <t>Vò B¶o Ngäc</t>
  </si>
  <si>
    <t>NguyÔn B¸ Ngäc</t>
  </si>
  <si>
    <t>Vò Hoµng Nh©n</t>
  </si>
  <si>
    <t>Bïi V¨n Nhinh</t>
  </si>
  <si>
    <t>NguyÔn C«ng Pho</t>
  </si>
  <si>
    <t>02.12.2002</t>
  </si>
  <si>
    <t>TrÇn M¹nh Qu©n</t>
  </si>
  <si>
    <t>30.12.2003</t>
  </si>
  <si>
    <t>Vò V¨n Qu©n</t>
  </si>
  <si>
    <t>04.6.2003</t>
  </si>
  <si>
    <t>NguyÔn §øc Quý</t>
  </si>
  <si>
    <t>21.9.2001</t>
  </si>
  <si>
    <t>Lª Nam S¬n</t>
  </si>
  <si>
    <t>Qu¸ch C«ng T­êng</t>
  </si>
  <si>
    <t>Bïi QuyÕt Th¾ng</t>
  </si>
  <si>
    <t>NguyÔn §øc Th¾ng</t>
  </si>
  <si>
    <t>T¹ H÷u Th¾ng</t>
  </si>
  <si>
    <t>§ç ViÖt TiÕn</t>
  </si>
  <si>
    <t>T« V¨n TiÕn</t>
  </si>
  <si>
    <t>15.7.2002</t>
  </si>
  <si>
    <t>Phan §¾c Tr­êng</t>
  </si>
  <si>
    <t>12.01.2004</t>
  </si>
  <si>
    <t>NguyÔn Quang Tr­êng</t>
  </si>
  <si>
    <t>21.02.2003</t>
  </si>
  <si>
    <t>Hoµng Träng TriÒu</t>
  </si>
  <si>
    <t>Vò Kh¾c Trung</t>
  </si>
  <si>
    <t>L· M¹nh TuÊn</t>
  </si>
  <si>
    <t>§«ng TriÒu-Qu¶ng Ninh</t>
  </si>
  <si>
    <t>¢n Thi-H­ng Yªn</t>
  </si>
  <si>
    <t>Ban ChÏ-Qu¶ng Ninh</t>
  </si>
  <si>
    <t>§oµn ViÖt Anh</t>
  </si>
  <si>
    <t>TrÇn Lª Anh</t>
  </si>
  <si>
    <t>24.6.2001</t>
  </si>
  <si>
    <t>Vò Minh §øc</t>
  </si>
  <si>
    <t>§Æng V¨n Kh­¬ng</t>
  </si>
  <si>
    <t>28.12.2000</t>
  </si>
  <si>
    <t>Vò §¨ng Kiªn</t>
  </si>
  <si>
    <t>20.11.2000</t>
  </si>
  <si>
    <t>Vò §øc Long</t>
  </si>
  <si>
    <t>18.11.2000</t>
  </si>
  <si>
    <t>TrÇn V¨n Qu¶ng</t>
  </si>
  <si>
    <t>L¹i §øc S¬n</t>
  </si>
  <si>
    <t>25.11.1999</t>
  </si>
  <si>
    <t>NguyÔn V¨n Th¶o</t>
  </si>
  <si>
    <t>T¹ Quang Vò</t>
  </si>
  <si>
    <t>Ph¹m Hoµng Anh</t>
  </si>
  <si>
    <t>02.12.2003</t>
  </si>
  <si>
    <t>Ph¹m §øc Anh</t>
  </si>
  <si>
    <t>TrÇn Minh Anh</t>
  </si>
  <si>
    <t>L­¬ng TiÕn B»ng</t>
  </si>
  <si>
    <t>§ç Ngäc B»ng</t>
  </si>
  <si>
    <t>NguyÔn Kh¾c Thµnh C«ng</t>
  </si>
  <si>
    <t>TrÇn M¹nh C­êng</t>
  </si>
  <si>
    <t>Bïi Quang C­êng</t>
  </si>
  <si>
    <t>14.6.2003</t>
  </si>
  <si>
    <t>L©m Quang D­îc</t>
  </si>
  <si>
    <t>21.01.2004</t>
  </si>
  <si>
    <t>NguyÔn TiÕn Duy</t>
  </si>
  <si>
    <t>§ç Tr­êng Duy</t>
  </si>
  <si>
    <t>11.5.2001</t>
  </si>
  <si>
    <t>Vò M¹nh §øc</t>
  </si>
  <si>
    <t>05.7.1999</t>
  </si>
  <si>
    <t>NguyÔn V¨n H¶i</t>
  </si>
  <si>
    <t>29.3.2002</t>
  </si>
  <si>
    <t>19.5.2003</t>
  </si>
  <si>
    <t>Bïi ViÕt HiÖu</t>
  </si>
  <si>
    <t>TrÇn Vò Thµnh H­ng</t>
  </si>
  <si>
    <t>17.01.2003</t>
  </si>
  <si>
    <t>Kim V¨n Hoµ</t>
  </si>
  <si>
    <t>23.3.2002</t>
  </si>
  <si>
    <t>Mai Ngäc Hoµng</t>
  </si>
  <si>
    <t>30.3.2003</t>
  </si>
  <si>
    <t>§inh Hoµn Hoµng</t>
  </si>
  <si>
    <t>30.5.2000</t>
  </si>
  <si>
    <t>26.12.2002</t>
  </si>
  <si>
    <t>Kim V¨n Kh«i</t>
  </si>
  <si>
    <t>04.10.2002</t>
  </si>
  <si>
    <t>KhiÕu H¶i L©m</t>
  </si>
  <si>
    <t>TrÇn §øc L­u</t>
  </si>
  <si>
    <t>§ç V¨n Minh</t>
  </si>
  <si>
    <t>NguyÔn §øc Phong</t>
  </si>
  <si>
    <t>NguyÔn Hoµng Phong</t>
  </si>
  <si>
    <t>Hoµng Xu©n Quý</t>
  </si>
  <si>
    <t>07.01.2003</t>
  </si>
  <si>
    <t>TrÇn V¨n QuyÕt</t>
  </si>
  <si>
    <t>02.9.1997</t>
  </si>
  <si>
    <t>Bïi Ngäc S¬n</t>
  </si>
  <si>
    <t>Vò Anh S¬n</t>
  </si>
  <si>
    <t>28.01.2004</t>
  </si>
  <si>
    <t>NguyÔn C«ng S¬n</t>
  </si>
  <si>
    <t>02.4.2003</t>
  </si>
  <si>
    <t>§µo Ngäc Th¸i</t>
  </si>
  <si>
    <t>08.7.1997</t>
  </si>
  <si>
    <t>TrÇn V¨n ThÕ</t>
  </si>
  <si>
    <t>TrÇn §øc ThuËn</t>
  </si>
  <si>
    <t>16.8.2003</t>
  </si>
  <si>
    <t>Quy Ph¸t TiÕn</t>
  </si>
  <si>
    <t>TrÇn V¨n Tø</t>
  </si>
  <si>
    <t>NguyÔn Hoµng TuÊn</t>
  </si>
  <si>
    <t>22.3.2003</t>
  </si>
  <si>
    <t>Ph¹m Anh TuÊn</t>
  </si>
  <si>
    <t>14.8.2001</t>
  </si>
  <si>
    <t>Hoµng V¨n Vò</t>
  </si>
  <si>
    <t>11.10.2003</t>
  </si>
  <si>
    <t>Bïi V¨n Vò</t>
  </si>
  <si>
    <t>Tx §«ng TriÒu-Qu¶ng Ninh</t>
  </si>
  <si>
    <t>Vò V¨n Ban</t>
  </si>
  <si>
    <t>30.9.2000</t>
  </si>
  <si>
    <t>Bïi M¹nh C­êng</t>
  </si>
  <si>
    <t>27.3.2003</t>
  </si>
  <si>
    <t>Bïi Xu©n Chinh</t>
  </si>
  <si>
    <t>Bïi V¨n ChiÕn</t>
  </si>
  <si>
    <t>19.7.2003</t>
  </si>
  <si>
    <t>§ç ThÕ D­¬ng</t>
  </si>
  <si>
    <t>NguyÔn Th¸i D­¬ng</t>
  </si>
  <si>
    <t>Bïi Huy Du</t>
  </si>
  <si>
    <t>17.9.2003</t>
  </si>
  <si>
    <t>TrÇn V¨n §¹t</t>
  </si>
  <si>
    <t>13.5.2004</t>
  </si>
  <si>
    <t>Do·n §øc H¶i</t>
  </si>
  <si>
    <t>§µo ViÕt HËu</t>
  </si>
  <si>
    <t>NguyÔn Quang HiÓu</t>
  </si>
  <si>
    <t>07.4.2003</t>
  </si>
  <si>
    <t>§ç V¨n HiÕu</t>
  </si>
  <si>
    <t>09.11.2002</t>
  </si>
  <si>
    <t>NguyÔn Ngäc H­ng</t>
  </si>
  <si>
    <t>Bïi §øc H­ng</t>
  </si>
  <si>
    <t>28.7.2000</t>
  </si>
  <si>
    <t>NguyÔn v¨n Hoµng</t>
  </si>
  <si>
    <t>15.9.2003</t>
  </si>
  <si>
    <t>Hµ Quèc Huy</t>
  </si>
  <si>
    <t>26.10.2003</t>
  </si>
  <si>
    <t>Lª Trung Kiªn</t>
  </si>
  <si>
    <t>08.10.2001</t>
  </si>
  <si>
    <t>Ph¹m Träng Lam</t>
  </si>
  <si>
    <t>NguyÔn Tµi Linh</t>
  </si>
  <si>
    <t>NguyÔn H÷u Long</t>
  </si>
  <si>
    <t>Qu¸ch C«ng LÜnh</t>
  </si>
  <si>
    <t>Vò C«ng M¹nh</t>
  </si>
  <si>
    <t>D­¬ng Quang M¹nh</t>
  </si>
  <si>
    <t>09.8.2003</t>
  </si>
  <si>
    <t>29.7.2003</t>
  </si>
  <si>
    <t>T¹ Quang Minh</t>
  </si>
  <si>
    <t>§Æng Ph­¬ng Nam</t>
  </si>
  <si>
    <t>Ph¹m Ngäc Nam</t>
  </si>
  <si>
    <t>TriÖu Quý Ngäc</t>
  </si>
  <si>
    <t>26.8.2001</t>
  </si>
  <si>
    <t>NguyÔn ThÕ Ph­¬ng</t>
  </si>
  <si>
    <t>02.11.2004</t>
  </si>
  <si>
    <t>Phan Thanh T×nh</t>
  </si>
  <si>
    <t>NguyÔn V¨n TÇn</t>
  </si>
  <si>
    <t>Bïi V¨n Thµnh</t>
  </si>
  <si>
    <t>19.4.2003</t>
  </si>
  <si>
    <t>NguyÔn §×nh Thi</t>
  </si>
  <si>
    <t>30.01.2003</t>
  </si>
  <si>
    <t>Vò V¨n Tho¹i</t>
  </si>
  <si>
    <t>Bïi §¨ng Tr×nh</t>
  </si>
  <si>
    <t>13.3.2001</t>
  </si>
  <si>
    <t>Ph¹m Th¸i Tr­êng</t>
  </si>
  <si>
    <t>L· §¾c Ngäc Tr­êng</t>
  </si>
  <si>
    <t>04.10.2000</t>
  </si>
  <si>
    <t>Hoµng Anh TuÊn</t>
  </si>
  <si>
    <t>15.6.2004</t>
  </si>
  <si>
    <t>TrÇn V¨n Vinh</t>
  </si>
  <si>
    <t>25.4.1999</t>
  </si>
  <si>
    <t>Sïng A C­êng</t>
  </si>
  <si>
    <t>02.01.1999</t>
  </si>
  <si>
    <t>Vò Träng C­êng</t>
  </si>
  <si>
    <t>NguyÔn Quang ChÝnh</t>
  </si>
  <si>
    <t>Hµ TiÕn Dòng</t>
  </si>
  <si>
    <t>14.01.2003</t>
  </si>
  <si>
    <t>Hµ V¨n §iÖp</t>
  </si>
  <si>
    <t>§µo C«ng §oµn</t>
  </si>
  <si>
    <t>10.09.2003</t>
  </si>
  <si>
    <t>Ch×u V¨n Hµ</t>
  </si>
  <si>
    <t>18.9.2001</t>
  </si>
  <si>
    <t>NguyÔn Hång H¶o</t>
  </si>
  <si>
    <t>28.12.2001</t>
  </si>
  <si>
    <t>NgÇn V¨n H¹nh</t>
  </si>
  <si>
    <t>Hµ Hoµng HiÖp</t>
  </si>
  <si>
    <t>Vi Träng HoÌ</t>
  </si>
  <si>
    <t>Bïi Th­îng Huy</t>
  </si>
  <si>
    <t>08.4.2002</t>
  </si>
  <si>
    <t>Hµ NghiÖp Huy</t>
  </si>
  <si>
    <t>27.8.2002</t>
  </si>
  <si>
    <t>T»ng Duy M¹nh</t>
  </si>
  <si>
    <t>21.6.2002</t>
  </si>
  <si>
    <t>NguyÔn Duy M¹nh</t>
  </si>
  <si>
    <t>TrÇn Hoµi Nam</t>
  </si>
  <si>
    <t>Lý §øc Qu©n</t>
  </si>
  <si>
    <t>07.9.2003</t>
  </si>
  <si>
    <t>22.3.1999</t>
  </si>
  <si>
    <t>Hµ Xu©n Thµnh</t>
  </si>
  <si>
    <t>L­¬ng §øc Th¾ng</t>
  </si>
  <si>
    <t>NguyÔn V¨n ThiÖn</t>
  </si>
  <si>
    <t>Lª V¨n TiÖm</t>
  </si>
  <si>
    <t>Lª Quang Vinh</t>
  </si>
  <si>
    <t>TrÇn Quang Vinh</t>
  </si>
  <si>
    <t>TrÇn V¨n ChiÕn</t>
  </si>
  <si>
    <t>Hµ Vò TiÕn Dòng</t>
  </si>
  <si>
    <t>Phïng TiÕn Dòng</t>
  </si>
  <si>
    <t>Xa V¨n Dòng</t>
  </si>
  <si>
    <t>07.11.2000</t>
  </si>
  <si>
    <t>03.5.2003</t>
  </si>
  <si>
    <t>Ph¹m TuÊn §Þnh</t>
  </si>
  <si>
    <t>20.9.2003</t>
  </si>
  <si>
    <t>Vò §øc HËu</t>
  </si>
  <si>
    <t>12.6.2003</t>
  </si>
  <si>
    <t>Hµ ViÖt Hoµng</t>
  </si>
  <si>
    <t>NguyÔn V¨n Huúnh</t>
  </si>
  <si>
    <t>15.8.1999</t>
  </si>
  <si>
    <t>§oµn Träng Khiªm</t>
  </si>
  <si>
    <t>Ph¹m V¨n Lùc</t>
  </si>
  <si>
    <t>17.4.2003</t>
  </si>
  <si>
    <t>Ph¹m §øc Minh</t>
  </si>
  <si>
    <t>§oµn Hoµi Nam</t>
  </si>
  <si>
    <t>30.3.2000</t>
  </si>
  <si>
    <t>Ng« V¨n Phong</t>
  </si>
  <si>
    <t>08.8.2001</t>
  </si>
  <si>
    <t>NguyÔn B¸ Quang</t>
  </si>
  <si>
    <t>17.8.2000</t>
  </si>
  <si>
    <t>Hoµng V¨n Quyªn</t>
  </si>
  <si>
    <t>Phïng Xu©n Sinh</t>
  </si>
  <si>
    <t>Lª Trung T«n</t>
  </si>
  <si>
    <t>Ph¹m §×nh Th¾ng</t>
  </si>
  <si>
    <t>TrÞnh C«ng Th¬i</t>
  </si>
  <si>
    <t>11.7.2001</t>
  </si>
  <si>
    <t>Cao Duy Th¹o</t>
  </si>
  <si>
    <t>NguyÔn V¨n Thao</t>
  </si>
  <si>
    <t>Lª V¨n ThÞnh</t>
  </si>
  <si>
    <t>TrÇn C«ng Trung</t>
  </si>
  <si>
    <t>NguyÔn Thµnh Tuyªn</t>
  </si>
  <si>
    <t>14.01.2004</t>
  </si>
  <si>
    <t>NguyÔn Duy Tuyªn</t>
  </si>
  <si>
    <t>Chu ThÕ Vü</t>
  </si>
  <si>
    <t>08.11.2001</t>
  </si>
  <si>
    <t>Ph¹m Thanh Xu©n</t>
  </si>
  <si>
    <t>30.6.2002</t>
  </si>
  <si>
    <t>Lª ThÕ Anh</t>
  </si>
  <si>
    <t>NguyÔn TÊn B×nh</t>
  </si>
  <si>
    <t>07.4.2002</t>
  </si>
  <si>
    <t>§Æng Minh C­¬ng</t>
  </si>
  <si>
    <t>12.3.2003</t>
  </si>
  <si>
    <t>§µo Quang C­êng</t>
  </si>
  <si>
    <t>19.12.2001</t>
  </si>
  <si>
    <t>NguyÔn H÷u Duy</t>
  </si>
  <si>
    <t>06.10.2003</t>
  </si>
  <si>
    <t>Bïi Xu©n §¹i</t>
  </si>
  <si>
    <t>Hoµng TiÕn §¹t</t>
  </si>
  <si>
    <t>29.11.2003</t>
  </si>
  <si>
    <t>Lª V¨n §¹t</t>
  </si>
  <si>
    <t>Vò V¨n §øc</t>
  </si>
  <si>
    <t>Qu¸ch V¨n H¶i</t>
  </si>
  <si>
    <t>Vò Minh HiÕu</t>
  </si>
  <si>
    <t>TrÇn V¨n Quang</t>
  </si>
  <si>
    <t>01.9.2000</t>
  </si>
  <si>
    <t>Hµ Minh Th¾ng</t>
  </si>
  <si>
    <t>NguyÔn Ngäc TuÊn</t>
  </si>
  <si>
    <t>17.12.2002</t>
  </si>
  <si>
    <t>Quèc Oai-Hµ Néi</t>
  </si>
  <si>
    <t>NguyÔn TrÇn ThÕ Anh</t>
  </si>
  <si>
    <t>§inh Kh¾c C«ng</t>
  </si>
  <si>
    <t>Ph¹m Kh¾c C­¬ng</t>
  </si>
  <si>
    <t>NguyÔn TrÇn M¹nh C­êng</t>
  </si>
  <si>
    <t>05.01.2003</t>
  </si>
  <si>
    <t>TrÇn Quèc C­êng</t>
  </si>
  <si>
    <t>§inh Ngäc ChiÒu</t>
  </si>
  <si>
    <t>§oµn Tïng D­¬ng</t>
  </si>
  <si>
    <t>L­u B×nh D­¬ng</t>
  </si>
  <si>
    <t>27.8.2003</t>
  </si>
  <si>
    <t>Cao V¨n D­¬ng</t>
  </si>
  <si>
    <t>M¹c V¨n Dòng</t>
  </si>
  <si>
    <t>27.01.2001</t>
  </si>
  <si>
    <t>Ph¹m H¶i Du</t>
  </si>
  <si>
    <t>21.12.2003</t>
  </si>
  <si>
    <t>Ng« Thµnh §¹t</t>
  </si>
  <si>
    <t>14.10.2003</t>
  </si>
  <si>
    <t>Lª Minh §øc</t>
  </si>
  <si>
    <t>22.7.2003</t>
  </si>
  <si>
    <t>§Æng Hoµng Giang</t>
  </si>
  <si>
    <t>NguyÔn Minh H¶i</t>
  </si>
  <si>
    <t>NguyÔn Ngäc H­íng</t>
  </si>
  <si>
    <t>§inh ThÕ HiÓn</t>
  </si>
  <si>
    <t>29.5.2001</t>
  </si>
  <si>
    <t>Ph¹m Huy Hoµng</t>
  </si>
  <si>
    <t>Lª Thuû Hoµng</t>
  </si>
  <si>
    <t>TrÇn ViÕt Huy</t>
  </si>
  <si>
    <t>NguyÔn §øc Huy</t>
  </si>
  <si>
    <t>Bïi §øc Huy</t>
  </si>
  <si>
    <t>13.02.2004</t>
  </si>
  <si>
    <t>Tr­¬ng Gia Huy</t>
  </si>
  <si>
    <t>Ph¹m Quang Huy</t>
  </si>
  <si>
    <t>NguyÔn Duy Kh¸nh</t>
  </si>
  <si>
    <t>NguyÔn TuÊn Khoa</t>
  </si>
  <si>
    <t>§µo V¨n Kiªn</t>
  </si>
  <si>
    <t>Hoµng Anh KiÖt</t>
  </si>
  <si>
    <t>28.11.2003</t>
  </si>
  <si>
    <t>Mai B¸ Ký</t>
  </si>
  <si>
    <t>Tr­¬ng Ngäc L©m</t>
  </si>
  <si>
    <t>03.8.2001</t>
  </si>
  <si>
    <t>NguyÔn §øc Linh</t>
  </si>
  <si>
    <t>17.12.2003</t>
  </si>
  <si>
    <t>§inh Kh¾c Lu©n</t>
  </si>
  <si>
    <t>07.8.2000</t>
  </si>
  <si>
    <t>TrÇn C«ng LuËn</t>
  </si>
  <si>
    <t>NguyÔn TuÊn Minh</t>
  </si>
  <si>
    <t>Hµ B×nh Minh</t>
  </si>
  <si>
    <t>Ph¹m V¨n Nam</t>
  </si>
  <si>
    <t>10.10.2004</t>
  </si>
  <si>
    <t>Vò V¨n Nam</t>
  </si>
  <si>
    <t>17.7.2003</t>
  </si>
  <si>
    <t>Bïi V¨n Nguyªn</t>
  </si>
  <si>
    <t>NguyÔn Cao Phóc</t>
  </si>
  <si>
    <t>05.5.1998</t>
  </si>
  <si>
    <t>§µo §×nh Qu©n</t>
  </si>
  <si>
    <t>Bïi Duy Quang</t>
  </si>
  <si>
    <t>Phïn A S¸m</t>
  </si>
  <si>
    <t>20.3.2001</t>
  </si>
  <si>
    <t>Lª Th¸i S¬n</t>
  </si>
  <si>
    <t>30.8.2001</t>
  </si>
  <si>
    <t>Vò V¨n S¬n</t>
  </si>
  <si>
    <t>Vò V¨n Sü</t>
  </si>
  <si>
    <t>§ç V¨n T©n</t>
  </si>
  <si>
    <t>T« M¹nh T­êng</t>
  </si>
  <si>
    <t>Qu¸ch §×nh Th¸i</t>
  </si>
  <si>
    <t>Phïng Anh Th¸i</t>
  </si>
  <si>
    <t>24.12.2003</t>
  </si>
  <si>
    <t>L­¬ng TrÝ Thµnh</t>
  </si>
  <si>
    <t>Vò Minh Thµnh</t>
  </si>
  <si>
    <t>29.7.2004</t>
  </si>
  <si>
    <t>Ph¹m Thµnh Thèng</t>
  </si>
  <si>
    <t>Lª Hång ThuËn</t>
  </si>
  <si>
    <t>§inh V¨n Thuû</t>
  </si>
  <si>
    <t>13.8.2002</t>
  </si>
  <si>
    <t>Hoµng ViÕt Tïng</t>
  </si>
  <si>
    <t>NguyÔn QuyÕt TiÕn</t>
  </si>
  <si>
    <t>TrÇn V¨n TiÕn</t>
  </si>
  <si>
    <t>§ç Träng TiÕn</t>
  </si>
  <si>
    <t>Lª Hoµng Trµ</t>
  </si>
  <si>
    <t>19.11.2003</t>
  </si>
  <si>
    <t>NguyÔn Cao Thiªn Tr­êng</t>
  </si>
  <si>
    <t>03.5.2000</t>
  </si>
  <si>
    <t>NguyÔn V¨n Trung</t>
  </si>
  <si>
    <t>10.6.2002</t>
  </si>
  <si>
    <t>Hoµng M¹nh TuÊn</t>
  </si>
  <si>
    <t>§Æng Anh TuÊn</t>
  </si>
  <si>
    <t>16.02.2002</t>
  </si>
  <si>
    <t>Qu¸ch Anh TuÊn</t>
  </si>
  <si>
    <t>§Æng V¨n TuyÓn</t>
  </si>
  <si>
    <t>NguyÔn C«ng TuyÒn</t>
  </si>
  <si>
    <t>Vò V¨n TuyÒn</t>
  </si>
  <si>
    <t>Ph¹m V¨n TuyÕn</t>
  </si>
  <si>
    <t>Ph¹m Ngäc Vò</t>
  </si>
  <si>
    <t>12.11.2003</t>
  </si>
  <si>
    <t>V¨n L©m-H­ng Yªn</t>
  </si>
  <si>
    <t>Ph¹m TuÊn Anh</t>
  </si>
  <si>
    <t>10.5.2002</t>
  </si>
  <si>
    <t>NguyÔn Thanh H¶i</t>
  </si>
  <si>
    <t>NguyÔn V¨n HiÖp</t>
  </si>
  <si>
    <t>NguyÔn V¨n Th¸i</t>
  </si>
  <si>
    <t>Bïi Xu©n Trung</t>
  </si>
  <si>
    <t>20.11.2003</t>
  </si>
  <si>
    <t>Vò §øc Vinh</t>
  </si>
  <si>
    <t>10.6.2003</t>
  </si>
  <si>
    <t>NguyÔn ThÕ Anh</t>
  </si>
  <si>
    <t>§ç V¨n B»ng</t>
  </si>
  <si>
    <t>Ch×u HiÕu B»ng</t>
  </si>
  <si>
    <t>SÇm ThÕ BiÓn</t>
  </si>
  <si>
    <t>16.4.2001</t>
  </si>
  <si>
    <t>13.5.1999</t>
  </si>
  <si>
    <t>§µo §¨ng Duy</t>
  </si>
  <si>
    <t>11.01.2000</t>
  </si>
  <si>
    <t>§inh Kh¸nh Duy</t>
  </si>
  <si>
    <t>Bïi Thanh Duy</t>
  </si>
  <si>
    <t>24.12.2002</t>
  </si>
  <si>
    <t>D­¬ng V¨n Duy</t>
  </si>
  <si>
    <t>Hoµng Minh §¨ng</t>
  </si>
  <si>
    <t>13.11.1999</t>
  </si>
  <si>
    <t>Ph¹m §øc §«</t>
  </si>
  <si>
    <t>Chu V¨n §«ng</t>
  </si>
  <si>
    <t>ChiÒng Ph¸t §¹t</t>
  </si>
  <si>
    <t>Vò Ngäc §oµn</t>
  </si>
  <si>
    <t>PhÝ V¨n §øc</t>
  </si>
  <si>
    <t>NguyÔn Hoµng H¶i</t>
  </si>
  <si>
    <t>06.01.2003</t>
  </si>
  <si>
    <t>Th©n C«ng Hïng</t>
  </si>
  <si>
    <t>27.10.2001</t>
  </si>
  <si>
    <t>NguyÔn Hoµng HiÖp</t>
  </si>
  <si>
    <t>Vò V¨n H­ng</t>
  </si>
  <si>
    <t>NguyÔn V¨n Huy</t>
  </si>
  <si>
    <t>04.02.2004</t>
  </si>
  <si>
    <t>T»ng V¨n Kh¸nh</t>
  </si>
  <si>
    <t>02.6.2000</t>
  </si>
  <si>
    <t>29.6.2000</t>
  </si>
  <si>
    <t>29.5.2004</t>
  </si>
  <si>
    <t>Ph¹m V¨n Long</t>
  </si>
  <si>
    <t>05.6.2000</t>
  </si>
  <si>
    <t>Bïi Thµnh Nam</t>
  </si>
  <si>
    <t>21.9.2002</t>
  </si>
  <si>
    <t>NguyÔn H¶i Nam</t>
  </si>
  <si>
    <t>14.5.2002</t>
  </si>
  <si>
    <t>ChÝu A Nh×</t>
  </si>
  <si>
    <t>NguyÔn V¨n Nh·</t>
  </si>
  <si>
    <t>D­¬ng §øc Phóc</t>
  </si>
  <si>
    <t>01.3.2003</t>
  </si>
  <si>
    <t>T»ng HiÒn Qu©n</t>
  </si>
  <si>
    <t>26.11.2002</t>
  </si>
  <si>
    <t>Hoµng V¨n Qu©n</t>
  </si>
  <si>
    <t>Lý §øc Qu¶ng</t>
  </si>
  <si>
    <t>TrÇn Minh QuyÕt</t>
  </si>
  <si>
    <t>§ç V¨n QuyÕt</t>
  </si>
  <si>
    <t>21.01.2003</t>
  </si>
  <si>
    <t>T»ng A S¸ng</t>
  </si>
  <si>
    <t>Lû V¨n Sµnh</t>
  </si>
  <si>
    <t>Lª Quý San</t>
  </si>
  <si>
    <t>18.10.1999</t>
  </si>
  <si>
    <t>Vò H¹ Sinh</t>
  </si>
  <si>
    <t>10.4.2001</t>
  </si>
  <si>
    <t>§µo Duy T¸c</t>
  </si>
  <si>
    <t>§µo V¨n T©m</t>
  </si>
  <si>
    <t>§ç §øc Th¨ng</t>
  </si>
  <si>
    <t>NguyÔn ViÖt Thµnh</t>
  </si>
  <si>
    <t>TrÞnh TÊn Thµnh</t>
  </si>
  <si>
    <t>N«ng §øc Th¾ng</t>
  </si>
  <si>
    <t>§ç Phó Th¾ng</t>
  </si>
  <si>
    <t>03.11.2001</t>
  </si>
  <si>
    <t>Tr­¬ng V¨n TiÕn</t>
  </si>
  <si>
    <t>31.7.1999</t>
  </si>
  <si>
    <t>Ph¹m V¨n TiÖp</t>
  </si>
  <si>
    <t>Lª Ngäc Tó</t>
  </si>
  <si>
    <t>21.8.2003</t>
  </si>
  <si>
    <t>N«ng V¨n Tr­êng</t>
  </si>
  <si>
    <t>20.4.2003</t>
  </si>
  <si>
    <t>Vò Quang Tr­êng</t>
  </si>
  <si>
    <t>TrÇn V¨n Tr­êng</t>
  </si>
  <si>
    <t>Lª V¨n Trung</t>
  </si>
  <si>
    <t>Bïi Hoµng Anh TuÊn</t>
  </si>
  <si>
    <t>24.7.2003</t>
  </si>
  <si>
    <t>04.01.1999</t>
  </si>
  <si>
    <t>TrÇn §×nh TuÊn</t>
  </si>
  <si>
    <t>Bïi V¨n TuyÒn</t>
  </si>
  <si>
    <t>07.3.2000</t>
  </si>
  <si>
    <t>NguyÔn Thanh ViÖt</t>
  </si>
  <si>
    <t>07.8.1999</t>
  </si>
  <si>
    <t>§ç V¨n VÜ</t>
  </si>
  <si>
    <t>Bïi V¨n Xu©n</t>
  </si>
  <si>
    <t>Kim §éng-H­ng Yªn</t>
  </si>
  <si>
    <t>T« Quang Anh</t>
  </si>
  <si>
    <t>NguyÔn TiÕn Anh</t>
  </si>
  <si>
    <t>§inh Quèc C­êng</t>
  </si>
  <si>
    <t>20.6.2003</t>
  </si>
  <si>
    <t>Hoµng §×nh Duy</t>
  </si>
  <si>
    <t>29.3.2003</t>
  </si>
  <si>
    <t>TrÞnh Quang §¹t</t>
  </si>
  <si>
    <t>23.6.2004</t>
  </si>
  <si>
    <t>NguyÔn Kiªn §iÖp</t>
  </si>
  <si>
    <t>§Æng V¨n §Ö</t>
  </si>
  <si>
    <t>Bïi §øc Giang</t>
  </si>
  <si>
    <t>Ph¹m Quèc H¶i</t>
  </si>
  <si>
    <t>13.9.2002</t>
  </si>
  <si>
    <t>Ph¹m V¨n Hïng</t>
  </si>
  <si>
    <t>Ph¹m Minh HiÕu</t>
  </si>
  <si>
    <t>L­u V¨n HiÕu</t>
  </si>
  <si>
    <t>Ph¹m §øc H­ng</t>
  </si>
  <si>
    <t>TrÇn VÜnh H­ng</t>
  </si>
  <si>
    <t>23.7.2003</t>
  </si>
  <si>
    <t>Cao Huy Long</t>
  </si>
  <si>
    <t>01.4.2000</t>
  </si>
  <si>
    <t>§ång Duy NhÊt</t>
  </si>
  <si>
    <t>Bïi V¨n Qu©n</t>
  </si>
  <si>
    <t>TrÇn TiÕn Quang</t>
  </si>
  <si>
    <t>Khµ V¨n S¬n</t>
  </si>
  <si>
    <t>11.5.2003</t>
  </si>
  <si>
    <t>Ph¹m Phóc Th¸i</t>
  </si>
  <si>
    <t>§inh Kh¸nh Thµnh</t>
  </si>
  <si>
    <t>Bïi V¨n Trung</t>
  </si>
  <si>
    <t>08.7.2001</t>
  </si>
  <si>
    <t>Ng« B¶o TuÊn</t>
  </si>
  <si>
    <t>TrÇn Quèc TuÊn</t>
  </si>
  <si>
    <t>L· Thµnh V¨n</t>
  </si>
  <si>
    <t>Ph¹m ThÞnh V­îng</t>
  </si>
  <si>
    <t>Hå Sü Anh</t>
  </si>
  <si>
    <t>NguyÔn ThÕ B¶o</t>
  </si>
  <si>
    <t>Bïi V¨n C­êng</t>
  </si>
  <si>
    <t>09.3.2001</t>
  </si>
  <si>
    <t>Bïi Huy Ch­¬ng</t>
  </si>
  <si>
    <t>10.02.2001</t>
  </si>
  <si>
    <t>§Æng V¨n Duy</t>
  </si>
  <si>
    <t>NguyÔn Khoa §iÒm</t>
  </si>
  <si>
    <t>01.4.2003</t>
  </si>
  <si>
    <t>§inh V¨n §oµn</t>
  </si>
  <si>
    <t>§oµn Trung §øc</t>
  </si>
  <si>
    <t>06.5.2003</t>
  </si>
  <si>
    <t>TrÇn M¹nh §øc</t>
  </si>
  <si>
    <t>NguyÔn V¨n HiÓn</t>
  </si>
  <si>
    <t>V­¬ng V¨n H­ng</t>
  </si>
  <si>
    <t>Ph¹m V¨n Hoµ</t>
  </si>
  <si>
    <t>11.9.2003</t>
  </si>
  <si>
    <t>Vò ThÕ Hoµng</t>
  </si>
  <si>
    <t>29.01.2004</t>
  </si>
  <si>
    <t>Lª Quang Huy</t>
  </si>
  <si>
    <t>Lª §øc Kiªn</t>
  </si>
  <si>
    <t>19.11.2000</t>
  </si>
  <si>
    <t>§inh V¨n MiÒn</t>
  </si>
  <si>
    <t>26.3.1999</t>
  </si>
  <si>
    <t>T¹ §øc Ngäc</t>
  </si>
  <si>
    <t>Qu¸ch §×nh Phóc</t>
  </si>
  <si>
    <t>15.6.2003</t>
  </si>
  <si>
    <t>23.9.2003</t>
  </si>
  <si>
    <t>Lª Anh Quèc</t>
  </si>
  <si>
    <t>26.9.2004</t>
  </si>
  <si>
    <t>23.12.2000</t>
  </si>
  <si>
    <t>Vò §øc T©m</t>
  </si>
  <si>
    <t>TrÞnh V¨n Thµnh</t>
  </si>
  <si>
    <t>NguyÔn §×nh Th¾ng</t>
  </si>
  <si>
    <t>Vò V¨n Th¨ng</t>
  </si>
  <si>
    <t>Bïi YÕn Thanh</t>
  </si>
  <si>
    <t>12.7.1998</t>
  </si>
  <si>
    <t>Bïi Huy Thoa</t>
  </si>
  <si>
    <t>TrÞnh V¨n ThuËn</t>
  </si>
  <si>
    <t>Nh÷ M¹nh TiÕn</t>
  </si>
  <si>
    <t>L­êng Hoµng TiÖp</t>
  </si>
  <si>
    <t>§Æng TiÕn Trung</t>
  </si>
  <si>
    <t>§inh Huy V¨n</t>
  </si>
  <si>
    <t>Tp Tam §iÖp-Ninh B×nh</t>
  </si>
  <si>
    <t>Tø Kú-H¶i D­¬ng</t>
  </si>
  <si>
    <t>Phï Cõ-H­ng Yªn</t>
  </si>
  <si>
    <t xml:space="preserve">Ph¸o r·nh xo¾n </t>
  </si>
  <si>
    <t>v</t>
  </si>
  <si>
    <t>§ång §øc Minh Phông</t>
  </si>
  <si>
    <r>
      <t xml:space="preserve">Lý V¨n </t>
    </r>
    <r>
      <rPr>
        <sz val="11"/>
        <rFont val=".VnArial NarrowH"/>
        <family val="2"/>
      </rPr>
      <t>¶</t>
    </r>
    <r>
      <rPr>
        <sz val="11"/>
        <rFont val=".VnArial Narrow"/>
        <family val="2"/>
      </rPr>
      <t>nh</t>
    </r>
  </si>
  <si>
    <t>Bïi Träng Minh Qu©n</t>
  </si>
  <si>
    <t xml:space="preserve">KiÓm tra KHXHNv phÇn 1  </t>
  </si>
  <si>
    <t xml:space="preserve">KiÓm tra KHXHNv phÇn  2 </t>
  </si>
  <si>
    <t xml:space="preserve">HiÓu biÕt chung, §Þa h×nh </t>
  </si>
  <si>
    <t>NguyÔn Thµnh §¹t</t>
  </si>
  <si>
    <t>Lª Ch©n-H¶i Phßng 30/7 tr¶</t>
  </si>
  <si>
    <t xml:space="preserve">Lª Ch©n-H¶i Phßng </t>
  </si>
  <si>
    <r>
      <t xml:space="preserve">Mai Ngäc </t>
    </r>
    <r>
      <rPr>
        <sz val="11"/>
        <rFont val=".VnArial NarrowH"/>
        <family val="2"/>
      </rPr>
      <t>¸</t>
    </r>
    <r>
      <rPr>
        <sz val="11"/>
        <rFont val=".VnArial Narrow"/>
        <family val="2"/>
      </rPr>
      <t>nh</t>
    </r>
  </si>
  <si>
    <r>
      <t xml:space="preserve">§µo Ngäc </t>
    </r>
    <r>
      <rPr>
        <sz val="11"/>
        <rFont val=".VnArial NarrowH"/>
        <family val="2"/>
      </rPr>
      <t>¸</t>
    </r>
    <r>
      <rPr>
        <sz val="11"/>
        <rFont val=".VnArial Narrow"/>
        <family val="2"/>
      </rPr>
      <t>nh</t>
    </r>
  </si>
  <si>
    <t>C. thuËt a§L chi viÖn bBBTC, PN</t>
  </si>
  <si>
    <r>
      <t xml:space="preserve">Kim </t>
    </r>
    <r>
      <rPr>
        <sz val="11"/>
        <rFont val=".VnArial NarrowH"/>
        <family val="2"/>
      </rPr>
      <t>b</t>
    </r>
    <r>
      <rPr>
        <sz val="11"/>
        <rFont val=".VnArial Narrow"/>
        <family val="2"/>
      </rPr>
      <t>¶ng-Hµ Nam</t>
    </r>
  </si>
  <si>
    <t>Lª Xu©n §øc</t>
  </si>
  <si>
    <r>
      <t xml:space="preserve">Mai </t>
    </r>
    <r>
      <rPr>
        <sz val="11"/>
        <rFont val=".VnArial NarrowH"/>
        <family val="2"/>
      </rPr>
      <t>¸</t>
    </r>
    <r>
      <rPr>
        <sz val="11"/>
        <rFont val=".VnArial Narrow"/>
        <family val="2"/>
      </rPr>
      <t>nh D­¬ng</t>
    </r>
  </si>
  <si>
    <t>Kü thuËt kh¾c phôc vËt c¶n</t>
  </si>
  <si>
    <t>§Þa h×nh ®¾p sa bµn Trinh s¸t</t>
  </si>
  <si>
    <t>Kt nh÷ng V§ chung TTVT§</t>
  </si>
  <si>
    <t>C. thuËt a§L chi viÖn cBBTC, PN</t>
  </si>
  <si>
    <t>KÕt qu¶ kiÓm tra th­êng xuyªn = 13</t>
  </si>
  <si>
    <t>C. thuËt co60 chi viÖn bBB TC, PN</t>
  </si>
  <si>
    <t>C. thuËt co60 chi viÖn cBB TC, PN</t>
  </si>
  <si>
    <t>KÕt qu¶ kiÓm tra th­êng xuyªn =13</t>
  </si>
  <si>
    <t>C¸c líp ®µo t¹o tiÓu (khÈu) ®éi tr­ëng bé binh 3 th¸ng  n¨m 2022</t>
  </si>
  <si>
    <t>c4</t>
  </si>
  <si>
    <t>c5</t>
  </si>
  <si>
    <t>c6</t>
  </si>
  <si>
    <t>at T.S¸t B§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</si>
  <si>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</si>
  <si>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</si>
  <si>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</si>
  <si>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</si>
  <si>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</si>
  <si>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</si>
  <si>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</si>
  <si>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</si>
  <si>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</si>
  <si>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</si>
  <si>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</si>
  <si>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</si>
  <si>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</si>
  <si>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</si>
  <si>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</si>
  <si>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</si>
  <si>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</si>
  <si>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</si>
  <si>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</si>
  <si>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</si>
  <si>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</si>
  <si>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</si>
  <si>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</si>
  <si>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</si>
  <si>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</si>
  <si>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</si>
  <si>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</si>
  <si>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</si>
  <si>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</si>
  <si>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</si>
  <si>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</si>
  <si>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</si>
  <si>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 xml:space="preserve"> 23.3.2003</t>
  </si>
  <si>
    <t>§ç ViÖt Hoµng</t>
  </si>
  <si>
    <t>13.5.2002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</si>
  <si>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</si>
  <si>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</si>
  <si>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</si>
  <si>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</si>
  <si>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</si>
  <si>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</si>
  <si>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</si>
  <si>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</si>
  <si>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</si>
  <si>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</si>
  <si>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</si>
  <si>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</si>
  <si>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</si>
  <si>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</si>
  <si>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</si>
  <si>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</si>
  <si>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</si>
  <si>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</si>
  <si>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</si>
  <si>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</si>
  <si>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</si>
  <si>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</si>
  <si>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</si>
  <si>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</si>
  <si>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</si>
  <si>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</si>
  <si>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</si>
  <si>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</si>
  <si>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</si>
  <si>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</si>
  <si>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</si>
  <si>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</si>
  <si>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</si>
  <si>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 xml:space="preserve"> 24.10.2003</t>
  </si>
  <si>
    <t xml:space="preserve"> 15.4.2003</t>
  </si>
  <si>
    <t xml:space="preserve"> 09.01.2004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</si>
  <si>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</si>
  <si>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</si>
  <si>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</si>
  <si>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</si>
  <si>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</si>
  <si>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</si>
  <si>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</si>
  <si>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</si>
  <si>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</si>
  <si>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</si>
  <si>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</si>
  <si>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</si>
  <si>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</si>
  <si>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</si>
  <si>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</si>
  <si>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</si>
  <si>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</si>
  <si>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</si>
  <si>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</si>
  <si>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</si>
  <si>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</si>
  <si>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</si>
  <si>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</si>
  <si>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</si>
  <si>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</si>
  <si>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</si>
  <si>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</si>
  <si>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</si>
  <si>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</si>
  <si>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</si>
  <si>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</si>
  <si>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</si>
  <si>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 xml:space="preserve"> 06.8.2004</t>
  </si>
  <si>
    <t>Tiªn L·ng-H¶I Phßng</t>
  </si>
  <si>
    <t xml:space="preserve"> 31.5.2004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</si>
  <si>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</si>
  <si>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</si>
  <si>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</si>
  <si>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</si>
  <si>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</si>
  <si>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</si>
  <si>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</si>
  <si>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</si>
  <si>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</si>
  <si>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</si>
  <si>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</si>
  <si>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</si>
  <si>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</si>
  <si>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</si>
  <si>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</si>
  <si>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</si>
  <si>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</si>
  <si>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</si>
  <si>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</si>
  <si>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</si>
  <si>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</si>
  <si>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</si>
  <si>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</si>
  <si>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</si>
  <si>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</si>
  <si>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</si>
  <si>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</si>
  <si>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</si>
  <si>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</si>
  <si>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</si>
  <si>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</si>
  <si>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</si>
  <si>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</si>
  <si>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 xml:space="preserve"> 03.4.2004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</si>
  <si>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</si>
  <si>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</si>
  <si>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</si>
  <si>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</si>
  <si>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</si>
  <si>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</si>
  <si>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</si>
  <si>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</si>
  <si>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</si>
  <si>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</si>
  <si>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</si>
  <si>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</si>
  <si>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</si>
  <si>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</si>
  <si>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</si>
  <si>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</si>
  <si>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</si>
  <si>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</si>
  <si>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</si>
  <si>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</si>
  <si>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</si>
  <si>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</si>
  <si>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</si>
  <si>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</si>
  <si>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</si>
  <si>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</si>
  <si>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 xml:space="preserve"> 24.10.2002</t>
  </si>
  <si>
    <t xml:space="preserve"> 20.6.2003</t>
  </si>
  <si>
    <t xml:space="preserve"> 09.2.2003</t>
  </si>
  <si>
    <t xml:space="preserve"> 22.4.2003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</si>
  <si>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</si>
  <si>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</si>
  <si>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</si>
  <si>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</si>
  <si>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</si>
  <si>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</si>
  <si>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</si>
  <si>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</si>
  <si>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</si>
  <si>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</si>
  <si>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</si>
  <si>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</si>
  <si>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</si>
  <si>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</si>
  <si>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</si>
  <si>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</si>
  <si>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</si>
  <si>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</si>
  <si>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</si>
  <si>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</si>
  <si>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</si>
  <si>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</si>
  <si>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</si>
  <si>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</si>
  <si>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</si>
  <si>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</si>
  <si>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</si>
  <si>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</si>
  <si>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</si>
  <si>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</si>
  <si>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</si>
  <si>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</si>
  <si>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</si>
  <si>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</si>
  <si>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</si>
  <si>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</si>
  <si>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</si>
  <si>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</si>
  <si>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</si>
  <si>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</si>
  <si>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</si>
  <si>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</si>
  <si>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</si>
  <si>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</si>
  <si>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</si>
  <si>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</si>
  <si>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</si>
  <si>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 xml:space="preserve"> 04.9.2001</t>
  </si>
  <si>
    <t xml:space="preserve"> 22.02.2004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</si>
  <si>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</si>
  <si>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</si>
  <si>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</si>
  <si>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</si>
  <si>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</si>
  <si>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</si>
  <si>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</si>
  <si>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</si>
  <si>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</si>
  <si>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</si>
  <si>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</si>
  <si>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</si>
  <si>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</si>
  <si>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</si>
  <si>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</si>
  <si>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</si>
  <si>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</si>
  <si>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</si>
  <si>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</si>
  <si>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</si>
  <si>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</si>
  <si>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</si>
  <si>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</si>
  <si>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</si>
  <si>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</si>
  <si>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</si>
  <si>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</si>
  <si>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</si>
  <si>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</si>
  <si>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</si>
  <si>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</si>
  <si>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</si>
  <si>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</si>
  <si>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</si>
  <si>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</si>
  <si>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</si>
  <si>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</si>
  <si>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</si>
  <si>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</si>
  <si>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</si>
  <si>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</si>
  <si>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</si>
  <si>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</si>
  <si>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</si>
  <si>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</si>
  <si>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</si>
  <si>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</si>
  <si>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 xml:space="preserve"> 03.4.2003</t>
  </si>
  <si>
    <t xml:space="preserve"> 05.3.2003</t>
  </si>
  <si>
    <t xml:space="preserve">Quy t¾c liªn l¹c VT§ </t>
  </si>
  <si>
    <t>Thi Thao t¸c</t>
  </si>
  <si>
    <t>KÕt qu¶ häc tËp toµn kho¸ =9</t>
  </si>
  <si>
    <t>Thùc hµnh chÕ biÕn giÕt mæ</t>
  </si>
  <si>
    <t>Thi hÕt m«n chuyªn ngµnh</t>
  </si>
  <si>
    <t>KÕt qu¶ kiÓm tra th­êng xuyªn =15</t>
  </si>
  <si>
    <t>TB</t>
  </si>
  <si>
    <t>Khãa 32 - §µo t¹o Nh©n viªn B¸o vô n¨m 2023</t>
  </si>
  <si>
    <t>Nguyễn Anh Quân</t>
  </si>
  <si>
    <t>Tứ Kỳ-Hải Dương</t>
  </si>
  <si>
    <t>c8A/d4</t>
  </si>
  <si>
    <t>c7</t>
  </si>
  <si>
    <t>c8</t>
  </si>
  <si>
    <t>Điều dưỡng cơ bản</t>
  </si>
  <si>
    <t>Hậu cần, kỹ thuật</t>
  </si>
  <si>
    <t>Thực tập bệnh viện</t>
  </si>
  <si>
    <t>§¬n vÞ: 5/5/d3  - §µo t¹o Nh©n viªn qu©n y ®¹i ®éi-khãa 2</t>
  </si>
  <si>
    <r>
      <t xml:space="preserve">Kết quả kiểm tra = </t>
    </r>
    <r>
      <rPr>
        <b/>
        <sz val="12"/>
        <color indexed="8"/>
        <rFont val="Times New Roman"/>
        <family val="1"/>
      </rPr>
      <t>16</t>
    </r>
  </si>
  <si>
    <t>Vật cản HLTL+Bơi</t>
  </si>
  <si>
    <t>Điều lệnh</t>
  </si>
  <si>
    <t>Giải phẫu sinh lý</t>
  </si>
  <si>
    <t>Bắn AK-2 ngày</t>
  </si>
  <si>
    <t>Thuốc thường dùng</t>
  </si>
  <si>
    <t>Bệnh nội khoa</t>
  </si>
  <si>
    <t>5 kỹ thuật cấp cứu</t>
  </si>
  <si>
    <t>Vệ sinh phòng dịch</t>
  </si>
  <si>
    <t>Bệnh ngoại khoa</t>
  </si>
  <si>
    <t>Tổ chức chiến thuật quân y</t>
  </si>
  <si>
    <t>KHXH&amp;NV phần 2</t>
  </si>
  <si>
    <t>KHXH&amp;NV phần 1</t>
  </si>
  <si>
    <t>Y học cổ truyền</t>
  </si>
  <si>
    <t>Trung bình cộng</t>
  </si>
  <si>
    <t>Phân loại rèn luyện</t>
  </si>
  <si>
    <t>Kiến thức cơ sở</t>
  </si>
  <si>
    <t xml:space="preserve">Vật cản HLTL </t>
  </si>
  <si>
    <t>Địa hình quân sự</t>
  </si>
  <si>
    <t>Quy định, quy tắc an toàn kho đạn dược</t>
  </si>
  <si>
    <t xml:space="preserve">Kiểm tra KHXHNV phần 1 </t>
  </si>
  <si>
    <t>Bắn AK-2 ban ngày</t>
  </si>
  <si>
    <t xml:space="preserve">Hiểu biết chung về đạn dược </t>
  </si>
  <si>
    <t>Thực tập</t>
  </si>
  <si>
    <t xml:space="preserve">Kiểm tra KHXHNV phần 2 </t>
  </si>
  <si>
    <t>Số vào sổ</t>
  </si>
  <si>
    <t>Họ và tên</t>
  </si>
  <si>
    <t>Ngày tháng năm sinh</t>
  </si>
  <si>
    <t>Quê quán</t>
  </si>
  <si>
    <t>Kết quả kiểm tra thường xuyên =13</t>
  </si>
  <si>
    <t>Kết quả kiểm tra thường xuyên =12</t>
  </si>
  <si>
    <t>Địa hình đắp sa bàn Trinh sát</t>
  </si>
  <si>
    <t>Chiến thuật tổ Trinh sát</t>
  </si>
  <si>
    <t>Kỹ thuật đánh bắt địch (võ)</t>
  </si>
  <si>
    <t>Kỹ thuật khắc phục vật cản</t>
  </si>
  <si>
    <t>Vật cản HLTL + Bơi</t>
  </si>
  <si>
    <t>Kỹ thuật T. sát bí mật v. động</t>
  </si>
  <si>
    <t>Bắn Ak-2 ngày</t>
  </si>
  <si>
    <t>Bắn AK-2d ngày ,TSát</t>
  </si>
  <si>
    <t>Bắn AK-3d đêm,TSát</t>
  </si>
  <si>
    <t>Kết quả kiểm tra thường xuyên = 13</t>
  </si>
  <si>
    <t>Kiến thức cơ sở Đại liên</t>
  </si>
  <si>
    <t xml:space="preserve">Bắn Đại liên-3 đêm </t>
  </si>
  <si>
    <t xml:space="preserve">Bắn Đại liên-1 ngày </t>
  </si>
  <si>
    <t xml:space="preserve">Bắn Đại liên-3 ngày </t>
  </si>
  <si>
    <t>Bắn M treo tại chỗ B1 KĐ Đại liên</t>
  </si>
  <si>
    <t>C. thuật aĐL chi viện bBBTC, PN</t>
  </si>
  <si>
    <t>C. thuật aĐL chi viện cBBTC, PN</t>
  </si>
  <si>
    <t>PP duy trì luyện tập bắn ĐL</t>
  </si>
  <si>
    <t>Kiểm tra KHXHNV phần 2</t>
  </si>
  <si>
    <t>Kiến thức cơ sở CN cO 60 mm</t>
  </si>
  <si>
    <t>Bắn co 60-1</t>
  </si>
  <si>
    <t>B2: Bắn Too chuẩn bị gấp b. đêm</t>
  </si>
  <si>
    <t>B3: Bắn gián tiếp b. ngày</t>
  </si>
  <si>
    <t>PP duy trì luyện tập bắn cO60</t>
  </si>
  <si>
    <t>Bài: Bắn ứng dụng đạn h. luyện</t>
  </si>
  <si>
    <t>C. thuật co60 chi viện bBB TC, PN</t>
  </si>
  <si>
    <t>C. thuật co60 chi viện cBB TC, PN</t>
  </si>
  <si>
    <t>Kiến thức  cơ sở TTVTĐ</t>
  </si>
  <si>
    <t>Thi Điện đài VTĐ Scn</t>
  </si>
  <si>
    <t>Điện đài VTĐ ScnVRU 812; 812/S</t>
  </si>
  <si>
    <t xml:space="preserve">Điều lệnh </t>
  </si>
  <si>
    <t>Kt những VĐ chung TTVTĐ</t>
  </si>
  <si>
    <t>Chiến thuật CN</t>
  </si>
  <si>
    <t>Kiểm tra  KHXHNV phần 2</t>
  </si>
  <si>
    <t>Ngiệp vụ thông tin VTĐ</t>
  </si>
  <si>
    <t>Kết quả học tập toàn khoá =9</t>
  </si>
  <si>
    <t>Kiến thức  cơ sở TT HTĐ</t>
  </si>
  <si>
    <t>Kiến thức  C. ngành thiết bị TT HTĐ</t>
  </si>
  <si>
    <t>Nghiệp vụ  TT HTĐ</t>
  </si>
  <si>
    <t xml:space="preserve">Kiểm tra KHXHNv phần 1  </t>
  </si>
  <si>
    <t>Chiến thuật CN TT HTĐ</t>
  </si>
  <si>
    <t xml:space="preserve">Kiểm tra KHXHNv phần  2 </t>
  </si>
  <si>
    <t>Kỹ thuật chuyên nghành</t>
  </si>
  <si>
    <t>Thu báo đề mục 1</t>
  </si>
  <si>
    <t>Phát báo đề mục 1</t>
  </si>
  <si>
    <t>Thu báo đề mục 2</t>
  </si>
  <si>
    <t>Phát báo đề mục 2</t>
  </si>
  <si>
    <t>Thu báo Đề mục 3</t>
  </si>
  <si>
    <t>Phát báo Đề mục 3</t>
  </si>
  <si>
    <t>Thu báo Đề mục 4</t>
  </si>
  <si>
    <t>Phát báo Đề mục 4</t>
  </si>
  <si>
    <t>Vượt vật cản trong HL thể lực</t>
  </si>
  <si>
    <t>Liên lạc cự ly gần</t>
  </si>
  <si>
    <t>Phát báo đề mục 5</t>
  </si>
  <si>
    <t>Thu báo đề mục 5</t>
  </si>
  <si>
    <t>Thông báo Giảng đường</t>
  </si>
  <si>
    <t>Liên lạc cự ly xa</t>
  </si>
  <si>
    <t xml:space="preserve">Hiểu biết chung, Địa hình </t>
  </si>
  <si>
    <t>Đo đạc chuyên ngành</t>
  </si>
  <si>
    <t>Kiểm tra bắn thử, sửa bắn pháo</t>
  </si>
  <si>
    <t xml:space="preserve">Chuẩn bị phần tử Bắn </t>
  </si>
  <si>
    <t>Thi hết môn chuyên ngành</t>
  </si>
  <si>
    <t>Chiến thuật CN Tiểu đội</t>
  </si>
  <si>
    <t>Đạn pháo</t>
  </si>
  <si>
    <t>CT C. bị pháo hành quân, CĐ</t>
  </si>
  <si>
    <t>Thi kỹ thuật CN</t>
  </si>
  <si>
    <t>Binh khí</t>
  </si>
  <si>
    <t>Thao tác Động tác pháo thủ</t>
  </si>
  <si>
    <t>Thao tác bắn,N bắn trực tiếp M</t>
  </si>
  <si>
    <t>Chiến thuật CN khẩu đội</t>
  </si>
  <si>
    <t>Chiến thuật CN trung đội</t>
  </si>
  <si>
    <t>Kết quả kiểm tra thường xuyên =11</t>
  </si>
  <si>
    <t xml:space="preserve">Thao tác </t>
  </si>
  <si>
    <t>Bắn pháo b 1: M cố đinh b. ngày</t>
  </si>
  <si>
    <t>Thi ND bắn pháo</t>
  </si>
  <si>
    <t>Bắn pháo B 1: M cố đinh b. ngày</t>
  </si>
  <si>
    <t>Kết quả kiểm tra thường xuyên =10</t>
  </si>
  <si>
    <t>Xạ kích</t>
  </si>
  <si>
    <t>Thao tác chiến đấu</t>
  </si>
  <si>
    <t xml:space="preserve">Lý luận Xạ kích </t>
  </si>
  <si>
    <t>Bắn bài 3a SMPK 12,7</t>
  </si>
  <si>
    <t>Phá nổ</t>
  </si>
  <si>
    <t>Xe máy công trình</t>
  </si>
  <si>
    <t>Kỹ thuật vật cản</t>
  </si>
  <si>
    <t>Cầu quân sự</t>
  </si>
  <si>
    <t>KT Công sự</t>
  </si>
  <si>
    <t>Đường quân sự</t>
  </si>
  <si>
    <t>Nguỵ trang, cung cấp nước</t>
  </si>
  <si>
    <t>Kết quả kiểm tra thường xuyên =15</t>
  </si>
  <si>
    <t>Binh khí súng BB</t>
  </si>
  <si>
    <t>Binh khí cối, pháo mặt đất, PPK</t>
  </si>
  <si>
    <t>Khí tài quang học</t>
  </si>
  <si>
    <t>Kiểm tra, phân cấp, bảo dưỡng VKKT</t>
  </si>
  <si>
    <t>B. quản, x. dỡ,v. chuyển, niêm cất tại kho</t>
  </si>
  <si>
    <t>C. tác b. quản,.b. dưỡng p. cấp,niêm cất đạn</t>
  </si>
  <si>
    <t>Kỹ thuật pháo rãnh xoắn</t>
  </si>
  <si>
    <t>Quy Lu</t>
  </si>
  <si>
    <t>Kiến thức cơ sở thi</t>
  </si>
  <si>
    <t xml:space="preserve">Máy thu phát đa băng tần VRP-712/S  </t>
  </si>
  <si>
    <t>A LUAN KHQS</t>
  </si>
  <si>
    <t>Giới thiệu binh khí súng BB, BC</t>
  </si>
  <si>
    <t>Tuấn KH</t>
  </si>
  <si>
    <t>Thao tác bắn bài 3a</t>
  </si>
  <si>
    <t>Hậu cần, Kỹ thuật</t>
  </si>
  <si>
    <t>Thao tác,N bắn trận địa che khuất</t>
  </si>
  <si>
    <t>Kết quả học tập toàn khoá =16</t>
  </si>
  <si>
    <t>Đc Huy PHT</t>
  </si>
  <si>
    <t>Cách nhận biết một số loại đạn</t>
  </si>
  <si>
    <t>Chiến thuật CN Trung đội</t>
  </si>
  <si>
    <t>Kết quả học tập toàn khoá =19</t>
  </si>
  <si>
    <t>Thi kỹ thuật bắn</t>
  </si>
  <si>
    <t>Thi Chiến thuật</t>
  </si>
  <si>
    <t>Kết quả kiểm tra thường xuyên =9</t>
  </si>
  <si>
    <t>KẾT QUẢ KIỂM TRA THƯỜNG XUYÊN</t>
  </si>
  <si>
    <t>10.10.2006</t>
  </si>
  <si>
    <t>Vụ Bản, Nam Định</t>
  </si>
  <si>
    <t>Tp Uông Bí, Quảng Ninh</t>
  </si>
  <si>
    <t>Kiến An, Hải Phòng</t>
  </si>
  <si>
    <t>Nho Quan, Ninh Bình</t>
  </si>
  <si>
    <t>23.8.2006</t>
  </si>
  <si>
    <t>25.10.2006</t>
  </si>
  <si>
    <t>Ngô Quang Cường</t>
  </si>
  <si>
    <t>Nguyễn Văn Duy</t>
  </si>
  <si>
    <t>Trần Quang Luyện</t>
  </si>
  <si>
    <t>Đặng Ngọc Thức</t>
  </si>
  <si>
    <t>Trần Thanh Tùng</t>
  </si>
  <si>
    <t>24.10.2004</t>
  </si>
  <si>
    <t>27.9.2004</t>
  </si>
  <si>
    <t>Cô Tô, Quảng Ninh</t>
  </si>
  <si>
    <t xml:space="preserve">M. thu, phát VRH- 811/A; 811/S, 911... </t>
  </si>
  <si>
    <t>Trả về 25/7/2025</t>
  </si>
  <si>
    <t>Kiểm tra Chiến thuật T. công</t>
  </si>
  <si>
    <t>Thao tác Lượng sửa riêng KĐ</t>
  </si>
  <si>
    <t>4;34;16</t>
  </si>
  <si>
    <t>1;6;1</t>
  </si>
  <si>
    <t>0;16;4</t>
  </si>
  <si>
    <t>2; 41;11</t>
  </si>
  <si>
    <t>Công tác chiến đấu</t>
  </si>
  <si>
    <t>Bắn pháo (đạn thật)</t>
  </si>
  <si>
    <t>2,40,2</t>
  </si>
  <si>
    <t>5.48.16</t>
  </si>
  <si>
    <t>2.19.3</t>
  </si>
  <si>
    <t>4,60,1</t>
  </si>
  <si>
    <t>Kết quả kiểm tra thường xuyên =14</t>
  </si>
  <si>
    <t>STT</t>
  </si>
  <si>
    <t>KẾT QUẢ TỔNG HỢP XẾT ĐIỀU KIỆN DỰ THI TỐT NGHIỆP NĂM 2025</t>
  </si>
  <si>
    <t>Các lớp ®Đào tạo tiểu(khẩu) đội trưởng bộ binh, binh chủng, nhân viên chuyên môn  năm 2025</t>
  </si>
  <si>
    <t>Quân số</t>
  </si>
  <si>
    <t>đủ diều kiện</t>
  </si>
  <si>
    <t xml:space="preserve"> dự thi</t>
  </si>
  <si>
    <t>Kết quả rèn luyện</t>
  </si>
  <si>
    <t>Tốt</t>
  </si>
  <si>
    <t>Khá</t>
  </si>
  <si>
    <t>Trung bình</t>
  </si>
  <si>
    <t>Yếu</t>
  </si>
  <si>
    <t>Kết quả phân loại học lực</t>
  </si>
  <si>
    <t>Giỏi</t>
  </si>
  <si>
    <t>Tỉ lệ</t>
  </si>
  <si>
    <t>Khoá</t>
  </si>
  <si>
    <t>Đầu</t>
  </si>
  <si>
    <t>vào</t>
  </si>
  <si>
    <t>tại</t>
  </si>
  <si>
    <t>Hiện</t>
  </si>
  <si>
    <t>Đơn vị</t>
  </si>
  <si>
    <t>NVQY đại đội</t>
  </si>
  <si>
    <t>at T.Sát BB</t>
  </si>
  <si>
    <t>at Đại liên</t>
  </si>
  <si>
    <t>at  Cối 60mm</t>
  </si>
  <si>
    <t>at VTĐ thoại</t>
  </si>
  <si>
    <t>5, 78, 30</t>
  </si>
  <si>
    <t>7, 93, 13</t>
  </si>
  <si>
    <t xml:space="preserve">                                                 Khai giảng: 18/6/2026  Bế giảng : 18/10/2026</t>
  </si>
  <si>
    <t>Đơn vị: 3/d2 - Đào tạo Tiểu đội trưởng HTĐ thoại -  Khoá 43</t>
  </si>
  <si>
    <t>Đơn vị: 2/d2 - Đào tạo Tiểu đội trưởng VTĐ thoại -  Khoá 45</t>
  </si>
  <si>
    <t>Đơn vị: 1,2/4/d3  - Đào tạo Nhân viên Quân Y Đại đội. Khoá 4</t>
  </si>
  <si>
    <t>Khai giảng: 18/6/2026        Bế giảng : 18/12/2026</t>
  </si>
  <si>
    <t>Kết quả kiểm tra = 16</t>
  </si>
  <si>
    <t>Đơn vị: 3,4/5/d3  - Đào tạo Nhân viên Quân Y Đại đội. Khoá 4</t>
  </si>
  <si>
    <t>Khai giảng: 18/6/2026       Bế giảng : 18/12/2026</t>
  </si>
  <si>
    <t xml:space="preserve"> Đơn vị: 6/d3 - Đào tạo Khẩu đội tưởng Đại liên - Khoá 45</t>
  </si>
  <si>
    <t xml:space="preserve">                                                 Khai giảng: 18/6/2026    Bế gỉang : 18/9/2026</t>
  </si>
  <si>
    <t xml:space="preserve"> Đơn vị: 6/d3 - Đào tạo Khẩu đội trưởng Cối 60mm - Khoá 45</t>
  </si>
  <si>
    <t xml:space="preserve">                                                 Khai giảng: 18/6/2026         Bế giảng : 18/9/2026</t>
  </si>
  <si>
    <t>Đơn vị: 7/d3 - Đào tạo Nhân viên Bảo quản Vũ khí- Khoá 03</t>
  </si>
  <si>
    <t xml:space="preserve">                                                 Khai giảng: 18/6/2026       Bế giảng : 18/11/2026</t>
  </si>
  <si>
    <t>Đơn vị: 7/d3 - Đào tạo Nhân viên bảo quản Đạn- Khoá 03</t>
  </si>
  <si>
    <t xml:space="preserve">                                                 Khai giảng: 18/6/2026        Bế giảng : 18/11/2026</t>
  </si>
  <si>
    <t>Đơn vị: 8A/d4 - Đào tạo Nhân viên Báo vụ -  Khoá 35</t>
  </si>
  <si>
    <t xml:space="preserve">                          Khai giảng: 18/6/2026  Bế giảng : 18/12/2026</t>
  </si>
  <si>
    <t xml:space="preserve"> Đơn vị: 8/d4 - Đào tạo Khẩu đôi súng Cối 82 mm - Khoá 45</t>
  </si>
  <si>
    <t xml:space="preserve">                                                 Khai giảng: 18/6/2026       Bế giảng : 18/10/2026</t>
  </si>
  <si>
    <t>Đơn vị: 8/d4 - Đào tạo Khẩu đội trưởng Cối 100 mm - Khoá  43</t>
  </si>
  <si>
    <t xml:space="preserve">                                                 Khai giảng: 18/6/2026        Bế giảng : 18/10/2026</t>
  </si>
  <si>
    <t>Đơn vị: 8/d4 - Đào tạo Tiểu đội trưởng Kế toán pháo binh- Khoá 35</t>
  </si>
  <si>
    <t>Đơn vị: 8/d4 - Đào tạo Khẩu đội trưởng Pháo xe kéo - Khoá 38</t>
  </si>
  <si>
    <t xml:space="preserve">                                                 Khai giảng: 18/6/2026         Bế giảng : 18/11/2026</t>
  </si>
  <si>
    <t>Đơn vị: 9/d4 - Đào tạo Khẩu đội trưởng PPK 37mm - Khoá 39</t>
  </si>
  <si>
    <t>Đơn vị: 9/d4 - Đào tạo Khẩu đội trưởng PPK 57mm - Khoá 37</t>
  </si>
  <si>
    <t>Đơn vị: 9/d4 - Đào tạo Khẩu đội trưởng SMPK 12,7mm -  Khoá 45</t>
  </si>
  <si>
    <t>Đơn vị: 10/d4 - Đào tạo Tiểu đội trưởng Công binh, công trình - Khoá 39</t>
  </si>
  <si>
    <t xml:space="preserve"> Đơn vị: 10/d4 - Đào tạo Khẩu đội trưởng ĐKZ SPG-9 -  Khoá 23</t>
  </si>
  <si>
    <t xml:space="preserve"> Đơn vị: 6/d3 - Đào tạo Tiểu đội trưởng Trinh sát bộ binh - khoá 43</t>
  </si>
  <si>
    <t xml:space="preserve">                                                 Khai giảng: 18/6/2026          Bế giảng : 18/9/2026</t>
  </si>
  <si>
    <t>Đào tạo Khẩu đội trưởng súng PL AGS-17. Khoá 2</t>
  </si>
  <si>
    <t xml:space="preserve">                                                 Khai giảng: 18/6/2026     Bế giảng : 18/9/2026</t>
  </si>
  <si>
    <t xml:space="preserve">Nguyễn Hữu An </t>
  </si>
  <si>
    <t>24.07.2004</t>
  </si>
  <si>
    <t>Đàm Tuấn Anh</t>
  </si>
  <si>
    <t>29.06.2005</t>
  </si>
  <si>
    <t>Nguyễn Việt Anh</t>
  </si>
  <si>
    <t>01.09.2006</t>
  </si>
  <si>
    <t>Nguyễn Thiện Anh</t>
  </si>
  <si>
    <t>28.10.2000</t>
  </si>
  <si>
    <t xml:space="preserve">Lường Quốc Anh </t>
  </si>
  <si>
    <t>04.07.2007</t>
  </si>
  <si>
    <t xml:space="preserve">Tăng Phạm Tuấn Anh </t>
  </si>
  <si>
    <t>25.12.2007</t>
  </si>
  <si>
    <t>Phạm Văn Bình</t>
  </si>
  <si>
    <t>28.09.2006</t>
  </si>
  <si>
    <t>Trần Huy Bình</t>
  </si>
  <si>
    <t>Nguyễn Hồng Công</t>
  </si>
  <si>
    <t>28.01.2007</t>
  </si>
  <si>
    <t xml:space="preserve">Phạm Thọ Công </t>
  </si>
  <si>
    <t>21.01.2007</t>
  </si>
  <si>
    <t>Nông Đức Cường</t>
  </si>
  <si>
    <t>13.05.2007</t>
  </si>
  <si>
    <t xml:space="preserve">Vũ Mạnh Cường </t>
  </si>
  <si>
    <t>06.05.2007</t>
  </si>
  <si>
    <t>Tạ Minh Cường</t>
  </si>
  <si>
    <t>03.12.2005</t>
  </si>
  <si>
    <t>Phạm Hữu Chiến</t>
  </si>
  <si>
    <t>24.06.2007</t>
  </si>
  <si>
    <t xml:space="preserve">Nguyễn Văn Dũng </t>
  </si>
  <si>
    <t>10.10.2007</t>
  </si>
  <si>
    <t>Phạm Bá Dũng</t>
  </si>
  <si>
    <t>08.05.2002</t>
  </si>
  <si>
    <t>Lưu Anh Dương</t>
  </si>
  <si>
    <t>28.07.2007</t>
  </si>
  <si>
    <t xml:space="preserve">Phạm Huy Đại </t>
  </si>
  <si>
    <t>22.05.2007</t>
  </si>
  <si>
    <t>Trần Tiến Đạt</t>
  </si>
  <si>
    <t>Nguyễn Thành Đạt A</t>
  </si>
  <si>
    <t>Nguyễn Thành Đạt B</t>
  </si>
  <si>
    <t>25.09.2007</t>
  </si>
  <si>
    <t>Đỗ Thế Đạt</t>
  </si>
  <si>
    <t>18.10.2007</t>
  </si>
  <si>
    <t>Bùi Đình Đạt</t>
  </si>
  <si>
    <t>16.10.2007</t>
  </si>
  <si>
    <t xml:space="preserve">Nguyễn Tiến Đạt </t>
  </si>
  <si>
    <t>Lê Quý Đạt</t>
  </si>
  <si>
    <t xml:space="preserve"> 21.04.2002</t>
  </si>
  <si>
    <t xml:space="preserve">Phạm Đức Đoàn </t>
  </si>
  <si>
    <t>25.10.2007</t>
  </si>
  <si>
    <t xml:space="preserve">Bùi Tài Đức </t>
  </si>
  <si>
    <t>15.04.2007</t>
  </si>
  <si>
    <t>Phạm Lò Thanh Hải</t>
  </si>
  <si>
    <t>23.02.2008</t>
  </si>
  <si>
    <t>Nguyễn Đức Hải</t>
  </si>
  <si>
    <t>11.01.2007</t>
  </si>
  <si>
    <t>Bùi Văn Hải</t>
  </si>
  <si>
    <t xml:space="preserve"> 28.04.2006</t>
  </si>
  <si>
    <t>Lộc Trần Hiền</t>
  </si>
  <si>
    <t>23.05.2007</t>
  </si>
  <si>
    <t>Lê Trung Hiếu A</t>
  </si>
  <si>
    <t>25.08.2005</t>
  </si>
  <si>
    <t>Lê Trung Hiếu B</t>
  </si>
  <si>
    <t>25.10.2005</t>
  </si>
  <si>
    <t>Phạm Minh Hiếu</t>
  </si>
  <si>
    <t>13.04.2003</t>
  </si>
  <si>
    <t>Trịnh Trung Hiếu</t>
  </si>
  <si>
    <t>24.05.2007</t>
  </si>
  <si>
    <t>Nguyễn Trung Hiếu</t>
  </si>
  <si>
    <t>09.11.2007</t>
  </si>
  <si>
    <t xml:space="preserve">Trần Việt Hoàn </t>
  </si>
  <si>
    <t>03.11.2007</t>
  </si>
  <si>
    <t>Phạm Sỹ Hùng</t>
  </si>
  <si>
    <t>15.11.2007</t>
  </si>
  <si>
    <t xml:space="preserve">Vũ Phi Hùng </t>
  </si>
  <si>
    <t xml:space="preserve">Hoàng Mạnh Hùng </t>
  </si>
  <si>
    <t>29.09.2004</t>
  </si>
  <si>
    <t>Phạm Gia Hưng</t>
  </si>
  <si>
    <t>19.09.2007</t>
  </si>
  <si>
    <t>Nguyễn Hữu Hưng</t>
  </si>
  <si>
    <t>25.11.2002</t>
  </si>
  <si>
    <t xml:space="preserve">Nguyễn Bá Kết </t>
  </si>
  <si>
    <t>26.12.2006</t>
  </si>
  <si>
    <t>Nguyễn Việt Kiên</t>
  </si>
  <si>
    <t>08.05.2007</t>
  </si>
  <si>
    <t xml:space="preserve">Nguyễn Đăng Khoa </t>
  </si>
  <si>
    <t>15.07.2007</t>
  </si>
  <si>
    <t>Ngô Quốc Linh</t>
  </si>
  <si>
    <t>01.02.2007</t>
  </si>
  <si>
    <t>Nguyễn Thành Long</t>
  </si>
  <si>
    <t>31.12.2007</t>
  </si>
  <si>
    <t>Bùi Đức Long</t>
  </si>
  <si>
    <t>05.07.2003</t>
  </si>
  <si>
    <t xml:space="preserve">Vũ Đắc Minh </t>
  </si>
  <si>
    <t xml:space="preserve">Vũ Nhật Minh </t>
  </si>
  <si>
    <t>23.02.2002</t>
  </si>
  <si>
    <t>Nguyễn Bá Nam</t>
  </si>
  <si>
    <t>09.09.2007</t>
  </si>
  <si>
    <t>Lê Công Nam</t>
  </si>
  <si>
    <t>28.04.2007</t>
  </si>
  <si>
    <t>Bùi Hữu Nghĩa</t>
  </si>
  <si>
    <t>Nguyễn Lê Phúc</t>
  </si>
  <si>
    <t>12.03.2004</t>
  </si>
  <si>
    <t>Trần Lan Phương</t>
  </si>
  <si>
    <t>05.12.2002</t>
  </si>
  <si>
    <t>Nguyễn Minh Quân</t>
  </si>
  <si>
    <t>10.03.2007</t>
  </si>
  <si>
    <t xml:space="preserve">Vũ Minh Quân </t>
  </si>
  <si>
    <t>09.02.2007</t>
  </si>
  <si>
    <t xml:space="preserve">Nguyễn Tuấn Quỳnh </t>
  </si>
  <si>
    <t>26.11.2007</t>
  </si>
  <si>
    <t xml:space="preserve">Đào Văn Sáng </t>
  </si>
  <si>
    <t>26.08.2007</t>
  </si>
  <si>
    <t>Đỗ Văn Sơn</t>
  </si>
  <si>
    <t>16.02.2006</t>
  </si>
  <si>
    <t xml:space="preserve">Nguyễn Đức Tài </t>
  </si>
  <si>
    <t>06.11.2007</t>
  </si>
  <si>
    <t>Dương Văn Tiến</t>
  </si>
  <si>
    <t>25.01.2003</t>
  </si>
  <si>
    <t xml:space="preserve">Nguyễn Văn Tú </t>
  </si>
  <si>
    <t>05.01.2007</t>
  </si>
  <si>
    <t xml:space="preserve">Vũ Minh Tuân </t>
  </si>
  <si>
    <t>Lương Mạnh Tuấn</t>
  </si>
  <si>
    <t>29.12.2005</t>
  </si>
  <si>
    <t>Nguyễn Huy Tường</t>
  </si>
  <si>
    <t>21.12.2002</t>
  </si>
  <si>
    <t xml:space="preserve">Đỗ Mạnh Tường </t>
  </si>
  <si>
    <t>23.06.2006</t>
  </si>
  <si>
    <t>Trần Văn Thắng</t>
  </si>
  <si>
    <t>28.11.2007</t>
  </si>
  <si>
    <t>Vũ Như Thuận</t>
  </si>
  <si>
    <t>28.08.2006</t>
  </si>
  <si>
    <t>Lê Việt Thuyên</t>
  </si>
  <si>
    <t>16.08.2003</t>
  </si>
  <si>
    <t>Nguyễn Quang Thưởng</t>
  </si>
  <si>
    <t>19.04.2006</t>
  </si>
  <si>
    <t xml:space="preserve">Trần Đức Trí </t>
  </si>
  <si>
    <t>15.02.2007</t>
  </si>
  <si>
    <t xml:space="preserve">Bùi Duy Trung </t>
  </si>
  <si>
    <t>23.11.2007</t>
  </si>
  <si>
    <t>Nguyễn Đình Trường</t>
  </si>
  <si>
    <t>Hoàng Lê Quốc Việt</t>
  </si>
  <si>
    <t>24.11.2007</t>
  </si>
  <si>
    <t>Lê Minh Việt</t>
  </si>
  <si>
    <t>09.03.2007</t>
  </si>
  <si>
    <t>Trần Anh Vũ</t>
  </si>
  <si>
    <t>22.09.2007</t>
  </si>
  <si>
    <t>Hoàng Minh Vũ</t>
  </si>
  <si>
    <t>21.12.2007</t>
  </si>
  <si>
    <t>Quang Hưng, Ninh Bình</t>
  </si>
  <si>
    <t>P. Thuỷ Nguyên, Tp Hải Phòng</t>
  </si>
  <si>
    <t>Khoái Châu, Hưng Yên</t>
  </si>
  <si>
    <t>Phúc Thọ, Tp Hà Nội</t>
  </si>
  <si>
    <t>Quang Hưng, Hưng Yên</t>
  </si>
  <si>
    <t>Nghi Dương, Tp Hải Phòng</t>
  </si>
  <si>
    <t>Đông Tiên Hưng, Hưng Yên</t>
  </si>
  <si>
    <t>Khoái Châu, Hưng Yêu</t>
  </si>
  <si>
    <t xml:space="preserve">Hưng Hà, Hưng Yên </t>
  </si>
  <si>
    <t>P. Trà Lý, Hưng Yên</t>
  </si>
  <si>
    <t>Đình Lập, Lạng Sơn</t>
  </si>
  <si>
    <t>Vĩnh Bảo, Tp Hải Phòng</t>
  </si>
  <si>
    <t>Lê Quý Đôn, Hưng Yên</t>
  </si>
  <si>
    <t>Hải Lạng, Quảng Ninh</t>
  </si>
  <si>
    <t>P.Trần Hưng Đạo, Tp Hải Phòng</t>
  </si>
  <si>
    <t>Lê Lợi, Hưng Yên</t>
  </si>
  <si>
    <t>Chấn Hưng, Tp Hải Phòng</t>
  </si>
  <si>
    <t>Vũ Tiên, Hưng Yên</t>
  </si>
  <si>
    <t>Phúc Lộc, Nghệ An</t>
  </si>
  <si>
    <t>P. Trần Hưng Đạo, Hưng Yên</t>
  </si>
  <si>
    <t>P. Trần Lãm, Hưng Yên</t>
  </si>
  <si>
    <t>Vĩnh Hải, Tp Hải Phòng</t>
  </si>
  <si>
    <t>P. Bãi Cháy, Quảng Ninh</t>
  </si>
  <si>
    <t>Xuân Hồng, Ninh Bình</t>
  </si>
  <si>
    <t>Nam Thanh Miên, Tp Hải Phòng</t>
  </si>
  <si>
    <t>Vũ Tiên,  Hưng Yên</t>
  </si>
  <si>
    <t>P. An Sinh, Quảng Ninh</t>
  </si>
  <si>
    <t>Kiến Hưng, Tp Hải Phòng</t>
  </si>
  <si>
    <t>Xã Đình Lập, Tỉnh Lạng Sơn</t>
  </si>
  <si>
    <t>P. Kiến An, Tp Hải Phòng</t>
  </si>
  <si>
    <t>Đầm Hà, Quảng Ninh</t>
  </si>
  <si>
    <t>Nam An Thụ, Tp Hải Phòng</t>
  </si>
  <si>
    <t>Thanh Hà, Tp Hải Phòng</t>
  </si>
  <si>
    <t>P. Vũ Phúc, Hưng Yên</t>
  </si>
  <si>
    <t>P. An Hải, Tp Hải Phòng</t>
  </si>
  <si>
    <t>Thượng Hồng, Tp Hải Phòng</t>
  </si>
  <si>
    <t>P. Đồng Văn, Ninh Bình</t>
  </si>
  <si>
    <t>Tân Hưng, Hưng Yên</t>
  </si>
  <si>
    <t>Bình Định, Hưng Yên</t>
  </si>
  <si>
    <t>Ninh Giang, Tp Hải Phòng</t>
  </si>
  <si>
    <t>Tiên Lãng, Tp Hải Phòng</t>
  </si>
  <si>
    <t>P. Lưu Kiếm, Tp Hải Phòng</t>
  </si>
  <si>
    <t>P.Vị Khê, Ninh Bình</t>
  </si>
  <si>
    <t>P.Trần Liễu, Tp Hải Phòng</t>
  </si>
  <si>
    <t>Long Hưng, Hưng Yên</t>
  </si>
  <si>
    <t>P. Đông Mai, Quảng Ninh</t>
  </si>
  <si>
    <t>P. Đồng Mai, Quảng Ninh</t>
  </si>
  <si>
    <t>P. Cẩm Phả, Quảng Ninh</t>
  </si>
  <si>
    <t xml:space="preserve">Thái Tân , Tp Hải Phòng </t>
  </si>
  <si>
    <t>P. Phong Cốc, Quảng Ninh</t>
  </si>
  <si>
    <t>Nguyễn Du, Hưng Yên</t>
  </si>
  <si>
    <t>P. Bắc An Phụ, Tp Hải Phòng</t>
  </si>
  <si>
    <t>Thư Vũ, Hưng Yên</t>
  </si>
  <si>
    <t>Hải Ninh, Quảng Ninh</t>
  </si>
  <si>
    <t>Hiệp Cường, Hưng Yên</t>
  </si>
  <si>
    <t>P. Phủ Lý, Ninh Bình</t>
  </si>
  <si>
    <t>Cổ Lễ, Ninh Bình</t>
  </si>
  <si>
    <t>Nam Trực, Ninh Bình</t>
  </si>
  <si>
    <t>Ân Thi, Hưng Yên</t>
  </si>
  <si>
    <t>Tuệ Tĩnh, Tp Hải Phòng</t>
  </si>
  <si>
    <t>P. Đông Nai, Quảng Ninh</t>
  </si>
  <si>
    <t>Xuân Trường, Ninh Bình</t>
  </si>
  <si>
    <t>Hùng Thắng, Tp Hải Phòng</t>
  </si>
  <si>
    <t>Mạo Điền, Tp Hải phòng</t>
  </si>
  <si>
    <t xml:space="preserve">Vĩnh Thịnh, Tp Hải Phòng </t>
  </si>
  <si>
    <t>Chí Minh, Hưng Yên</t>
  </si>
  <si>
    <t>Vũ Tiên. Hưng Yêu</t>
  </si>
  <si>
    <t>P. Lê Ích Mộc, Tp Hải Phòng</t>
  </si>
  <si>
    <t>Phạm Văn An</t>
  </si>
  <si>
    <t>Đinh Tiến Anh</t>
  </si>
  <si>
    <t>30.9.2007</t>
  </si>
  <si>
    <t>Dương Việt Anh A</t>
  </si>
  <si>
    <t>Dương Việt Anh B</t>
  </si>
  <si>
    <t>19.02.2002</t>
  </si>
  <si>
    <t>Vũ Việt Anh</t>
  </si>
  <si>
    <t>18.11.2007</t>
  </si>
  <si>
    <t>Phạm Tuấn Anh A</t>
  </si>
  <si>
    <t>23.5.2007</t>
  </si>
  <si>
    <t>Phạm Tuấn Anh B</t>
  </si>
  <si>
    <t>22.9.2007</t>
  </si>
  <si>
    <t>Nguyễn Vũ Duy Anh</t>
  </si>
  <si>
    <t>15.9.2007</t>
  </si>
  <si>
    <t>Phạm Hoàng Anh</t>
  </si>
  <si>
    <t>11.12.2004</t>
  </si>
  <si>
    <t>Trần Tuấn Anh</t>
  </si>
  <si>
    <t>07.11.2006</t>
  </si>
  <si>
    <t>Hoàng Trung Anh</t>
  </si>
  <si>
    <t>12.11.2007</t>
  </si>
  <si>
    <t>Bùi Huy Bình</t>
  </si>
  <si>
    <t>19.8.2002</t>
  </si>
  <si>
    <t>Trần Văn Chiến</t>
  </si>
  <si>
    <t>Phạm Minh Chiến</t>
  </si>
  <si>
    <t>18.01.2007</t>
  </si>
  <si>
    <t>Trần Thái Chung</t>
  </si>
  <si>
    <t>29.6.2005</t>
  </si>
  <si>
    <t>Khương Đức Công</t>
  </si>
  <si>
    <t>20.01.2008</t>
  </si>
  <si>
    <t>Lê Đức Cường</t>
  </si>
  <si>
    <t>27.8.2007</t>
  </si>
  <si>
    <t>Trần Văn Cường</t>
  </si>
  <si>
    <t>11.02.2002</t>
  </si>
  <si>
    <t>Phạm Tiến Dũng</t>
  </si>
  <si>
    <t>11.6.2007</t>
  </si>
  <si>
    <t>Trần Đức Duy</t>
  </si>
  <si>
    <t>12.10.2002</t>
  </si>
  <si>
    <t>Nguyễn Hồng Duy</t>
  </si>
  <si>
    <t>28.4.2006</t>
  </si>
  <si>
    <t>Phạm Tiến Đạt</t>
  </si>
  <si>
    <t>09.02.2008</t>
  </si>
  <si>
    <t>Bùi Tiến Đạt</t>
  </si>
  <si>
    <t>Nguyễn Tiến Đạt A</t>
  </si>
  <si>
    <t>28.10.2007</t>
  </si>
  <si>
    <t>Nguyễn Tiến Đạt B</t>
  </si>
  <si>
    <t>Đinh Thành Đạt</t>
  </si>
  <si>
    <t>12.01.2005</t>
  </si>
  <si>
    <t>Lê Sỹ Đạt</t>
  </si>
  <si>
    <t>23.3.2005</t>
  </si>
  <si>
    <t>Trương Quang Đông</t>
  </si>
  <si>
    <t>07.7.2002</t>
  </si>
  <si>
    <t>Nguyễn Văn Đức</t>
  </si>
  <si>
    <t>29.12.2007</t>
  </si>
  <si>
    <t>Nguyễn Minh Đức</t>
  </si>
  <si>
    <t>13.12.2006</t>
  </si>
  <si>
    <t>Ngô Chấn Hiệp</t>
  </si>
  <si>
    <t>01.9.2007</t>
  </si>
  <si>
    <t>Bùi Văn Hiếu</t>
  </si>
  <si>
    <t>04.3.2007</t>
  </si>
  <si>
    <t>Nguyễn Duy Hiếu</t>
  </si>
  <si>
    <t>30.7.2001</t>
  </si>
  <si>
    <t>Vũ Xuân Hoà</t>
  </si>
  <si>
    <t>06.7.2007</t>
  </si>
  <si>
    <t>Đặng Ngọc Hoà</t>
  </si>
  <si>
    <t>26.9.2007</t>
  </si>
  <si>
    <t>Nguyễn Đắc Hoàng</t>
  </si>
  <si>
    <t>30.7.2007</t>
  </si>
  <si>
    <t>Bùi Huy Hoàng</t>
  </si>
  <si>
    <t>08.02.2007</t>
  </si>
  <si>
    <t>Đặng Mạnh Hùng</t>
  </si>
  <si>
    <t>31.01.2007</t>
  </si>
  <si>
    <t>Phạm Đức Hưng</t>
  </si>
  <si>
    <t>Vũ Văn Hưng</t>
  </si>
  <si>
    <t>Dương Gia Huy</t>
  </si>
  <si>
    <t>14.12.2007</t>
  </si>
  <si>
    <t>Đoàn Quang Huy</t>
  </si>
  <si>
    <t>Trần Duy Khánh</t>
  </si>
  <si>
    <t>08.7.2007</t>
  </si>
  <si>
    <t>Trần Trung Kiên</t>
  </si>
  <si>
    <t>24.10.2007</t>
  </si>
  <si>
    <t>Vũ Ngọc Kỳ</t>
  </si>
  <si>
    <t>25.01.2005</t>
  </si>
  <si>
    <t>Phạm Quang Linh</t>
  </si>
  <si>
    <t>31.01.2006</t>
  </si>
  <si>
    <t>Lê Việt Long</t>
  </si>
  <si>
    <t>12.4.2007</t>
  </si>
  <si>
    <t>Phạm Thanh Long</t>
  </si>
  <si>
    <t>20.3.2007</t>
  </si>
  <si>
    <t>Bùi Văn Mạnh</t>
  </si>
  <si>
    <t>05.5.2001</t>
  </si>
  <si>
    <t>Trịnh Thế Mạnh</t>
  </si>
  <si>
    <t>21.11.2007</t>
  </si>
  <si>
    <t>Đào Văn Mạnh</t>
  </si>
  <si>
    <t>Trần Xuân Nghĩa</t>
  </si>
  <si>
    <t>10.5.2006</t>
  </si>
  <si>
    <t>Đặng Hữu Nghĩa</t>
  </si>
  <si>
    <t>08.8.2007</t>
  </si>
  <si>
    <t>Nguyễn Trọng Phú</t>
  </si>
  <si>
    <t>10.6.2007</t>
  </si>
  <si>
    <t>Nguyễn Hoàng Phúc</t>
  </si>
  <si>
    <t>04.9.2007</t>
  </si>
  <si>
    <t>Bùi Lâm Phúc</t>
  </si>
  <si>
    <t>17.5.2004</t>
  </si>
  <si>
    <t>Ngô Văn Phúc</t>
  </si>
  <si>
    <t>10.9.2006</t>
  </si>
  <si>
    <t>Trần Minh Quân</t>
  </si>
  <si>
    <t>16.8.2006</t>
  </si>
  <si>
    <t>Trần Văn Quyền</t>
  </si>
  <si>
    <t>Tống Minh Quyết</t>
  </si>
  <si>
    <t>23.7.2007</t>
  </si>
  <si>
    <t>Hoàng Văn Thái</t>
  </si>
  <si>
    <t>02.6.2006</t>
  </si>
  <si>
    <t>Đào Ngọc Thắng</t>
  </si>
  <si>
    <t>Trịnh Xuân Thành</t>
  </si>
  <si>
    <t>01.7.2004</t>
  </si>
  <si>
    <t>Hoàng Xuân Thành</t>
  </si>
  <si>
    <t>28.12.2004</t>
  </si>
  <si>
    <t>Tô Văn Thành</t>
  </si>
  <si>
    <t>10.12.2007</t>
  </si>
  <si>
    <t>Trịnh Hoàng Trung Thành</t>
  </si>
  <si>
    <t>Nguyễn Quang Thuận</t>
  </si>
  <si>
    <t>29.3.2007</t>
  </si>
  <si>
    <t>Nguyễn Văn Trọng</t>
  </si>
  <si>
    <t>06.7.2006</t>
  </si>
  <si>
    <t>Trần Xuân Trường</t>
  </si>
  <si>
    <t>23.4.2007</t>
  </si>
  <si>
    <t>Phạm Mạnh Tú</t>
  </si>
  <si>
    <t>10.01.2008</t>
  </si>
  <si>
    <t>Lê Sỹ Tuân</t>
  </si>
  <si>
    <t>01.6.2003</t>
  </si>
  <si>
    <t>Đỗ Anh Tuấn</t>
  </si>
  <si>
    <t>01.01.2007</t>
  </si>
  <si>
    <t>Mã Văn Tuấn</t>
  </si>
  <si>
    <t>12.8.2006</t>
  </si>
  <si>
    <t>Luyện Văn Tiến</t>
  </si>
  <si>
    <t>10.7.2007</t>
  </si>
  <si>
    <t>Nguyễn Mạnh Toàn</t>
  </si>
  <si>
    <t>06.6.2007</t>
  </si>
  <si>
    <t>Nguyễn Thế Tùng</t>
  </si>
  <si>
    <t>07.8.2006</t>
  </si>
  <si>
    <t>Hoàng Thanh Tùng</t>
  </si>
  <si>
    <t>18.8.2006</t>
  </si>
  <si>
    <t>Đỗ Mạnh Tường</t>
  </si>
  <si>
    <t>13.4.2007</t>
  </si>
  <si>
    <t>Lê Văn Việt</t>
  </si>
  <si>
    <t>Nguyễn Huy Việt</t>
  </si>
  <si>
    <t>10.9.2007</t>
  </si>
  <si>
    <t>Phạm Thế Vinh</t>
  </si>
  <si>
    <t>Hoàng Thế Vương</t>
  </si>
  <si>
    <t>12.3.2007</t>
  </si>
  <si>
    <t>Bùi Văn Vượng</t>
  </si>
  <si>
    <t>Thần Khê, Hưng Yên</t>
  </si>
  <si>
    <t>P. Phạm Sư Mạnh, Tp Hải Phòng</t>
  </si>
  <si>
    <t>P. An Phong, Tp Hải Phòng</t>
  </si>
  <si>
    <t>Kiến Thụy, Tp Hải Phòng</t>
  </si>
  <si>
    <t>Nguyễn Trãi, Hưng Yên</t>
  </si>
  <si>
    <t>An Trường, Tp Hải Phòng</t>
  </si>
  <si>
    <t>Quang Thiện, Ninh Bình</t>
  </si>
  <si>
    <t>Đồng Tâm, Quảng Ninh</t>
  </si>
  <si>
    <t>Rạng Đông, Ninh Bình</t>
  </si>
  <si>
    <t>P. Bặch Đằng, Tp Hải Phòng</t>
  </si>
  <si>
    <t>Bắc Thái Ninh, Hưng Yên</t>
  </si>
  <si>
    <t>P. Thành Nam, Ninh Bình</t>
  </si>
  <si>
    <t>Bình Giang, Tp Hải Phòng</t>
  </si>
  <si>
    <t>P. Mỹ Lộc, Ninh Bình</t>
  </si>
  <si>
    <t>P. Nhị Chiểu, Tp Hải Phòng</t>
  </si>
  <si>
    <t>Hà Lầm, Quảng Ninh</t>
  </si>
  <si>
    <t>Tiên Hưng, Hưng Yên</t>
  </si>
  <si>
    <t>Vĩnh Lại, Tp Hải Phòng</t>
  </si>
  <si>
    <t>Nam Cường, Hưng Yên</t>
  </si>
  <si>
    <t>P. Quảng Yên, Quảng Ninh</t>
  </si>
  <si>
    <t>Kiến Hải, Tp Hải Phòng</t>
  </si>
  <si>
    <t>Ninh Giang, Ninh Bình</t>
  </si>
  <si>
    <t>Vũ Xá, Hưng Yên</t>
  </si>
  <si>
    <t>P. Hà An, Quảng Ninh</t>
  </si>
  <si>
    <t>P. Phủ Liễn, Tp Hải Phòng</t>
  </si>
  <si>
    <t>Chấn Hưng, Hải Phòng</t>
  </si>
  <si>
    <t>Lương Bằng, Hưng Yên</t>
  </si>
  <si>
    <t>P. Hiệp Hòa, Quảng Ninh</t>
  </si>
  <si>
    <t>P. Đông A, Ninh Bình</t>
  </si>
  <si>
    <t>Quảng Hà, Quảng Ninh</t>
  </si>
  <si>
    <t>Minh Tân, Hưng Yên</t>
  </si>
  <si>
    <t>Lương Minh, Quảng Ninh</t>
  </si>
  <si>
    <t>P. Nam Định, Ninh Bình</t>
  </si>
  <si>
    <t>Mao Điền. Tp Hải Phòng</t>
  </si>
  <si>
    <t>Đông Ngũ, Quảng Ninh</t>
  </si>
  <si>
    <t>Hưng Hà, Hưng Yên</t>
  </si>
  <si>
    <t>An Khánh, Tp Hải Phòng</t>
  </si>
  <si>
    <t>Thái Thụy, Hưng Yên</t>
  </si>
  <si>
    <t>P. Hồng An, Tp Hải Phòng</t>
  </si>
  <si>
    <t>Vũ Tiên, HưngYên</t>
  </si>
  <si>
    <t>Vĩnh Am, Tp Hải Phòng</t>
  </si>
  <si>
    <t>Đông Hưng, Hưng Yên</t>
  </si>
  <si>
    <t>Nguyễn Văn Linh, Hưng Yên</t>
  </si>
  <si>
    <t>Duy Tân, Ninh Bình</t>
  </si>
  <si>
    <t>P. A Phong, Tp Hải Phòng</t>
  </si>
  <si>
    <t>Cao Nhân, Tp Hải Phòng</t>
  </si>
  <si>
    <t>P. Bạch Đằng, Hải Phòng</t>
  </si>
  <si>
    <t>Bùi Văn An</t>
  </si>
  <si>
    <t>Lê Tuấn Anh</t>
  </si>
  <si>
    <t>18.5.2007</t>
  </si>
  <si>
    <t>Phạm Đức Anh</t>
  </si>
  <si>
    <t>23.5.2003</t>
  </si>
  <si>
    <t>Nguyễn Hoàng Anh</t>
  </si>
  <si>
    <t>01.8.2001</t>
  </si>
  <si>
    <t>Vũ Hoàng Anh</t>
  </si>
  <si>
    <t>21.11.2005</t>
  </si>
  <si>
    <t>Vũ Đình Bảo</t>
  </si>
  <si>
    <t>15.12.2006</t>
  </si>
  <si>
    <t>Nguyễn Lang Bắc</t>
  </si>
  <si>
    <t>09.7.2007</t>
  </si>
  <si>
    <t>Nguyễn Văn Biển</t>
  </si>
  <si>
    <t>14.5.2007</t>
  </si>
  <si>
    <t>Nguyễn Tuấn Công</t>
  </si>
  <si>
    <t>27.12.2007</t>
  </si>
  <si>
    <t>Vũ Mạnh Cường</t>
  </si>
  <si>
    <t>18.7.2005</t>
  </si>
  <si>
    <t>Hà Minh Chiến</t>
  </si>
  <si>
    <t>01.6.2007</t>
  </si>
  <si>
    <t>Nguyễn Văn Chiến</t>
  </si>
  <si>
    <t>29.6.2007</t>
  </si>
  <si>
    <t>Phạm Quang Dũng</t>
  </si>
  <si>
    <t>01.10.2004</t>
  </si>
  <si>
    <t>Hoàng Anh Dũng</t>
  </si>
  <si>
    <t>29.8.2007</t>
  </si>
  <si>
    <t>Bùi Tiến Dũng</t>
  </si>
  <si>
    <t>Nguyễn Văn Dũng A</t>
  </si>
  <si>
    <t>01.02.2004</t>
  </si>
  <si>
    <t>Nguyễn Văn Dũng B</t>
  </si>
  <si>
    <t>07.12.2007</t>
  </si>
  <si>
    <t>Trần Anh Duy</t>
  </si>
  <si>
    <t>10.11.2007</t>
  </si>
  <si>
    <t>Vũ Lệnh Khánh Duy</t>
  </si>
  <si>
    <t>Ngô Xuân Duy</t>
  </si>
  <si>
    <t>25.9.2007</t>
  </si>
  <si>
    <t>Đồng Thái Dương</t>
  </si>
  <si>
    <t>Đặng Tùng Dương</t>
  </si>
  <si>
    <t>16.5.2007</t>
  </si>
  <si>
    <t>Bùi Tiến Dương</t>
  </si>
  <si>
    <t>30.5.2007</t>
  </si>
  <si>
    <t>Nguyễn Đức Dương</t>
  </si>
  <si>
    <t>15.01.2007</t>
  </si>
  <si>
    <t>Nguyễn Văn Đạt</t>
  </si>
  <si>
    <t>06.01.2007</t>
  </si>
  <si>
    <t>19.01.2007</t>
  </si>
  <si>
    <t>Hoàng Đình Đoàn</t>
  </si>
  <si>
    <t>Lý Minh Đức</t>
  </si>
  <si>
    <t>17.5.2007</t>
  </si>
  <si>
    <t>Vũ Xuân Đức</t>
  </si>
  <si>
    <t>14.5.2005</t>
  </si>
  <si>
    <t>Trần Công Đức</t>
  </si>
  <si>
    <t>03.6.2006</t>
  </si>
  <si>
    <t>01.7.2007</t>
  </si>
  <si>
    <t>Nguyễn Văn Được</t>
  </si>
  <si>
    <t>Trần Hoàng Hà</t>
  </si>
  <si>
    <t>Vũ Văn Hai</t>
  </si>
  <si>
    <t>03.6.2004</t>
  </si>
  <si>
    <t>Đinh Ngọc Hải</t>
  </si>
  <si>
    <t>20.9.2006</t>
  </si>
  <si>
    <t>Hoàng Minh Hậu</t>
  </si>
  <si>
    <t>17.9.2007</t>
  </si>
  <si>
    <t>Vũ Thế Hiến</t>
  </si>
  <si>
    <t>23.6.2007</t>
  </si>
  <si>
    <t>Nguyễn Minh Hiếu</t>
  </si>
  <si>
    <t>25.3.2007</t>
  </si>
  <si>
    <t>Lê Trần Trung Hiếu</t>
  </si>
  <si>
    <t>20.6.2007</t>
  </si>
  <si>
    <t>Nguyễn Như Hiếu</t>
  </si>
  <si>
    <t>15.9.2006</t>
  </si>
  <si>
    <t>Trương Đình Hiếu</t>
  </si>
  <si>
    <t>08.9.2007</t>
  </si>
  <si>
    <t>19.5.2005</t>
  </si>
  <si>
    <t>Phạm Văn Hoà</t>
  </si>
  <si>
    <t>02.8.2007</t>
  </si>
  <si>
    <t>Dương Việt Hoàng</t>
  </si>
  <si>
    <t>15.11.2004</t>
  </si>
  <si>
    <t>Đặng Văn Hợi</t>
  </si>
  <si>
    <t>13.3.2007</t>
  </si>
  <si>
    <t>Bùi Quang Huy</t>
  </si>
  <si>
    <t>16.9.2007</t>
  </si>
  <si>
    <t>Trần Xuân Huy</t>
  </si>
  <si>
    <t>21.3.2007</t>
  </si>
  <si>
    <t>Bùi Anh Huy</t>
  </si>
  <si>
    <t>06.10.2007</t>
  </si>
  <si>
    <t>Lương Gia Huy</t>
  </si>
  <si>
    <t>01.6.2006</t>
  </si>
  <si>
    <t>Nguyễn Văn Hưng</t>
  </si>
  <si>
    <t>05.5.2007</t>
  </si>
  <si>
    <t>Bùi Huy Hưng</t>
  </si>
  <si>
    <t>Vũ Duy Hưng</t>
  </si>
  <si>
    <t>28.11.2006</t>
  </si>
  <si>
    <t>Nguyễn Duy Hưng</t>
  </si>
  <si>
    <t>31.01.2005</t>
  </si>
  <si>
    <t>Nguyễn Trung Kiên</t>
  </si>
  <si>
    <t>19.4.2007</t>
  </si>
  <si>
    <t>Trần Tuấn Kiệt</t>
  </si>
  <si>
    <t>19.02.2007</t>
  </si>
  <si>
    <t>Nguyễn Duy Khánh</t>
  </si>
  <si>
    <t>15.6.2007</t>
  </si>
  <si>
    <t>Phạm Gia Khiêm</t>
  </si>
  <si>
    <t>6.11.2006</t>
  </si>
  <si>
    <t>Cao Đức Anh Khoa</t>
  </si>
  <si>
    <t>5.11.2007</t>
  </si>
  <si>
    <t>Nguyễn Đăng Khoa</t>
  </si>
  <si>
    <t>08.10.2007</t>
  </si>
  <si>
    <t>Phạm Quang Lâm</t>
  </si>
  <si>
    <t>Nguyễn Đoàn Duy Linh</t>
  </si>
  <si>
    <t>02.4.2007</t>
  </si>
  <si>
    <t>Đoàn Văn Linh</t>
  </si>
  <si>
    <t>22.6.2005</t>
  </si>
  <si>
    <t>Nguyễn Hải Long</t>
  </si>
  <si>
    <t>17.9.2002</t>
  </si>
  <si>
    <t>Phùng Bảo Long</t>
  </si>
  <si>
    <t>19.5.2007</t>
  </si>
  <si>
    <t>Bùi Hải Long</t>
  </si>
  <si>
    <t>02.7.2007</t>
  </si>
  <si>
    <t>Mai Văn Luận</t>
  </si>
  <si>
    <t>20.9.2007</t>
  </si>
  <si>
    <t>Nguyễn Đức Mạnh</t>
  </si>
  <si>
    <t>01.01.2004</t>
  </si>
  <si>
    <t>Đào Duy Mạnh</t>
  </si>
  <si>
    <t>14.3.2007</t>
  </si>
  <si>
    <t>Nguyễn Hồng Minh</t>
  </si>
  <si>
    <t>16.7.2007</t>
  </si>
  <si>
    <t>Phạm Quang Minh A</t>
  </si>
  <si>
    <t>Phạm Quang Minh B</t>
  </si>
  <si>
    <t>19.7.2007</t>
  </si>
  <si>
    <t>Phạm Ngọc Minh</t>
  </si>
  <si>
    <t>Đặng Bá Quang Minh</t>
  </si>
  <si>
    <t>17.7.2007</t>
  </si>
  <si>
    <t>Nguyễn Nhật Minh</t>
  </si>
  <si>
    <t>Đỗ Ngọc Ninh</t>
  </si>
  <si>
    <t>12.10.2007</t>
  </si>
  <si>
    <t>Hà Hữu Nghĩa</t>
  </si>
  <si>
    <t>Nguyễn Khắc Nghiên</t>
  </si>
  <si>
    <t>Phan Trọng Ngọc</t>
  </si>
  <si>
    <t>08.11.2007</t>
  </si>
  <si>
    <t>Phạm Đình Nguyên</t>
  </si>
  <si>
    <t>Phạm Long Nhật</t>
  </si>
  <si>
    <t>Đỗ Đức Phong</t>
  </si>
  <si>
    <t>Đoàn Minh Phú</t>
  </si>
  <si>
    <t>12.7.2002</t>
  </si>
  <si>
    <t>Lỷ Dảu Phúc</t>
  </si>
  <si>
    <t>Lê Quang Phúc</t>
  </si>
  <si>
    <t>21.11.2004</t>
  </si>
  <si>
    <t>Trần Hồng Phúc</t>
  </si>
  <si>
    <t>23.10.2004</t>
  </si>
  <si>
    <t>Đỗ Văn Phương</t>
  </si>
  <si>
    <t>04.11.2005</t>
  </si>
  <si>
    <t>Trần Tiến Quang</t>
  </si>
  <si>
    <t>11.11.2007</t>
  </si>
  <si>
    <t>Đặng Thế Quang</t>
  </si>
  <si>
    <t>22.01.2005</t>
  </si>
  <si>
    <t>Đỗ Minh Quân</t>
  </si>
  <si>
    <t>13.5.2006</t>
  </si>
  <si>
    <t>05.8.2007</t>
  </si>
  <si>
    <t>Vũ Tiến Sang</t>
  </si>
  <si>
    <t>28.6.2007</t>
  </si>
  <si>
    <t>Nguyễn Duy Sơn</t>
  </si>
  <si>
    <t>Lê Văn Sơn</t>
  </si>
  <si>
    <t>04.12.2006</t>
  </si>
  <si>
    <t>Đỗ Hoàng Sơn</t>
  </si>
  <si>
    <t>22.4.2007</t>
  </si>
  <si>
    <t>Cao Thiên Tài</t>
  </si>
  <si>
    <t>27.10.2004</t>
  </si>
  <si>
    <t>Phạm Thế Tiến</t>
  </si>
  <si>
    <t>20.5.2007</t>
  </si>
  <si>
    <t>Trần Văn Tới</t>
  </si>
  <si>
    <t>27.6.2007</t>
  </si>
  <si>
    <t>Vũ Quang Tú</t>
  </si>
  <si>
    <t>05.7.2006</t>
  </si>
  <si>
    <t>Hoàng Anh Tú</t>
  </si>
  <si>
    <t>31.10.2007</t>
  </si>
  <si>
    <t>Nguyễn Mạnh Tú</t>
  </si>
  <si>
    <t>Phạm Ngọc Tuấn</t>
  </si>
  <si>
    <t>18.4.2002</t>
  </si>
  <si>
    <t>Nguyễn Huy Tuấn</t>
  </si>
  <si>
    <t>20.10.2001</t>
  </si>
  <si>
    <t>Nguyễn Đức Tùng</t>
  </si>
  <si>
    <t>Ngô Quang Tùng</t>
  </si>
  <si>
    <t>01.10.2002</t>
  </si>
  <si>
    <t>Lưu Quang Thạch</t>
  </si>
  <si>
    <t>08.5.2007</t>
  </si>
  <si>
    <t>Trịnh Văn Thái</t>
  </si>
  <si>
    <t>30.9.2004</t>
  </si>
  <si>
    <t>Nguyễn Văn Thành</t>
  </si>
  <si>
    <t>05.11.2004</t>
  </si>
  <si>
    <t>Nguyễn Tiến Thành</t>
  </si>
  <si>
    <t>02.01.2005</t>
  </si>
  <si>
    <t>Nguyễn Đức Thắng</t>
  </si>
  <si>
    <t>Nguyễn Thành Thắng</t>
  </si>
  <si>
    <t>11.01.2004</t>
  </si>
  <si>
    <t>Nguyễn Văn Thịnh</t>
  </si>
  <si>
    <t>04.6.2006</t>
  </si>
  <si>
    <t>Bùi Quang Thuận</t>
  </si>
  <si>
    <t>Bùi Đức Trí</t>
  </si>
  <si>
    <t>22.6.2007</t>
  </si>
  <si>
    <t>Nguyễn Vũ Minh Trí</t>
  </si>
  <si>
    <t>03.7.2004</t>
  </si>
  <si>
    <t>Nguyễn Phú Trọng</t>
  </si>
  <si>
    <t>27.9.2007</t>
  </si>
  <si>
    <t>Nguyễn Văn Trung</t>
  </si>
  <si>
    <t>15.3.2007</t>
  </si>
  <si>
    <t>Đặng Hải Trung</t>
  </si>
  <si>
    <t>25.3.2002</t>
  </si>
  <si>
    <t>Phạm Thành Trung</t>
  </si>
  <si>
    <t>Bùi Xuân Trường</t>
  </si>
  <si>
    <t>12.01.2007</t>
  </si>
  <si>
    <t>Lê Văn Trường</t>
  </si>
  <si>
    <t>Đinh Xuân Trường</t>
  </si>
  <si>
    <t>22.5.2004</t>
  </si>
  <si>
    <t>Lương Đan Trường</t>
  </si>
  <si>
    <t>Trần Anh Văn</t>
  </si>
  <si>
    <t>Hà Minh Vĩ</t>
  </si>
  <si>
    <t>Tằng Quốc Việt</t>
  </si>
  <si>
    <t>16.3.2007</t>
  </si>
  <si>
    <t>Trương Thiên Việt</t>
  </si>
  <si>
    <t>Nguyễn Công Vinh</t>
  </si>
  <si>
    <t>Nguyễn Hữu Võ</t>
  </si>
  <si>
    <t>28.8.2005</t>
  </si>
  <si>
    <t>Ngô Bá Vượng</t>
  </si>
  <si>
    <t>22.12.2007</t>
  </si>
  <si>
    <t>P. Trường Thi, Ninh Bình</t>
  </si>
  <si>
    <t>Hải Hưng, Tp Hải Phòng</t>
  </si>
  <si>
    <t>P. Móng Cái 1, Quảng Ninh</t>
  </si>
  <si>
    <t>P. Cửa Ông, Quảng Ninh</t>
  </si>
  <si>
    <t>Quyết Thắng, Tp Hải Phòng</t>
  </si>
  <si>
    <t>Thái Tân, Tp Hải Phòng</t>
  </si>
  <si>
    <t>P. Đông Triều, Quảng Ninh</t>
  </si>
  <si>
    <t>Kiến Minh, Tp Hải Phòng</t>
  </si>
  <si>
    <t>Hải Hòa, Quảng Ninh</t>
  </si>
  <si>
    <t>P. Đông Hải, Tp Hải Phòng</t>
  </si>
  <si>
    <t>P. Nguyễn Trãi, Tp Hải Phòng</t>
  </si>
  <si>
    <t>Vũ Quý, Hưng Yên</t>
  </si>
  <si>
    <t>Việt Khê, Tp Hải Phòng</t>
  </si>
  <si>
    <t>Xuân Hưng, Ninh Bình</t>
  </si>
  <si>
    <t>P. Hoàng Quế, Quảng Ninh</t>
  </si>
  <si>
    <t>P. Bạch Đằng, Tp Hải Phòng</t>
  </si>
  <si>
    <t>P. Nam Đồ Sơn, Tp Hải Phòng</t>
  </si>
  <si>
    <t>Vụ Bản, Ninh Bình</t>
  </si>
  <si>
    <t>Vũ Thư, Hưng Yên</t>
  </si>
  <si>
    <t>Quảng Đức, Quảng Ninh</t>
  </si>
  <si>
    <t>Kiến Xương, Hưng Yên</t>
  </si>
  <si>
    <t>Nam Đồng, Ninh Bình</t>
  </si>
  <si>
    <t>Tiên La, Hưng Yên</t>
  </si>
  <si>
    <t>P. Bình Khê, Quảng Ninh</t>
  </si>
  <si>
    <t>P. Yên Tử, Quảng Ninh</t>
  </si>
  <si>
    <t>P. Mạo Khê, Quảng Ninh</t>
  </si>
  <si>
    <t>P. Trần Liễu, Tp Hải Phòng</t>
  </si>
  <si>
    <t>Cổ Lễ, Ninh Binh</t>
  </si>
  <si>
    <t>P. Lý Thường Kiệt, Ninh Bình</t>
  </si>
  <si>
    <t>Nghi Dương, Hải Phòng</t>
  </si>
  <si>
    <t>Nguyên Giáp, Tp Hải Phòng</t>
  </si>
  <si>
    <t>P. Quang Hanh, Quảng Ninh</t>
  </si>
  <si>
    <t>Kim Động, Hưng Yên</t>
  </si>
  <si>
    <t>Hà Đông, Tp Hải Phòng</t>
  </si>
  <si>
    <t>P. Lê Thanh Nghị, Tp Hải Phòng</t>
  </si>
  <si>
    <t>Nguyễn Bỉnh Khiêm, Tp Hải Phòng</t>
  </si>
  <si>
    <t>An Hưng, Tp Hải Phòng</t>
  </si>
  <si>
    <t>P. Hoành Bồ, Quảng Ninh</t>
  </si>
  <si>
    <t>Tân Minh, Tp Hải Phòng</t>
  </si>
  <si>
    <t>Bắc Tiên Hưng, Hưng Yên</t>
  </si>
  <si>
    <t>Quảng Tân, Quảng Ninh</t>
  </si>
  <si>
    <t>ĐK Vân Đồn, Quảng Ninh</t>
  </si>
  <si>
    <t>P. Hồng Bàng, Tp Hải Phòng</t>
  </si>
  <si>
    <t>P. Uống Bí, Quảng Ninh</t>
  </si>
  <si>
    <t>Nguyễn Lương Bằng, Tp Hải Phòng</t>
  </si>
  <si>
    <t>P. Thái Bình, Hưng Yên</t>
  </si>
  <si>
    <t>A Sào, Hưng Yên</t>
  </si>
  <si>
    <t>Nam Trực, Ninh Binh</t>
  </si>
  <si>
    <t>Hồng Bàng, Tp Hải Phòng</t>
  </si>
  <si>
    <t>Kiến Hải, Hải Phòng</t>
  </si>
  <si>
    <t>Tiên Yên, Quảng Ninh</t>
  </si>
  <si>
    <t>P. Móng Cái 2, Quảng Ninh</t>
  </si>
  <si>
    <t>Phú Sơn, Ninh Binh</t>
  </si>
  <si>
    <t>Điền Xá, Quảng Ninh</t>
  </si>
  <si>
    <t>Vũ Thanh An</t>
  </si>
  <si>
    <t>Phạm Ngọc Anh</t>
  </si>
  <si>
    <t>20.4.2007</t>
  </si>
  <si>
    <t>Trần Mai Đức Anh</t>
  </si>
  <si>
    <t>07.6.2003</t>
  </si>
  <si>
    <t>Lưu Hoàng Anh</t>
  </si>
  <si>
    <t>14.9.2007</t>
  </si>
  <si>
    <t>Đặng Đức Anh</t>
  </si>
  <si>
    <t>06.02.2007</t>
  </si>
  <si>
    <t>Trần Xuân Bách</t>
  </si>
  <si>
    <t>17.01.2007</t>
  </si>
  <si>
    <t xml:space="preserve">Vũ Ngọc Ban </t>
  </si>
  <si>
    <t>14.01.2007</t>
  </si>
  <si>
    <t>Phạm Hoàng Gia Bảo</t>
  </si>
  <si>
    <t>Vi Văn Cao</t>
  </si>
  <si>
    <t>23.10.2006</t>
  </si>
  <si>
    <t>Nguyễn Ngọc Công</t>
  </si>
  <si>
    <t>Nguyễn Mạnh Cường</t>
  </si>
  <si>
    <t>Phạm Mạnh Cường</t>
  </si>
  <si>
    <t>14.9.2006</t>
  </si>
  <si>
    <t xml:space="preserve">Nguyễn Minh Chiến </t>
  </si>
  <si>
    <t>14.10.2004</t>
  </si>
  <si>
    <t>Phạm Đình Chúc</t>
  </si>
  <si>
    <t>21.8.2007</t>
  </si>
  <si>
    <t>Hoàng Thanh Dân</t>
  </si>
  <si>
    <t>19.10.2007</t>
  </si>
  <si>
    <t>Nguyễn Tiến Dũng A</t>
  </si>
  <si>
    <t>07.01.2007</t>
  </si>
  <si>
    <t>Nguyễn Tiến Dũng B</t>
  </si>
  <si>
    <t>14.3.2002</t>
  </si>
  <si>
    <t>Ngô Ngọc Dũng</t>
  </si>
  <si>
    <t>07.7.2007</t>
  </si>
  <si>
    <t>Nguyễn Phương Duy</t>
  </si>
  <si>
    <t>Trần Anh Dương</t>
  </si>
  <si>
    <t>10.3.2005</t>
  </si>
  <si>
    <t xml:space="preserve">Đặng Hoàng Dương </t>
  </si>
  <si>
    <t>12.01.2003</t>
  </si>
  <si>
    <t>An Quang Dương</t>
  </si>
  <si>
    <t>30.8.2005</t>
  </si>
  <si>
    <t>Hoàng Văn Dương</t>
  </si>
  <si>
    <t>04.01.2006</t>
  </si>
  <si>
    <t>Lê Văn Dưỡng</t>
  </si>
  <si>
    <t>13.10.2005</t>
  </si>
  <si>
    <t>Ngô Tiến Đạt</t>
  </si>
  <si>
    <t>Đặng Văn Đạt</t>
  </si>
  <si>
    <t>13.12.2007</t>
  </si>
  <si>
    <t>Vũ Duy Đạt</t>
  </si>
  <si>
    <t>Lê Đình Đạt</t>
  </si>
  <si>
    <t>03.5.2007</t>
  </si>
  <si>
    <t xml:space="preserve">Đặng Duy Đạt </t>
  </si>
  <si>
    <t>Phạm Thành Đạt</t>
  </si>
  <si>
    <t>27.10.2006</t>
  </si>
  <si>
    <t>Trần Hải Đăng</t>
  </si>
  <si>
    <t>13.8.2007</t>
  </si>
  <si>
    <t>Vũ Quang Điệp</t>
  </si>
  <si>
    <t>Phạm Thành Đô</t>
  </si>
  <si>
    <t>19.01.2006</t>
  </si>
  <si>
    <t>Đặng Tiến Đồng</t>
  </si>
  <si>
    <t>Vũ Minh Đức</t>
  </si>
  <si>
    <t>Phạm Trung Đức</t>
  </si>
  <si>
    <t>15.01.2004</t>
  </si>
  <si>
    <t>Lê Văn Đương</t>
  </si>
  <si>
    <t>18.8.2007</t>
  </si>
  <si>
    <t>Dương Đức Giang</t>
  </si>
  <si>
    <t>10.10.2005</t>
  </si>
  <si>
    <t>Nguyễn Thái Giang</t>
  </si>
  <si>
    <t>26.8.2007</t>
  </si>
  <si>
    <t>Nguyễn Trường Giang</t>
  </si>
  <si>
    <t>15.4.2005</t>
  </si>
  <si>
    <t>Phạm Hữu Hoàng Hải</t>
  </si>
  <si>
    <t>18.02.2007</t>
  </si>
  <si>
    <t>Đỗ Đức Hiển</t>
  </si>
  <si>
    <t>31.5.2005</t>
  </si>
  <si>
    <t>Phạm Tiến Hiệp</t>
  </si>
  <si>
    <t>07.3.2004</t>
  </si>
  <si>
    <t>Vũ Minh Hiếu</t>
  </si>
  <si>
    <t>Đàm Trung Hiếu</t>
  </si>
  <si>
    <t>15.6.2001</t>
  </si>
  <si>
    <t>14.7.2007</t>
  </si>
  <si>
    <t>Phạm Công Hiếu</t>
  </si>
  <si>
    <t>26.10.2007</t>
  </si>
  <si>
    <t>Phan Xuân Hiếu</t>
  </si>
  <si>
    <t>Lê Thanh Hoà</t>
  </si>
  <si>
    <t>Nguyễn Văn Hoan</t>
  </si>
  <si>
    <t>Dương Nguyên Hoàng</t>
  </si>
  <si>
    <t>Vũ Trọng Hoàng</t>
  </si>
  <si>
    <t>26.6.2000</t>
  </si>
  <si>
    <t>Trần Hữu Huy Hoàng</t>
  </si>
  <si>
    <t>18.4.2004</t>
  </si>
  <si>
    <t>Cao Mạnh Hùng</t>
  </si>
  <si>
    <t>Nguyễn Văn Hùng</t>
  </si>
  <si>
    <t>Nguyễn Anh Huy</t>
  </si>
  <si>
    <t>20.5.2004</t>
  </si>
  <si>
    <t>Dương Văn Huy</t>
  </si>
  <si>
    <t>17.8.2007</t>
  </si>
  <si>
    <t>Hoàng Trung Kiên</t>
  </si>
  <si>
    <t>24.12.2007</t>
  </si>
  <si>
    <t>04.02.2006</t>
  </si>
  <si>
    <t>Vũ Duy Khánh</t>
  </si>
  <si>
    <t>17.11.2007</t>
  </si>
  <si>
    <t>Phùng Đăng Khoa</t>
  </si>
  <si>
    <t>Hoàng Văn Lâm</t>
  </si>
  <si>
    <t>05.4.2007</t>
  </si>
  <si>
    <t>Vũ Thành Lân</t>
  </si>
  <si>
    <t>07.10.2007</t>
  </si>
  <si>
    <t>Tăng Thiên Long</t>
  </si>
  <si>
    <t>26.02.2003</t>
  </si>
  <si>
    <t>29.5.2005</t>
  </si>
  <si>
    <t>Nguyễn Tuấn Mạnh</t>
  </si>
  <si>
    <t>14.7.2006</t>
  </si>
  <si>
    <t>Bùi Quang Minh</t>
  </si>
  <si>
    <t xml:space="preserve">Lê Văn Hải Nam </t>
  </si>
  <si>
    <t>Nguyễn Phú Nam</t>
  </si>
  <si>
    <t>18.9.2007</t>
  </si>
  <si>
    <t>Trần Hải Nam</t>
  </si>
  <si>
    <t>05.10.2007</t>
  </si>
  <si>
    <t>Nguyễn Phương Nam</t>
  </si>
  <si>
    <t>Chíu Sáng Nịp</t>
  </si>
  <si>
    <t>16.8.2007</t>
  </si>
  <si>
    <t>Bùi Hồng Ngọc</t>
  </si>
  <si>
    <t>23.8.2004</t>
  </si>
  <si>
    <t>Phạm Đức Nhật</t>
  </si>
  <si>
    <t xml:space="preserve">Nguyễn Sỹ Phong </t>
  </si>
  <si>
    <t>Nguyễn Quang Phú</t>
  </si>
  <si>
    <t>Nguyễn Minh Phúc</t>
  </si>
  <si>
    <t>24.02.2007</t>
  </si>
  <si>
    <t>Nguyễn Việt Phương</t>
  </si>
  <si>
    <t>26.6.2006</t>
  </si>
  <si>
    <t>Nguyễn Văn Quảng</t>
  </si>
  <si>
    <t>Hà Minh Quý</t>
  </si>
  <si>
    <t>05.12.2005</t>
  </si>
  <si>
    <t xml:space="preserve">Bùi Quang Tiến </t>
  </si>
  <si>
    <t>26.02.2007</t>
  </si>
  <si>
    <t>Nguyễn Đức Tin</t>
  </si>
  <si>
    <t>07.5.2007</t>
  </si>
  <si>
    <t>Lưu Vũ Toàn</t>
  </si>
  <si>
    <t>Phạm Anh Tú</t>
  </si>
  <si>
    <t>Nguyễn Ngọc Tuấn</t>
  </si>
  <si>
    <t>28.5.2007</t>
  </si>
  <si>
    <t>Bùi Thanh Tùng</t>
  </si>
  <si>
    <t>29.9.2007</t>
  </si>
  <si>
    <t>Hoàng Đức Tùng</t>
  </si>
  <si>
    <t>03.9.2002</t>
  </si>
  <si>
    <t>Hà Minh Thái</t>
  </si>
  <si>
    <t>25.8.2004</t>
  </si>
  <si>
    <t>Cao Tiến Thành</t>
  </si>
  <si>
    <t>11.02.2005</t>
  </si>
  <si>
    <t>Đinh Quốc Thành</t>
  </si>
  <si>
    <t>17.7.2006</t>
  </si>
  <si>
    <t>Nguyễn Thế Thắng</t>
  </si>
  <si>
    <t>Ngô Quang Thắng</t>
  </si>
  <si>
    <t>29.01.2007</t>
  </si>
  <si>
    <t>Nguyễn Viết Thắng</t>
  </si>
  <si>
    <t>18.12.2007</t>
  </si>
  <si>
    <t>Nguyễn Cát Thuấn</t>
  </si>
  <si>
    <t>Nguyễn Văn Thuấn</t>
  </si>
  <si>
    <t>19.12.2002</t>
  </si>
  <si>
    <t>Lê Anh Thư</t>
  </si>
  <si>
    <t>14.11.2007</t>
  </si>
  <si>
    <t>Bùi Quốc Triệu</t>
  </si>
  <si>
    <t>14.12.2006</t>
  </si>
  <si>
    <t>Trần Quang Trung</t>
  </si>
  <si>
    <t>03.11.2002</t>
  </si>
  <si>
    <t>Vũ Tiến Trung</t>
  </si>
  <si>
    <t>19.5.2006</t>
  </si>
  <si>
    <t>Vũ Quang Trung</t>
  </si>
  <si>
    <t>25.5.2007</t>
  </si>
  <si>
    <t>Đỗ Xuân Trường</t>
  </si>
  <si>
    <t>Phạm Lam Trường</t>
  </si>
  <si>
    <t>13.10.2006</t>
  </si>
  <si>
    <t>Hoàng Quốc Việt</t>
  </si>
  <si>
    <t>Vũ Tiến Việt</t>
  </si>
  <si>
    <t>Hoàng Quang Vinh</t>
  </si>
  <si>
    <t>07.01.2004</t>
  </si>
  <si>
    <t>Nguyễn Ngọc Vũ</t>
  </si>
  <si>
    <t>14.9.2005</t>
  </si>
  <si>
    <t>Nghĩa Dân, Hưng Yên</t>
  </si>
  <si>
    <t>P. Gia Viên, Hải Phòng</t>
  </si>
  <si>
    <t>Thanh Hà, Hải Phòng</t>
  </si>
  <si>
    <t>Nam Thanh Miện, Hải Phòng</t>
  </si>
  <si>
    <t>Lục Hồn, Quảng Ninh</t>
  </si>
  <si>
    <t>Thái Tân, Hải Phòng</t>
  </si>
  <si>
    <t>Hà Đông, Hải Phòng</t>
  </si>
  <si>
    <t>Bình Giang, Hải Phòng</t>
  </si>
  <si>
    <t>P. Thuỷ Nguyên, Hải Phòng</t>
  </si>
  <si>
    <t>P. Hồng Bàng, Hải Phòng</t>
  </si>
  <si>
    <t>Vạn Xuân, Hưng Yên</t>
  </si>
  <si>
    <t>P. Lưu Kiếm, Hải Phòng</t>
  </si>
  <si>
    <t>Yên Mỹ, Hưng Yên</t>
  </si>
  <si>
    <t>P. An Biên, Hải Phòng</t>
  </si>
  <si>
    <t>Thái Thuỵ, Hưng Yên</t>
  </si>
  <si>
    <t>Điền Xã, Quảng Ninh</t>
  </si>
  <si>
    <t>Đông Quan, Hưng Yên</t>
  </si>
  <si>
    <t>P. Phù Liễn, Hải Phòng</t>
  </si>
  <si>
    <t>Tân Thuận, Hưng Yên</t>
  </si>
  <si>
    <t>Diên Hà, Hưng Yên</t>
  </si>
  <si>
    <t>Hồng Minh, Hưng Yên</t>
  </si>
  <si>
    <t>An Khánh, Hải Phòng</t>
  </si>
  <si>
    <t>P. Tuần Châu, Quảng Ninh</t>
  </si>
  <si>
    <t>Tiên Sơn, Ninh Bình</t>
  </si>
  <si>
    <t>Đồng Bằng, Hưng Yên</t>
  </si>
  <si>
    <t>Đồng Văn, Ninh Bình</t>
  </si>
  <si>
    <t>Chí Minh, Hải Phòng</t>
  </si>
  <si>
    <t>Yên Cường, Ninh Bình</t>
  </si>
  <si>
    <t>P. Kinh Môn, Hải Phòng</t>
  </si>
  <si>
    <t>P. Hải An, Hải Phòng</t>
  </si>
  <si>
    <t>P. Thiên Trường, Ninh Bình</t>
  </si>
  <si>
    <t>P. An Dương, Hải Phòng</t>
  </si>
  <si>
    <t>Tân An, Hải Phòng</t>
  </si>
  <si>
    <t>Mao Điền, Hải Phòng</t>
  </si>
  <si>
    <t>Vĩnh Thuận, Hải Phòng</t>
  </si>
  <si>
    <t>Kiến Minh, Hải Phòng</t>
  </si>
  <si>
    <t>Hồng Quang, Ninh Bình</t>
  </si>
  <si>
    <t>Vĩnh Trụ, Ninh Bình</t>
  </si>
  <si>
    <t>P. Thạch Khôi, Hải Phòng</t>
  </si>
  <si>
    <t>Mường Vang, Phú Thọ</t>
  </si>
  <si>
    <t>Việt Khê, Hải Phòng</t>
  </si>
  <si>
    <t>Khúc Thừa Dụ, Hải Phòng</t>
  </si>
  <si>
    <t>Bình An, Ninh Bình</t>
  </si>
  <si>
    <t>An Quang, Hải Phòng</t>
  </si>
  <si>
    <t>Việt Hưng, Quảng Ninh</t>
  </si>
  <si>
    <t>Hải Hoà, Quảng Ninh</t>
  </si>
  <si>
    <t>Tiền Hải, Hưng Yên</t>
  </si>
  <si>
    <t>P. Hà Tu, Quảng Ninh</t>
  </si>
  <si>
    <t>Cẩm Giàng, Hải Phòng</t>
  </si>
  <si>
    <t>Lạc Phượng, Hải Phòng</t>
  </si>
  <si>
    <t>P. Hoà Bình, Hải Phòng</t>
  </si>
  <si>
    <t>Phạm Đức An</t>
  </si>
  <si>
    <t>27.02.2007</t>
  </si>
  <si>
    <t>Vũ Tuấn Anh</t>
  </si>
  <si>
    <t>01.01.2005</t>
  </si>
  <si>
    <t>08.09.2007</t>
  </si>
  <si>
    <t>Nguyễn Trọng Nam Anh</t>
  </si>
  <si>
    <t>02.09.2007</t>
  </si>
  <si>
    <t>Đỗ Trung Anh</t>
  </si>
  <si>
    <t>21.01.2000</t>
  </si>
  <si>
    <t>Đặng Thanh Bình</t>
  </si>
  <si>
    <t>22.11.2007</t>
  </si>
  <si>
    <t>Phạm Thanh Bình</t>
  </si>
  <si>
    <t>20.11.2006</t>
  </si>
  <si>
    <t>Đinh Hữu Chinh</t>
  </si>
  <si>
    <t>15.04.2002</t>
  </si>
  <si>
    <t>Vũ Văn Cường</t>
  </si>
  <si>
    <t>18.06.2007</t>
  </si>
  <si>
    <t>Trương Minh Doanh</t>
  </si>
  <si>
    <t>14.10.2007</t>
  </si>
  <si>
    <t>Tăng Đức Duy</t>
  </si>
  <si>
    <t>20.10.2007</t>
  </si>
  <si>
    <t>Nguyễn Thành Đạt</t>
  </si>
  <si>
    <t>Lê Tiến Đạt</t>
  </si>
  <si>
    <t>05.11.2005</t>
  </si>
  <si>
    <t>Vũ Thế Đạt</t>
  </si>
  <si>
    <t>23.09.2007</t>
  </si>
  <si>
    <t>Quách Minh Đạt</t>
  </si>
  <si>
    <t>24.08.2006</t>
  </si>
  <si>
    <t>Bùi Đức Hà</t>
  </si>
  <si>
    <t>02.4.2004</t>
  </si>
  <si>
    <t>Trần Đức Hải</t>
  </si>
  <si>
    <t>16.01.2008</t>
  </si>
  <si>
    <t>Phạm Đình Hải</t>
  </si>
  <si>
    <t>30.09.2006</t>
  </si>
  <si>
    <t>Vũ Văn Hiền</t>
  </si>
  <si>
    <t>28.09.2005</t>
  </si>
  <si>
    <t>20.12.2007</t>
  </si>
  <si>
    <t>07.06.2007</t>
  </si>
  <si>
    <t>08.06.2007</t>
  </si>
  <si>
    <t>Trần Thế Hoàng</t>
  </si>
  <si>
    <t>09.10.2007</t>
  </si>
  <si>
    <t>Phạm Trung Hoàng</t>
  </si>
  <si>
    <t>22.04.2003</t>
  </si>
  <si>
    <t>Nguyễn Phúc Hưởng</t>
  </si>
  <si>
    <t>29.08.2007</t>
  </si>
  <si>
    <t>Phạm Trường Huy</t>
  </si>
  <si>
    <t>17.04.2004</t>
  </si>
  <si>
    <t>24.03.2007</t>
  </si>
  <si>
    <t>Dương Phú Khánh</t>
  </si>
  <si>
    <t>04.7.2007</t>
  </si>
  <si>
    <t>Lê Thế Kiên</t>
  </si>
  <si>
    <t>28.11.2005</t>
  </si>
  <si>
    <t>Chíu Phúc Lâm</t>
  </si>
  <si>
    <t>25.05.2007</t>
  </si>
  <si>
    <t>Trần Văn Lường</t>
  </si>
  <si>
    <t>01.09.2007</t>
  </si>
  <si>
    <t>Phạm Bình Minh</t>
  </si>
  <si>
    <t>04.11.2006</t>
  </si>
  <si>
    <t>Bùi Khắc Nam</t>
  </si>
  <si>
    <t>08.04.2007</t>
  </si>
  <si>
    <t>Vũ Thành Nam</t>
  </si>
  <si>
    <t>19.06.2006</t>
  </si>
  <si>
    <t>Phạm Minh Nghĩa</t>
  </si>
  <si>
    <t>16.03.2007</t>
  </si>
  <si>
    <t>Nguyễn Nhất Nguyên</t>
  </si>
  <si>
    <t>23.02.2007</t>
  </si>
  <si>
    <t>Dương Văn Nhật</t>
  </si>
  <si>
    <t>06.08.2007</t>
  </si>
  <si>
    <t>Đặng Văn Phong</t>
  </si>
  <si>
    <t>10.06.2001</t>
  </si>
  <si>
    <t>Hoàng Văn Phong</t>
  </si>
  <si>
    <t>02.05.2007</t>
  </si>
  <si>
    <t>Bạch Văn Phúc</t>
  </si>
  <si>
    <t>29.09.2007</t>
  </si>
  <si>
    <t>Nguyễn Hồng Phúc</t>
  </si>
  <si>
    <t>15.10.2007</t>
  </si>
  <si>
    <t>Trịnh Công Phúc</t>
  </si>
  <si>
    <t>11.5.2007</t>
  </si>
  <si>
    <t>10.09.2007</t>
  </si>
  <si>
    <t>Phùn Văn Quân</t>
  </si>
  <si>
    <t>6.3.2007</t>
  </si>
  <si>
    <t>Mai Tiến Quyết</t>
  </si>
  <si>
    <t>13.07.2006</t>
  </si>
  <si>
    <t>Phạm Hồng Quynh</t>
  </si>
  <si>
    <t>27.07.2007</t>
  </si>
  <si>
    <t>Nguyễn Sĩ  Giang</t>
  </si>
  <si>
    <t>Nguyễn Bá Sơn</t>
  </si>
  <si>
    <t>25.11.2007</t>
  </si>
  <si>
    <t>Phạm Tiến Thành</t>
  </si>
  <si>
    <t>Phan Hải Thượng</t>
  </si>
  <si>
    <t>Vũ Xuân Tiến</t>
  </si>
  <si>
    <t>2.11.2007</t>
  </si>
  <si>
    <t>Lê Công Trà</t>
  </si>
  <si>
    <t>Phạm Minh Triết</t>
  </si>
  <si>
    <t>28.10.2006</t>
  </si>
  <si>
    <t>Nguyễn Văn Mạnh Tú</t>
  </si>
  <si>
    <t>22.02.2004</t>
  </si>
  <si>
    <t>Nguyễn Duy Việt</t>
  </si>
  <si>
    <t>15.03.2007</t>
  </si>
  <si>
    <t>Nguyễn Quang Vinh</t>
  </si>
  <si>
    <t>Nguyễn Thế Vịnh</t>
  </si>
  <si>
    <t>Trần Đức Vương</t>
  </si>
  <si>
    <t>23.04.2007</t>
  </si>
  <si>
    <t>Hoàn Long, Hưng Yên</t>
  </si>
  <si>
    <t>Ngự Thiên, Hưng Yên</t>
  </si>
  <si>
    <t>Bắc Lý, Ninh Bình</t>
  </si>
  <si>
    <t>P.Thạch Khôi, Tp Hải Phòng</t>
  </si>
  <si>
    <t>P. Hạ Long, Quảng Ninh</t>
  </si>
  <si>
    <t>Phú Sơn, Ninh Bình</t>
  </si>
  <si>
    <t>Gia Trấn, Ninh Bình</t>
  </si>
  <si>
    <t>P. Thạch Khôi, Tp Hải Phòng</t>
  </si>
  <si>
    <t>Ninh Cường, Ninh Bình</t>
  </si>
  <si>
    <t>Ninh Giang, Hải Phòng</t>
  </si>
  <si>
    <t>Đường Hoa, Quảng Ninh</t>
  </si>
  <si>
    <t>P. Hoành Mô, Quảng Ninh</t>
  </si>
  <si>
    <t>Gia Tường, tỉnh Ninh Bình</t>
  </si>
  <si>
    <t>Tân An, Tp Hải Phòng</t>
  </si>
  <si>
    <t>Quỳnh An, Hưng Yên</t>
  </si>
  <si>
    <t>Hải Sơn, Quảng Ninh</t>
  </si>
  <si>
    <t>Nam Tiên Hưng, Hưng Yên</t>
  </si>
  <si>
    <t>Nghĩa Hưng, Ninh Bình</t>
  </si>
  <si>
    <t>Vĩnh Hòa, Tp Hải Phòng</t>
  </si>
  <si>
    <t>Hưng Phú,  Hưng Yên</t>
  </si>
  <si>
    <t>ĐK Cát Hải, Tp Hải Phòng</t>
  </si>
  <si>
    <t>Vũ Thành An</t>
  </si>
  <si>
    <t>Nguyễn Trần Quang Anh</t>
  </si>
  <si>
    <t>Nguyễn Tuấn Anh</t>
  </si>
  <si>
    <t>16.6.2007</t>
  </si>
  <si>
    <t>Dương Huy Bảo</t>
  </si>
  <si>
    <t>19.3.2006</t>
  </si>
  <si>
    <t>Hà Võ Thế Dũng</t>
  </si>
  <si>
    <t>26.12.2007</t>
  </si>
  <si>
    <t>Nguyễn Tùng Dương</t>
  </si>
  <si>
    <t>08.8.2005</t>
  </si>
  <si>
    <t>Nguyễn Viết Dương</t>
  </si>
  <si>
    <t>04.4.2006</t>
  </si>
  <si>
    <t>Vũ Hoàng Dương</t>
  </si>
  <si>
    <t>Bùi Thái Duy</t>
  </si>
  <si>
    <t>Vũ Trọng Đạt</t>
  </si>
  <si>
    <t>Nguyễn Đồng Đạt</t>
  </si>
  <si>
    <t>06.9.2007</t>
  </si>
  <si>
    <t>Vũ Tiến Đạt</t>
  </si>
  <si>
    <t>19.12.2007</t>
  </si>
  <si>
    <t>16.7.2004</t>
  </si>
  <si>
    <t>Phạm Minh Đức</t>
  </si>
  <si>
    <t>17.8.2006</t>
  </si>
  <si>
    <t>Hoàng Văn Được</t>
  </si>
  <si>
    <t>Nguyễn Huy Hiệu</t>
  </si>
  <si>
    <t>Trần Quang Hiệu</t>
  </si>
  <si>
    <t>Đỗ Việt Hòa</t>
  </si>
  <si>
    <t>Vũ Văn Hòa</t>
  </si>
  <si>
    <t>01.10.2006</t>
  </si>
  <si>
    <t>Đào Quang Hưng</t>
  </si>
  <si>
    <t>15.7.2007</t>
  </si>
  <si>
    <t>13.01.2004</t>
  </si>
  <si>
    <t>24.11.2005</t>
  </si>
  <si>
    <t>Bùi Đức Huy</t>
  </si>
  <si>
    <t>Nguyễn Trọng Kiên</t>
  </si>
  <si>
    <t>Bùi Quốc Lâm</t>
  </si>
  <si>
    <t>16.02.2007</t>
  </si>
  <si>
    <t>Đoàn Đắc Lãm</t>
  </si>
  <si>
    <t>Phạm Quý Long</t>
  </si>
  <si>
    <t>08.5.2006</t>
  </si>
  <si>
    <t>Phạm Văn Lượng</t>
  </si>
  <si>
    <t>10.11.2002</t>
  </si>
  <si>
    <t>Trần Văn Minh</t>
  </si>
  <si>
    <t>16.11.2007</t>
  </si>
  <si>
    <t>Đào Quang Minh</t>
  </si>
  <si>
    <t>30.7.2002</t>
  </si>
  <si>
    <t>11.12.2007</t>
  </si>
  <si>
    <t>Phan Hữu Phong</t>
  </si>
  <si>
    <t>Đinh Thanh Phong</t>
  </si>
  <si>
    <t>Vũ Trọng Phú</t>
  </si>
  <si>
    <t>24.5.2007</t>
  </si>
  <si>
    <t>Nguyễn Khắc Quân</t>
  </si>
  <si>
    <t>05.6.2007</t>
  </si>
  <si>
    <t>Nguyễn Công Sơn</t>
  </si>
  <si>
    <t>Phạm Công Sơn</t>
  </si>
  <si>
    <t>02.10.2007</t>
  </si>
  <si>
    <t>Đặng Tuấn Thăng</t>
  </si>
  <si>
    <t>Nguyễn Văn Thắng</t>
  </si>
  <si>
    <t>02.11.2007</t>
  </si>
  <si>
    <t>Bùi Đức Thịnh</t>
  </si>
  <si>
    <t>18.11.2006</t>
  </si>
  <si>
    <t>Lương Ngọc Thụ</t>
  </si>
  <si>
    <t>17.9.2004</t>
  </si>
  <si>
    <t>Nguyễn Văn Tiến</t>
  </si>
  <si>
    <t>24.02.2003</t>
  </si>
  <si>
    <t>Nguyễn Quang Toàn</t>
  </si>
  <si>
    <t>17.12.2005</t>
  </si>
  <si>
    <t>Đỗ Thanh Trung</t>
  </si>
  <si>
    <t>08.6.2005</t>
  </si>
  <si>
    <t>Nguyễn Bá Anh Tú</t>
  </si>
  <si>
    <t>Nguyễn Văn Tuân</t>
  </si>
  <si>
    <t>Trần Anh Tuấn</t>
  </si>
  <si>
    <t>05.9.2007</t>
  </si>
  <si>
    <t>Lê Chiến Tùng</t>
  </si>
  <si>
    <t>Phạm Thế Tường</t>
  </si>
  <si>
    <t>Lỷ Văn Tướng</t>
  </si>
  <si>
    <t>Bùi Quang Vinh</t>
  </si>
  <si>
    <t>12.9.2007</t>
  </si>
  <si>
    <t>Phùng Đình Vinh</t>
  </si>
  <si>
    <t>Tạ Trọng Vỹ</t>
  </si>
  <si>
    <t>Quỳnh Lưu, Ninh Bình</t>
  </si>
  <si>
    <t>Tiên La,  Hưng Yên</t>
  </si>
  <si>
    <t>P. Vành Danh, Quảng Ninh</t>
  </si>
  <si>
    <t>Vũ Bản, Ninh Bình</t>
  </si>
  <si>
    <t>Hồng Vũ, Hưng Yên</t>
  </si>
  <si>
    <t>An Nhân, Ninh Bình</t>
  </si>
  <si>
    <t>P. Thủy Nguyên, Tp Hải Phòng</t>
  </si>
  <si>
    <t>Thanh Sơn, Ninh Bình</t>
  </si>
  <si>
    <t xml:space="preserve"> Nam Lý, Ninh Bình</t>
  </si>
  <si>
    <t>Việt Yên, Hưng Yên</t>
  </si>
  <si>
    <t>P. Quế Võ, Bắc Ninh</t>
  </si>
  <si>
    <t>Gia Viễn, Ninh Bình</t>
  </si>
  <si>
    <t>P. Cao Xanh, Quảng Ninh</t>
  </si>
  <si>
    <t>Đồng Thịnh, Ninh Bình</t>
  </si>
  <si>
    <t>Vũ Dương, Ninh Bình</t>
  </si>
  <si>
    <t>Thanh Miện, Tp Hải Phòng</t>
  </si>
  <si>
    <t>Quang Lịch, Hưng Yên</t>
  </si>
  <si>
    <t>Lý Nhân, Ninh Bình</t>
  </si>
  <si>
    <t>Ngọc Lâm, Hưng Yên</t>
  </si>
  <si>
    <t>Nam Lý, Ninh Bình</t>
  </si>
  <si>
    <t>P. Hồng Gai, Quảng Ninh</t>
  </si>
  <si>
    <t>Nam Thanh Miện, Tp Hải Phòng</t>
  </si>
  <si>
    <t>03.05.2007</t>
  </si>
  <si>
    <t>Vũ Đức Anh</t>
  </si>
  <si>
    <t>12.06.2007</t>
  </si>
  <si>
    <t>13.05.2006</t>
  </si>
  <si>
    <t>Lê Thành Công</t>
  </si>
  <si>
    <t>21.05.2007</t>
  </si>
  <si>
    <t>Bùi Tiến Cường</t>
  </si>
  <si>
    <t>03.07.2003</t>
  </si>
  <si>
    <t>Nguyễn Hoàng Cường</t>
  </si>
  <si>
    <t>Nguyễn Đức Duy</t>
  </si>
  <si>
    <t>11.08.2007</t>
  </si>
  <si>
    <t>Vũ Hải Đăng</t>
  </si>
  <si>
    <t>05.05.2007</t>
  </si>
  <si>
    <t>04.10.2007</t>
  </si>
  <si>
    <t>Tô Quốc Đạt</t>
  </si>
  <si>
    <t>26.09.2007</t>
  </si>
  <si>
    <t>Đoàn Tiến Đạt</t>
  </si>
  <si>
    <t>15/02/2004</t>
  </si>
  <si>
    <t>Nguyễn Đăng Hải</t>
  </si>
  <si>
    <t>03.12.2007</t>
  </si>
  <si>
    <t>Đinh Trần Minh Hiếu</t>
  </si>
  <si>
    <t>01.11.2007</t>
  </si>
  <si>
    <t>Trịnh Văn Huy</t>
  </si>
  <si>
    <t>27.09.2003</t>
  </si>
  <si>
    <t>Bàn Trung Huấn</t>
  </si>
  <si>
    <t>05.10.2006</t>
  </si>
  <si>
    <t>Phạm Khánh Hưng</t>
  </si>
  <si>
    <t>04.04.2007</t>
  </si>
  <si>
    <t>Trần Văn Hưng</t>
  </si>
  <si>
    <t>29.08.2003</t>
  </si>
  <si>
    <t>Đào Đăng Khoa</t>
  </si>
  <si>
    <t>11.09.2003</t>
  </si>
  <si>
    <t>Hoàng Duy Khánh</t>
  </si>
  <si>
    <t>Ngô Xuân Khánh</t>
  </si>
  <si>
    <t>Phạm Duy Linh</t>
  </si>
  <si>
    <t>09.01.2007</t>
  </si>
  <si>
    <t>Trần Gia Long</t>
  </si>
  <si>
    <t>01.12.2007</t>
  </si>
  <si>
    <t>Đào Quang Long</t>
  </si>
  <si>
    <t>Trần Duy Mạnh</t>
  </si>
  <si>
    <t>19.05.2007</t>
  </si>
  <si>
    <t>Đỗ Đăng Minh</t>
  </si>
  <si>
    <t>30.03.2004</t>
  </si>
  <si>
    <t>Bùi Nhật Nam</t>
  </si>
  <si>
    <t>Đinh Đức Ngọc</t>
  </si>
  <si>
    <t>01.12.2001</t>
  </si>
  <si>
    <t>01.06.2007</t>
  </si>
  <si>
    <t>Nguyễn Đức Thái</t>
  </si>
  <si>
    <t>09.06.2007</t>
  </si>
  <si>
    <t>Nguyễn Đức Thiện</t>
  </si>
  <si>
    <t>05.03.2004</t>
  </si>
  <si>
    <t>Đoàn Văn Thắng</t>
  </si>
  <si>
    <t>11.05.2007</t>
  </si>
  <si>
    <t>Dương Bá Toàn</t>
  </si>
  <si>
    <t>Nguyễn Thành Trung</t>
  </si>
  <si>
    <t>05.11.2006</t>
  </si>
  <si>
    <t>Trần Việt Trung</t>
  </si>
  <si>
    <t>10.05.2007</t>
  </si>
  <si>
    <t>Kim Thanh Tùng</t>
  </si>
  <si>
    <t>11.09.2007</t>
  </si>
  <si>
    <t>Mai Văn Tuyền</t>
  </si>
  <si>
    <t>Nguyễn Anh Tú</t>
  </si>
  <si>
    <t>Trần Quốc Việt</t>
  </si>
  <si>
    <t>20.01.2005</t>
  </si>
  <si>
    <t>Đoàn Mạnh Vĩnh</t>
  </si>
  <si>
    <t>25.09.2005</t>
  </si>
  <si>
    <t>Chí Minh, Tp Hải Phòng</t>
  </si>
  <si>
    <t>Tân Minh, Ninh Bình</t>
  </si>
  <si>
    <t>Xuân Trường, Nam Định</t>
  </si>
  <si>
    <t xml:space="preserve"> Đặc Khu Vân Đồn, Quảng Ninh</t>
  </si>
  <si>
    <t>P. An Hưng, Tp Hải Phòng</t>
  </si>
  <si>
    <t>Đặc khu Vân Đồn, Quảng Ninh</t>
  </si>
  <si>
    <t>P. Tiên Minh, Tp Hải Phòng</t>
  </si>
  <si>
    <t>Yết Kiêu, Tp Hải Phòng</t>
  </si>
  <si>
    <t>Phong Doanh, Ninh Bình</t>
  </si>
  <si>
    <t>Bình Nguyên, Hưng Yên</t>
  </si>
  <si>
    <t>P. Bắc An Phụ, Tp Hải Phòng    </t>
  </si>
  <si>
    <t xml:space="preserve">An Hưng, Tp Hải Phòng </t>
  </si>
  <si>
    <t>Long Hưng, Hưng yên</t>
  </si>
  <si>
    <t>Ngự Thiên, Hưng yên</t>
  </si>
  <si>
    <t>P. Việt Hưng, Quảng Ninh</t>
  </si>
  <si>
    <t>Ý Yên, Ninh Bình</t>
  </si>
  <si>
    <t>P. Hải Dương, Tp Hải Phòng</t>
  </si>
  <si>
    <t>Nguyễn Bá Việt An</t>
  </si>
  <si>
    <t>22.10.2007</t>
  </si>
  <si>
    <t>Đào Đức Anh</t>
  </si>
  <si>
    <t>Trần Minh Anh</t>
  </si>
  <si>
    <t>21.04.2005</t>
  </si>
  <si>
    <t>Bùi Gia Bảo</t>
  </si>
  <si>
    <t>Nguyễn Đức Cảnh</t>
  </si>
  <si>
    <t>03.02.2003</t>
  </si>
  <si>
    <t>Nguyễn Ngọc Chiến</t>
  </si>
  <si>
    <t>08.12.2007</t>
  </si>
  <si>
    <t>Đặng Ngọc Dũng</t>
  </si>
  <si>
    <t>07.10.2002</t>
  </si>
  <si>
    <t>Nguyễn Văn Dũng</t>
  </si>
  <si>
    <t>09.12.2007</t>
  </si>
  <si>
    <t>Đỗ Đức Duy</t>
  </si>
  <si>
    <t>Nguyễn Khánh Duy</t>
  </si>
  <si>
    <t>Phạm Trung Duy</t>
  </si>
  <si>
    <t>17.12.2007</t>
  </si>
  <si>
    <t>Đào Văn Điển</t>
  </si>
  <si>
    <t>Phạm Văn Đức</t>
  </si>
  <si>
    <t>23.12.2007</t>
  </si>
  <si>
    <t>Nguyễn Xuân Đức</t>
  </si>
  <si>
    <t>26.03.2007</t>
  </si>
  <si>
    <t>Bùi Anh Hải</t>
  </si>
  <si>
    <t>12.12.2006</t>
  </si>
  <si>
    <t>Vũ Văn Hiệp</t>
  </si>
  <si>
    <t>28.06.2007</t>
  </si>
  <si>
    <t>Nguyễn Trác Hiếu</t>
  </si>
  <si>
    <t>19.12.2005</t>
  </si>
  <si>
    <t>Phạm Duy Hoàng</t>
  </si>
  <si>
    <t>23.10.2005</t>
  </si>
  <si>
    <t>Trịnh Quốc Hùng</t>
  </si>
  <si>
    <t>06.02.2003</t>
  </si>
  <si>
    <t>Vũ Xuân Hưởng</t>
  </si>
  <si>
    <t>Nguyễn Trường Huy</t>
  </si>
  <si>
    <t>Trần Đức Long</t>
  </si>
  <si>
    <t>Đoàn Duy Mạnh</t>
  </si>
  <si>
    <t>23.08.2007</t>
  </si>
  <si>
    <t>Vũ Tiến Mạnh</t>
  </si>
  <si>
    <t>Lưu Xuân Mạnh</t>
  </si>
  <si>
    <t>Tạ Duy Nam</t>
  </si>
  <si>
    <t>04.06.2007</t>
  </si>
  <si>
    <t>Đào Duy Nghĩa</t>
  </si>
  <si>
    <t>29.05.2005</t>
  </si>
  <si>
    <t>Trần Trọng Nghĩa</t>
  </si>
  <si>
    <t>Đỗ Sỹ Ngọc</t>
  </si>
  <si>
    <t>Phạm Văn Nguyên</t>
  </si>
  <si>
    <t>Đặng Tiến Phát</t>
  </si>
  <si>
    <t>Trần Trung Quân</t>
  </si>
  <si>
    <t>Nguyễn Minh Quân A</t>
  </si>
  <si>
    <t>12.09.2007</t>
  </si>
  <si>
    <t>Nguyễn Minh Quân B</t>
  </si>
  <si>
    <t>21.06.2006</t>
  </si>
  <si>
    <t>Nguyễn Minh Quân C</t>
  </si>
  <si>
    <t>Nguyễn Thành Quang</t>
  </si>
  <si>
    <t>25.10.2004</t>
  </si>
  <si>
    <t>Lê Minh Quang</t>
  </si>
  <si>
    <t>Đỗ Anh Quốc</t>
  </si>
  <si>
    <t>Nguyễn Phú Quyết</t>
  </si>
  <si>
    <t>11.09.2006</t>
  </si>
  <si>
    <t>Trịnh Xuân Sơn</t>
  </si>
  <si>
    <t>Đỗ Đăng Thành</t>
  </si>
  <si>
    <t>09.05.2007</t>
  </si>
  <si>
    <t>Vũ Tiến Thành</t>
  </si>
  <si>
    <t>25.07.2004</t>
  </si>
  <si>
    <t>Vũ Như Thuần</t>
  </si>
  <si>
    <t>07.11.2003</t>
  </si>
  <si>
    <t>Lê Quang Toàn</t>
  </si>
  <si>
    <t>04.08.2007</t>
  </si>
  <si>
    <t>Phạm Trung Trí</t>
  </si>
  <si>
    <t>13.10.2007</t>
  </si>
  <si>
    <t>Nguyễn Đức Trọng</t>
  </si>
  <si>
    <t>17.08.2007</t>
  </si>
  <si>
    <t>Vũ Thế Văn</t>
  </si>
  <si>
    <t>17.05.2007</t>
  </si>
  <si>
    <t xml:space="preserve">Đặng Quốc Việt </t>
  </si>
  <si>
    <t>03.02.2007</t>
  </si>
  <si>
    <t>Trần Đình Vũ</t>
  </si>
  <si>
    <t>17.03.2003</t>
  </si>
  <si>
    <t>Vũ Minh Vương</t>
  </si>
  <si>
    <t>31.08.2007</t>
  </si>
  <si>
    <t xml:space="preserve"> P. Thái Bình, Hưng Yên</t>
  </si>
  <si>
    <t xml:space="preserve"> P. Hoàng Quế, Quảng Ninh</t>
  </si>
  <si>
    <t>P. Duy Tiên, Ninh Bình</t>
  </si>
  <si>
    <t>Thượng Hồng, Hải Phòng</t>
  </si>
  <si>
    <t>Nam Tiến, Hưng Yên</t>
  </si>
  <si>
    <t>Phạm Ngũ Lão, Hưng Yên</t>
  </si>
  <si>
    <t>Nam Sách, Hải Phòng</t>
  </si>
  <si>
    <t>Vĩnh Hải, Hải Phòng</t>
  </si>
  <si>
    <t>Hải Hưng, Hải Phòng</t>
  </si>
  <si>
    <t>Nam Đông Hưng, Hưng Yên</t>
  </si>
  <si>
    <t>Nguyễn Đại Năng, Hải Phòng</t>
  </si>
  <si>
    <t>Tân Kỳ, Hải Phòng</t>
  </si>
  <si>
    <t>P. An Phong, Hải Phòng</t>
  </si>
  <si>
    <t xml:space="preserve">An Khánh, Hải Phòng </t>
  </si>
  <si>
    <t>P. Uông Bí, Quảng Ninh</t>
  </si>
  <si>
    <t>Trà Giang, Hưng Yên</t>
  </si>
  <si>
    <t>Vĩnh Bảo, Hải Phòng</t>
  </si>
  <si>
    <t>Quang Hà, Quảng Ninh</t>
  </si>
  <si>
    <t>Nam Minh, Ninh Bình</t>
  </si>
  <si>
    <t>Đặng Phong An</t>
  </si>
  <si>
    <t>10.08.2007</t>
  </si>
  <si>
    <t>Nguyễn Khang An</t>
  </si>
  <si>
    <t>07.09.2007</t>
  </si>
  <si>
    <t>Nguyễn Hoàng Anh A</t>
  </si>
  <si>
    <t>Nguyễn Hoàng Anh B</t>
  </si>
  <si>
    <t>Đỗ Nhật Anh</t>
  </si>
  <si>
    <t>Đặng Quốc Anh</t>
  </si>
  <si>
    <t>17.11.2006</t>
  </si>
  <si>
    <t>Bùi Đức Anh</t>
  </si>
  <si>
    <t>23.10.2007</t>
  </si>
  <si>
    <t>23.03.2007</t>
  </si>
  <si>
    <t>Nguyễn Tú Anh</t>
  </si>
  <si>
    <t>Nguyễn Quang Bách</t>
  </si>
  <si>
    <t>18.01.2004</t>
  </si>
  <si>
    <t>Đặng Văn Bình</t>
  </si>
  <si>
    <t>21.03.2002</t>
  </si>
  <si>
    <t>Lê Bá Thịnh Danh</t>
  </si>
  <si>
    <t>Đinh Văn Doanh</t>
  </si>
  <si>
    <t>04.12.2007</t>
  </si>
  <si>
    <t>Chu Đức Dũng</t>
  </si>
  <si>
    <t>Đinh Tiến Dũng</t>
  </si>
  <si>
    <t>Phạm Minh Dương</t>
  </si>
  <si>
    <t>18.05.2003</t>
  </si>
  <si>
    <t>16.08.2007</t>
  </si>
  <si>
    <t>Nguyễn Tấn Dương</t>
  </si>
  <si>
    <t>30.11.2001</t>
  </si>
  <si>
    <t>Đặng Văn Đại</t>
  </si>
  <si>
    <t>Nguyễn Hải Đăng</t>
  </si>
  <si>
    <t>24.07.2007</t>
  </si>
  <si>
    <t>Đỗ Văn Thành Đạt</t>
  </si>
  <si>
    <t>02.02.2006</t>
  </si>
  <si>
    <t>Nguyễn Tiến Đạt</t>
  </si>
  <si>
    <t>21.08.2007</t>
  </si>
  <si>
    <t>28.12.2007</t>
  </si>
  <si>
    <t>Nguyễn Thế Độ</t>
  </si>
  <si>
    <t>Lê Đức Hải</t>
  </si>
  <si>
    <t>Phạm Vinh Hiển</t>
  </si>
  <si>
    <t>25.09.2004</t>
  </si>
  <si>
    <t>Vũ Văn Hiếu A</t>
  </si>
  <si>
    <t>Vũ Văn Hiếu B</t>
  </si>
  <si>
    <t>28.09.2004</t>
  </si>
  <si>
    <t>Đặng Trung Hiếu</t>
  </si>
  <si>
    <t>03.05.2005</t>
  </si>
  <si>
    <t>Nguyễn Văn Hiếu</t>
  </si>
  <si>
    <t>02.06.2007</t>
  </si>
  <si>
    <t>Lương Đức Hiếu</t>
  </si>
  <si>
    <t>18.12.2004</t>
  </si>
  <si>
    <t>Nguyễn Đức Hiếu</t>
  </si>
  <si>
    <t>Nguyễn Duy Hoàn</t>
  </si>
  <si>
    <t>Ngô Đình Hoàng</t>
  </si>
  <si>
    <t>16.05.2003</t>
  </si>
  <si>
    <t>Nguyễn Văn Hoàng</t>
  </si>
  <si>
    <t>21.09.2007</t>
  </si>
  <si>
    <t>Nguyễn Huy Hoàng</t>
  </si>
  <si>
    <t>Đoàn Việt Hoàng</t>
  </si>
  <si>
    <t>Lê Nguyễn Việt Hoàng</t>
  </si>
  <si>
    <t>06.05.2002</t>
  </si>
  <si>
    <t>Vũ Đức Hoàng</t>
  </si>
  <si>
    <t>10.07.2007</t>
  </si>
  <si>
    <t>Lương Quang Huy</t>
  </si>
  <si>
    <t>10.02.2006</t>
  </si>
  <si>
    <t>Đinh Văn Khánh</t>
  </si>
  <si>
    <t>Vũ Anh Linh</t>
  </si>
  <si>
    <t>14.08.2006</t>
  </si>
  <si>
    <t>Đặng Quang Lộc</t>
  </si>
  <si>
    <t>02.06.2003</t>
  </si>
  <si>
    <t>Nguyễn Huy Long</t>
  </si>
  <si>
    <t>11.07.2006</t>
  </si>
  <si>
    <t xml:space="preserve">Dương Văn Mạnh </t>
  </si>
  <si>
    <t>04.01.2007</t>
  </si>
  <si>
    <t>Phạm Văn Đức Mạnh</t>
  </si>
  <si>
    <t>25.07.2007</t>
  </si>
  <si>
    <t>Nguyễn Công Minh</t>
  </si>
  <si>
    <t>21.12.2000</t>
  </si>
  <si>
    <t xml:space="preserve">Hoàng Văn Minh </t>
  </si>
  <si>
    <t>18.03.2007</t>
  </si>
  <si>
    <t>Nguyễn Minh Nhật</t>
  </si>
  <si>
    <t>Lã Viết Oanh</t>
  </si>
  <si>
    <t>11.05.2003</t>
  </si>
  <si>
    <t>Lê Tuấn Phong</t>
  </si>
  <si>
    <t>Chu Đức Phúc</t>
  </si>
  <si>
    <t>16.04.2007</t>
  </si>
  <si>
    <t>Nguyễn Anh Đức Phúc</t>
  </si>
  <si>
    <t>01.01.2006</t>
  </si>
  <si>
    <t>Phạm Minh Phương</t>
  </si>
  <si>
    <t>29.11.2007</t>
  </si>
  <si>
    <t>18.04.2007</t>
  </si>
  <si>
    <t>Hoàng Văn Quân</t>
  </si>
  <si>
    <t>07.09.2004</t>
  </si>
  <si>
    <t>Bùi Văn Quảng</t>
  </si>
  <si>
    <t>Vũ Văn Quyền</t>
  </si>
  <si>
    <t>19.01.2008</t>
  </si>
  <si>
    <t>Vũ Hồng Sơn</t>
  </si>
  <si>
    <t>Phạm Tiến Sơn</t>
  </si>
  <si>
    <t>30.12.2004</t>
  </si>
  <si>
    <t>Nguyễn Hoàng Sơn</t>
  </si>
  <si>
    <t>17.02.2007</t>
  </si>
  <si>
    <t>Nguyễn Như Tài</t>
  </si>
  <si>
    <t>27.08.2006</t>
  </si>
  <si>
    <t>Nguyễn Văn Tài</t>
  </si>
  <si>
    <t>21.02.2007</t>
  </si>
  <si>
    <t>Trần Văn Tài</t>
  </si>
  <si>
    <t>Nguyễn Đức Tâm</t>
  </si>
  <si>
    <t>Nguyễn Ngọc Tân</t>
  </si>
  <si>
    <t>07.02.2007</t>
  </si>
  <si>
    <t>Đỗ Đức Thiện</t>
  </si>
  <si>
    <t>31.07.2006</t>
  </si>
  <si>
    <t>Phạm Hữu Thọ</t>
  </si>
  <si>
    <t>17.01.2006</t>
  </si>
  <si>
    <t>Nguyễn Hoàng Thương</t>
  </si>
  <si>
    <t>07.05.2007</t>
  </si>
  <si>
    <t>Đàm Minh Tiến</t>
  </si>
  <si>
    <t>16.05.2007</t>
  </si>
  <si>
    <t>Lê Văn Tình</t>
  </si>
  <si>
    <t>04.09.2005</t>
  </si>
  <si>
    <t>Vũ Đức Toàn</t>
  </si>
  <si>
    <t>23.05.2004</t>
  </si>
  <si>
    <t>Nguyễn Anh Toàn</t>
  </si>
  <si>
    <t>13.02.2002</t>
  </si>
  <si>
    <t>Ngô Thanh Toàn</t>
  </si>
  <si>
    <t>02.11.2001</t>
  </si>
  <si>
    <t>Đỗ Quang Trung</t>
  </si>
  <si>
    <t>30.03.2006</t>
  </si>
  <si>
    <t>Phạm Quang Trung</t>
  </si>
  <si>
    <t>Nguyễn Xuân Trưởng</t>
  </si>
  <si>
    <t>12.09.2006</t>
  </si>
  <si>
    <t>Trịnh Ngọc Tuấn</t>
  </si>
  <si>
    <t>02.09.2006</t>
  </si>
  <si>
    <t>Nguyễn Anh Tuấn</t>
  </si>
  <si>
    <t>Phạm Văn Tuấn</t>
  </si>
  <si>
    <t>19.07.2004</t>
  </si>
  <si>
    <t>Lê Văn Túc</t>
  </si>
  <si>
    <t>15.12.2007</t>
  </si>
  <si>
    <t>Nguyễn Đức Tuệ</t>
  </si>
  <si>
    <t>20.05.2003</t>
  </si>
  <si>
    <t>Trần Trí Tùng</t>
  </si>
  <si>
    <t>05.03.2007</t>
  </si>
  <si>
    <t>Phạm Hữu Tùng</t>
  </si>
  <si>
    <t>14.09.2007</t>
  </si>
  <si>
    <t>Trần Văn Việt</t>
  </si>
  <si>
    <t>05.11.2007</t>
  </si>
  <si>
    <t>Vũ Đức Việt</t>
  </si>
  <si>
    <t>17.09.2007</t>
  </si>
  <si>
    <t>Nguyễn Hữu Việt</t>
  </si>
  <si>
    <t>Bùi Đức Việt</t>
  </si>
  <si>
    <t>27.11.2007</t>
  </si>
  <si>
    <t>Phạm Công Vinh</t>
  </si>
  <si>
    <t>15.11.2003</t>
  </si>
  <si>
    <t>Nam Hồng, Ninh Bình</t>
  </si>
  <si>
    <t>Vụ Bản,  Ninh Bình</t>
  </si>
  <si>
    <t>Hùng Thắng, Hải Phòng</t>
  </si>
  <si>
    <t>P. Hồng Quang, Ninh Bình</t>
  </si>
  <si>
    <t>Bình Liêu, Quảng Ninh</t>
  </si>
  <si>
    <t>P. Phạm Sư Mạnh, Hải Phòng</t>
  </si>
  <si>
    <t>P. Vàng Danh, Quảng Ninh</t>
  </si>
  <si>
    <t>Châu Ninh, Hưng Yên</t>
  </si>
  <si>
    <t>An Lão, Hải Phòng</t>
  </si>
  <si>
    <t>P. Lê Ích Mộc, Hải Phòng</t>
  </si>
  <si>
    <t>Bình Lục, Ninh Bình</t>
  </si>
  <si>
    <t>Sơn Nam, Hưng Yên</t>
  </si>
  <si>
    <t>Thanh Miện, Hải Phòng</t>
  </si>
  <si>
    <t>P. Dương Kinh, Hải Phòng</t>
  </si>
  <si>
    <t>Tiên Lãng, Hải Phòng</t>
  </si>
  <si>
    <t>An Thành, Hải Phòng</t>
  </si>
  <si>
    <t>P. Phố Hiến, Hưng Yên</t>
  </si>
  <si>
    <t>Tân Minh, Hải Phòng</t>
  </si>
  <si>
    <t>Mỹ Lộc, Ninh Bình</t>
  </si>
  <si>
    <t>Hải Xuân, Ninh Bình</t>
  </si>
  <si>
    <t>Quảng La, Quảng Ninh</t>
  </si>
  <si>
    <t>Thanh Lâm, Ninh Bình</t>
  </si>
  <si>
    <t>Minh Thái, Ninh Bình</t>
  </si>
  <si>
    <t>P. Tiên Sơn, Ninh Bình</t>
  </si>
  <si>
    <t>Quyết Thắng, Hải Phòng</t>
  </si>
  <si>
    <t>Đặc Khu Vân Đồn, Quảng Ninh</t>
  </si>
  <si>
    <t>P. Liên Hòa, Quảng Ninh</t>
  </si>
  <si>
    <t>P. Nguyễn Đại Năng, Hải Phòng</t>
  </si>
  <si>
    <t>Minh Tân, Ninh Bình</t>
  </si>
  <si>
    <t>P. Thủy Nguyên, Hải Phòng</t>
  </si>
  <si>
    <t>Hiển Khánh, Ninh Bình</t>
  </si>
  <si>
    <t>P. Tứ Minh, Hải Phòng</t>
  </si>
  <si>
    <t>Cẩm Giàng, Hải Dương</t>
  </si>
  <si>
    <t>Bình Mỹ, Ninh Bình</t>
  </si>
  <si>
    <t>Gio Linh, Quảng Trị</t>
  </si>
  <si>
    <t>P. Bắc An Phụ, Hải Phòng</t>
  </si>
  <si>
    <t>Phù Cừ, Hưng Yên</t>
  </si>
  <si>
    <t>P. Hồng An, Hải Phòng</t>
  </si>
  <si>
    <t>Hoàng Tuấn Anh</t>
  </si>
  <si>
    <t>14.10.2005</t>
  </si>
  <si>
    <t>Lê Đức Anh</t>
  </si>
  <si>
    <t>01.01.2008</t>
  </si>
  <si>
    <t>Lý Quyền Anh</t>
  </si>
  <si>
    <t>Nguyễn Như Tuấn Anh</t>
  </si>
  <si>
    <t>15.5.2007</t>
  </si>
  <si>
    <t>Bùi Văn Cảnh</t>
  </si>
  <si>
    <t>14.6.2007</t>
  </si>
  <si>
    <t>Phạm Công Dũng</t>
  </si>
  <si>
    <t>06.0.2008</t>
  </si>
  <si>
    <t>Đỗ Đình Đạt</t>
  </si>
  <si>
    <t>Trần Chí Đông</t>
  </si>
  <si>
    <t>Trần Anh Đức</t>
  </si>
  <si>
    <t>Trương Văn Giang</t>
  </si>
  <si>
    <t>Phạm Hoàng Hải</t>
  </si>
  <si>
    <t>Mông Văn Hoàn</t>
  </si>
  <si>
    <t>03.7.2005</t>
  </si>
  <si>
    <t>Lê Văn Minh Hoàng</t>
  </si>
  <si>
    <t>07.3.2008</t>
  </si>
  <si>
    <t>Vũ Huy Hoàng</t>
  </si>
  <si>
    <t>21.10.2007</t>
  </si>
  <si>
    <t>Khổng Tuấn Hùng</t>
  </si>
  <si>
    <t>05.9.2005</t>
  </si>
  <si>
    <t>Vương Quốc Khánh</t>
  </si>
  <si>
    <t>Bùi Minh Khoa</t>
  </si>
  <si>
    <t>Hoàng Minh Khuê</t>
  </si>
  <si>
    <t>26.7.2006</t>
  </si>
  <si>
    <t>Lê Văn Linh</t>
  </si>
  <si>
    <t>15.4.2007</t>
  </si>
  <si>
    <t>Phạm Thành Lộc</t>
  </si>
  <si>
    <t>13.6.2007</t>
  </si>
  <si>
    <t>Nguyễn Văn Lực</t>
  </si>
  <si>
    <t>05.12.2003</t>
  </si>
  <si>
    <t>Nguyễn Văn Minh</t>
  </si>
  <si>
    <t>Vũ Hải Nam</t>
  </si>
  <si>
    <t>Vũ Việt Hoài Nam</t>
  </si>
  <si>
    <t>Lê Xuân Nguyên</t>
  </si>
  <si>
    <t>Phạm Thành Nguyên</t>
  </si>
  <si>
    <t>30.11.2007</t>
  </si>
  <si>
    <t>Lê Xuân Phúc</t>
  </si>
  <si>
    <t>Đặng Minh Quân</t>
  </si>
  <si>
    <t>06.10.2006</t>
  </si>
  <si>
    <t>26.3.2007</t>
  </si>
  <si>
    <t>Bùi Hòang Sơn</t>
  </si>
  <si>
    <t>Trần Văn Thanh</t>
  </si>
  <si>
    <t>02.6.2007</t>
  </si>
  <si>
    <t>22.7.2007</t>
  </si>
  <si>
    <t>Ngô Minh Triết</t>
  </si>
  <si>
    <t>08.6.2007</t>
  </si>
  <si>
    <t>Võ Thiên Trường</t>
  </si>
  <si>
    <t>Trần Quốc Tuấn</t>
  </si>
  <si>
    <t>Vũ Thanh Tùng</t>
  </si>
  <si>
    <t>13.11.2007</t>
  </si>
  <si>
    <t>Phạm Xuân Vĩ</t>
  </si>
  <si>
    <t>30.12.2006</t>
  </si>
  <si>
    <t>Đồng Kim Vũ</t>
  </si>
  <si>
    <t>15.12/2007</t>
  </si>
  <si>
    <t>Trần Minh Vượng</t>
  </si>
  <si>
    <t xml:space="preserve">Bình Định, Hưng Yên                                  </t>
  </si>
  <si>
    <t xml:space="preserve">Phạm Sư Mạnh, Tp Hải Phòng                </t>
  </si>
  <si>
    <t xml:space="preserve">Lương Minh, Ninh Bình                       </t>
  </si>
  <si>
    <t xml:space="preserve">Đồng Bằng, Hưng Yên                    </t>
  </si>
  <si>
    <t xml:space="preserve">Vạn Xuân, Hưng Yên                         </t>
  </si>
  <si>
    <t xml:space="preserve">Nho Quan, Ninh Bình                        </t>
  </si>
  <si>
    <t xml:space="preserve">Vạn Thắng, Ninh Bình                              </t>
  </si>
  <si>
    <t xml:space="preserve">Vị Khê, Ninh Bình                                      </t>
  </si>
  <si>
    <t xml:space="preserve">Nam Thanh Miện, Tp Hải Phòng                  </t>
  </si>
  <si>
    <t xml:space="preserve">Trực Ninh, Ninh Bình                               </t>
  </si>
  <si>
    <t xml:space="preserve">Hồng Quang, Ninh Bình                     </t>
  </si>
  <si>
    <t xml:space="preserve">Nghĩa Dân, Hưng Yên                   </t>
  </si>
  <si>
    <t xml:space="preserve">An Phong, Tp Hải Phòng                                </t>
  </si>
  <si>
    <t xml:space="preserve">Châu Sơn, Ninh Bình                            </t>
  </si>
  <si>
    <t xml:space="preserve">Ba Chẽ, Quảng Ninh                                  </t>
  </si>
  <si>
    <t>Bạch Đằng, Tp Hải Phòng</t>
  </si>
  <si>
    <t xml:space="preserve">Nam Thanh Miện, Tp Hải Phòng                     </t>
  </si>
  <si>
    <t xml:space="preserve">Vĩnh Bảo, Tp Hải Phòng                            </t>
  </si>
  <si>
    <t xml:space="preserve">Móng Cái 1, Quảng Ninh                      </t>
  </si>
  <si>
    <t xml:space="preserve">Đông Quan, Ninh Bình                          </t>
  </si>
  <si>
    <t xml:space="preserve">Tiên Lãng, Tp Hải Phòng                        </t>
  </si>
  <si>
    <t xml:space="preserve">Nguyễn Trãi, Hưng Yên                         </t>
  </si>
  <si>
    <t xml:space="preserve">Đông Quan, Hưng Yên                              </t>
  </si>
  <si>
    <t xml:space="preserve">Nam Thanh Miện, Tp Hải Phòng                   </t>
  </si>
  <si>
    <t xml:space="preserve">Yên Đồng, Ninh Bình                            </t>
  </si>
  <si>
    <t xml:space="preserve">An Khánh, Tp Hải Phòng                              </t>
  </si>
  <si>
    <t xml:space="preserve">Yên Mỹ, Hưng Yên                                </t>
  </si>
  <si>
    <t xml:space="preserve">Thạch Thành, Thanh Hóa                    </t>
  </si>
  <si>
    <t xml:space="preserve">Nghĩa Lâm, Ninh Bình                                 </t>
  </si>
  <si>
    <t xml:space="preserve">Nguyễn Trãi, Hưng Yên                               </t>
  </si>
  <si>
    <t xml:space="preserve">Nam Hồng, Ninh Bình                                </t>
  </si>
  <si>
    <t xml:space="preserve">Móng Cái 1, Quảng Ninh                  </t>
  </si>
  <si>
    <t xml:space="preserve">Nam Tiên Hưng, Hưng Yên                     </t>
  </si>
  <si>
    <t xml:space="preserve">Nho Quan, Ninh Bình                             </t>
  </si>
  <si>
    <t xml:space="preserve">Hồng Phong, Ninh Bình                       </t>
  </si>
  <si>
    <t xml:space="preserve">Kim Sơn, Ninh Bình                               </t>
  </si>
  <si>
    <t xml:space="preserve">Diên Hà, Hưng Yên                                   </t>
  </si>
  <si>
    <t xml:space="preserve">Hải Lăng, Quảng Trị                               </t>
  </si>
  <si>
    <t xml:space="preserve">Quyết Thắng, Tp Hải Phòng                           </t>
  </si>
  <si>
    <t xml:space="preserve">Tiên La, Hưng Yên                                     </t>
  </si>
  <si>
    <t xml:space="preserve">Móng Cái, Quảng Ninh                    </t>
  </si>
  <si>
    <t xml:space="preserve">Tứ Minh, Tp Hải Phòng                        </t>
  </si>
  <si>
    <t xml:space="preserve">Việt Khê, Tp Hải Phòng                           </t>
  </si>
  <si>
    <t xml:space="preserve">Nam Cường, Hưng Yên                     </t>
  </si>
  <si>
    <t xml:space="preserve">Lương Duy Anh </t>
  </si>
  <si>
    <t xml:space="preserve">Hoàng Việt Anh </t>
  </si>
  <si>
    <t>Nguyễn Hữu Duân</t>
  </si>
  <si>
    <t>07.7.2005</t>
  </si>
  <si>
    <t>Lê Tiến Dũng</t>
  </si>
  <si>
    <t>09.4.2007</t>
  </si>
  <si>
    <t>Bùi Văn Đoàn</t>
  </si>
  <si>
    <t>05.10.2005</t>
  </si>
  <si>
    <t>25.11.2006</t>
  </si>
  <si>
    <t>Phạm Anh Đức</t>
  </si>
  <si>
    <t>13.7.2006</t>
  </si>
  <si>
    <t>Ninh Văn Đẩu</t>
  </si>
  <si>
    <t>Nguyễn Hữu Hoàng</t>
  </si>
  <si>
    <t>Trần Đức Huy Hoàng</t>
  </si>
  <si>
    <t>Bùi Việt Hùng</t>
  </si>
  <si>
    <t>Trần Quang Huynh</t>
  </si>
  <si>
    <t>Bùi Công Hiệp</t>
  </si>
  <si>
    <t>26.4.2006</t>
  </si>
  <si>
    <t>Trần Viết Khang</t>
  </si>
  <si>
    <t>09.3.2007</t>
  </si>
  <si>
    <t>Hoàng Kim Khánh</t>
  </si>
  <si>
    <t>05.01.2006</t>
  </si>
  <si>
    <t>Cao Duy Khánh</t>
  </si>
  <si>
    <t>Nguyễn Đức Khánh</t>
  </si>
  <si>
    <t>12.8.2007</t>
  </si>
  <si>
    <t>Đặng Đức Trung Kiên</t>
  </si>
  <si>
    <t>Nguyễn Văn Lương</t>
  </si>
  <si>
    <t>22.8.2007</t>
  </si>
  <si>
    <t>Vũ Văn Nhân</t>
  </si>
  <si>
    <t>09.7.2004</t>
  </si>
  <si>
    <t>Phạm Việt Nam</t>
  </si>
  <si>
    <t>03.8.2007</t>
  </si>
  <si>
    <t>Ngô Quang Phúc</t>
  </si>
  <si>
    <t>Nguyễn Đức Thuận Phát</t>
  </si>
  <si>
    <t>Vũ Văn Quân</t>
  </si>
  <si>
    <t>07.4.2007</t>
  </si>
  <si>
    <t>Cao Anh Quyền</t>
  </si>
  <si>
    <t>Phạm Viết Sáng</t>
  </si>
  <si>
    <t>Đặng Văn Tiến</t>
  </si>
  <si>
    <t>12.02.2006</t>
  </si>
  <si>
    <t>Ninh Tuấn Tú</t>
  </si>
  <si>
    <t>Nguyễn Đình Thiện</t>
  </si>
  <si>
    <t>Đỗ Văn Tư</t>
  </si>
  <si>
    <t>18.10.2004</t>
  </si>
  <si>
    <t>Phạm Anh Tuấn</t>
  </si>
  <si>
    <t>Đặng Thoại Vỹ</t>
  </si>
  <si>
    <t>18.9.2005</t>
  </si>
  <si>
    <t>Nguyễn Quốc Việt</t>
  </si>
  <si>
    <t>Vũ Qúy, Hưng Yên</t>
  </si>
  <si>
    <t>Tiên Minh, Hải Phòng</t>
  </si>
  <si>
    <t>Yết Kiêu, Hải Phòng</t>
  </si>
  <si>
    <t>An Hưng, Hải Phòng</t>
  </si>
  <si>
    <t>Chấn Hưng,Hải Phòng</t>
  </si>
  <si>
    <t>Xuân Giang, Ninh Bình</t>
  </si>
  <si>
    <t>P. Lê Chân, Hải Phòng</t>
  </si>
  <si>
    <t>Đặng Kim An</t>
  </si>
  <si>
    <t>Nguyễn Văn An</t>
  </si>
  <si>
    <t>16.01.2004</t>
  </si>
  <si>
    <t>Nguyễn Duy Anh</t>
  </si>
  <si>
    <t>21.10.2006</t>
  </si>
  <si>
    <t>Nguyễn Quốc Anh</t>
  </si>
  <si>
    <t>06.07.2007</t>
  </si>
  <si>
    <t>Vũ Đức Cường</t>
  </si>
  <si>
    <t>Trần Văn Hà</t>
  </si>
  <si>
    <t>Đỗ Văn Hải</t>
  </si>
  <si>
    <t>14.06.2006</t>
  </si>
  <si>
    <t>Thân Văn Hải</t>
  </si>
  <si>
    <t>Đoàn Văn Hạnh</t>
  </si>
  <si>
    <t>13.04.2002</t>
  </si>
  <si>
    <t>Đỗ Huy Hòa</t>
  </si>
  <si>
    <t>12.08.2005</t>
  </si>
  <si>
    <t>Nguyễn Phi Hoàng</t>
  </si>
  <si>
    <t>09.02.2005</t>
  </si>
  <si>
    <t>Lương Mạnh Hùng</t>
  </si>
  <si>
    <t>Tằng Văn Huy</t>
  </si>
  <si>
    <t>25.08.2007</t>
  </si>
  <si>
    <t>Hoàng Nam Khánh</t>
  </si>
  <si>
    <t>11.04.2007</t>
  </si>
  <si>
    <t>Hoàng Duy Linh</t>
  </si>
  <si>
    <t>Chìu Vằn Minh</t>
  </si>
  <si>
    <t>18.05.2007</t>
  </si>
  <si>
    <t>Nguyễn Hải Nam</t>
  </si>
  <si>
    <t>Lê Nguyên</t>
  </si>
  <si>
    <t>02.11.2003</t>
  </si>
  <si>
    <t>Phùn Gì Sàu</t>
  </si>
  <si>
    <t>Chíu Chăn Tiến</t>
  </si>
  <si>
    <t>Nguyễn Minh Tuân</t>
  </si>
  <si>
    <t>15.08.2007</t>
  </si>
  <si>
    <t>Hà Văn Tuấn</t>
  </si>
  <si>
    <t>Vũ Văn Vinh</t>
  </si>
  <si>
    <t>Đặng Quang Vinh</t>
  </si>
  <si>
    <t>17.04.2001</t>
  </si>
  <si>
    <t>Kiến Hưng, Hải Phòng</t>
  </si>
  <si>
    <t>Vũ Thư, Thái Bình</t>
  </si>
  <si>
    <t>Hiệp Hòa, Quảng Ninh</t>
  </si>
  <si>
    <t>Hoành Mô, Quảng Ninh</t>
  </si>
  <si>
    <t>Bạch Đằng, Hải Phòng</t>
  </si>
  <si>
    <t>Quảng Yên, Quảng Ninh</t>
  </si>
  <si>
    <t>09.02.2003</t>
  </si>
  <si>
    <t>Nguyễn Văn Đại</t>
  </si>
  <si>
    <t>Hoàng Mạnh Dũng</t>
  </si>
  <si>
    <t>09.07.2005</t>
  </si>
  <si>
    <t>Đỗ Văn Hoàng</t>
  </si>
  <si>
    <t>Nguyễn Hoàng Hùng</t>
  </si>
  <si>
    <t>Trần Văn Khanh</t>
  </si>
  <si>
    <t>14.08.2002</t>
  </si>
  <si>
    <t>Nguyễn Lê Hoài Nam</t>
  </si>
  <si>
    <t xml:space="preserve">Phạm Hoài Nam </t>
  </si>
  <si>
    <t>Phạm Năng Nam</t>
  </si>
  <si>
    <t>30.11.2004</t>
  </si>
  <si>
    <t>Bùi Duy Phong</t>
  </si>
  <si>
    <t>Ngô Minh Quân</t>
  </si>
  <si>
    <t>26.05.2007</t>
  </si>
  <si>
    <t>Nguyễn Đức Minh Trường</t>
  </si>
  <si>
    <t>27.11.2005</t>
  </si>
  <si>
    <t>An Dương, Hải Phòng</t>
  </si>
  <si>
    <t>Vũ Phúc, Hưng Yên</t>
  </si>
  <si>
    <t>Yên Tử, Quảng Ninh</t>
  </si>
  <si>
    <t xml:space="preserve">Bắc Tiên Hưng, Hưng Yên </t>
  </si>
  <si>
    <t>Tứ Kỳ, Hải Phòng</t>
  </si>
  <si>
    <t>Thủy Nguyên, Hải Phòng</t>
  </si>
  <si>
    <t>Tô Hoàng Anh</t>
  </si>
  <si>
    <t>Hoàng Việt Anh</t>
  </si>
  <si>
    <t>Nguyễn Tuấn Cảnh</t>
  </si>
  <si>
    <t>Nguyễn Tùng Dương A</t>
  </si>
  <si>
    <t>Nguyễn Tùng Dương B</t>
  </si>
  <si>
    <t>06.07.2005</t>
  </si>
  <si>
    <t>Nguyễn Thế Dương</t>
  </si>
  <si>
    <t>19.03.2007</t>
  </si>
  <si>
    <t>Quách Như Đại</t>
  </si>
  <si>
    <t>Hoàng Xuân Đăng</t>
  </si>
  <si>
    <t>13.09.2007</t>
  </si>
  <si>
    <t>Vũ Xuân Đăng</t>
  </si>
  <si>
    <t>14.09.2002</t>
  </si>
  <si>
    <t>Phạm Vũ Tiến Đạt</t>
  </si>
  <si>
    <t>19.08.2003</t>
  </si>
  <si>
    <t>30.09.2004</t>
  </si>
  <si>
    <t>Trịnh Tiến Đạt</t>
  </si>
  <si>
    <t>18.08.2006</t>
  </si>
  <si>
    <t>Tô Hà Đạt</t>
  </si>
  <si>
    <t>23.11.2006</t>
  </si>
  <si>
    <t>Phạm Văn Hiển</t>
  </si>
  <si>
    <t>26.09.2006</t>
  </si>
  <si>
    <t>Đỗ Huy Hoàng</t>
  </si>
  <si>
    <t>Diệp Văn Hùng</t>
  </si>
  <si>
    <t>Trần Quang Huy</t>
  </si>
  <si>
    <t>Nguyễn Tiến Lâm</t>
  </si>
  <si>
    <t>19.05.2003</t>
  </si>
  <si>
    <t>Đào Hoàng Lân</t>
  </si>
  <si>
    <t>27.05.2005</t>
  </si>
  <si>
    <t>Nguyễn Xuân Mạnh</t>
  </si>
  <si>
    <t>31.05.2007</t>
  </si>
  <si>
    <t>Nguyễn Ngọc Mạnh</t>
  </si>
  <si>
    <t>09.04.2007</t>
  </si>
  <si>
    <t>Đoàn Đức Nam</t>
  </si>
  <si>
    <t>30.12.2007</t>
  </si>
  <si>
    <t>Cao Trọng Nghĩa</t>
  </si>
  <si>
    <t>Hoàng Hải Nguyên</t>
  </si>
  <si>
    <t>15.06.2007</t>
  </si>
  <si>
    <t>Trương Văn Nhật</t>
  </si>
  <si>
    <t>01.07.2006</t>
  </si>
  <si>
    <t>Bùi Đức Phong</t>
  </si>
  <si>
    <t>02.03.2007</t>
  </si>
  <si>
    <t>Bùi Công Quang</t>
  </si>
  <si>
    <t>08.03.2003</t>
  </si>
  <si>
    <t>Phạm Duy Thái</t>
  </si>
  <si>
    <t>29.07.2007</t>
  </si>
  <si>
    <t>Dương Văn Thanh</t>
  </si>
  <si>
    <t>03.08.2003</t>
  </si>
  <si>
    <t>Trương Đức Thành</t>
  </si>
  <si>
    <t>24.06.2006</t>
  </si>
  <si>
    <t>Lê Tiến Thành</t>
  </si>
  <si>
    <t>01.03.2003</t>
  </si>
  <si>
    <t>Hà Văn Thiện</t>
  </si>
  <si>
    <t>05.02.2007</t>
  </si>
  <si>
    <t>Vũ Đình Tiến</t>
  </si>
  <si>
    <t>03.03.2006</t>
  </si>
  <si>
    <t>Phạm Văn Tình</t>
  </si>
  <si>
    <t>03.07.2006</t>
  </si>
  <si>
    <t>Đinh Minh Trí</t>
  </si>
  <si>
    <t>18.05.2004</t>
  </si>
  <si>
    <t>Bùi Tuấn Tú</t>
  </si>
  <si>
    <t>29.04.2007</t>
  </si>
  <si>
    <t>Bùi Anh Tuấn</t>
  </si>
  <si>
    <t>Trương Anh Tuấn</t>
  </si>
  <si>
    <t>28.02.2007</t>
  </si>
  <si>
    <t>Nguyễn Thanh Tùng</t>
  </si>
  <si>
    <t>Đặng Quang Văn</t>
  </si>
  <si>
    <t>22.01.2007</t>
  </si>
  <si>
    <t>Phạm Huy Vĩ</t>
  </si>
  <si>
    <t>03.01.2007</t>
  </si>
  <si>
    <t>Bùi Ngọc Việt</t>
  </si>
  <si>
    <t>15.06.2005</t>
  </si>
  <si>
    <t>P. Trà Lý, Tỉnh Hưng Yên</t>
  </si>
  <si>
    <t>Bắc Tiên Hưng, Tỉnh Hưng Yên</t>
  </si>
  <si>
    <t>Hiệp Hòa, Tỉnh Quảng Ninh</t>
  </si>
  <si>
    <t>Vĩnh Thuận, Tp Hải Phòng</t>
  </si>
  <si>
    <t>Đông Tiên Hưng, Tỉnh Hưng Yên</t>
  </si>
  <si>
    <t>Đông Hưng, Tỉnh Hưng Yên</t>
  </si>
  <si>
    <t>P. Chu Văn An, Tp Hải Phòng</t>
  </si>
  <si>
    <t>Bình Dương, Tỉnh Quảng Ninh</t>
  </si>
  <si>
    <t>Đông Ngũ, Tỉnh Quảng Ninh</t>
  </si>
  <si>
    <t>Đầm Hà, Tỉnh Quảng Ninh</t>
  </si>
  <si>
    <t>Lê Lợi, Tỉnh Hưng Yên</t>
  </si>
  <si>
    <t>P. Trần Lãm, Tỉnh Hưng Yên</t>
  </si>
  <si>
    <t>P. Vũ Phúc, Tỉnh Hưng Yên</t>
  </si>
  <si>
    <t>P. Vàng Danh, Tỉnh Quảng Ninh</t>
  </si>
  <si>
    <t>Trà Giang, Tỉnh Hưng Yên</t>
  </si>
  <si>
    <t>P. Phong Cốc, Tỉnh Quảng Ninh</t>
  </si>
  <si>
    <t>Phú Sơn, Tỉnh Ninh Bình</t>
  </si>
  <si>
    <t>An Sinh, Tỉnh Quảng Ninh</t>
  </si>
  <si>
    <t>P. Hà An, Tỉnh Quảng Ninh</t>
  </si>
  <si>
    <t>P. Nam Triệu, Tp Hải Phòng</t>
  </si>
  <si>
    <t>Đông Tiền Hải, Tỉnh Hưng Yên</t>
  </si>
  <si>
    <t xml:space="preserve">Vũ Hoàng An </t>
  </si>
  <si>
    <t>Bùi Tuấn Anh</t>
  </si>
  <si>
    <t>19.01.2004</t>
  </si>
  <si>
    <t>Vũ Tuấn Bảo</t>
  </si>
  <si>
    <t>Trần Việt Cường</t>
  </si>
  <si>
    <t>Đặng Việt Cường</t>
  </si>
  <si>
    <t>30.10.2007</t>
  </si>
  <si>
    <t>Lê Minh Chính</t>
  </si>
  <si>
    <t>16.01.2007</t>
  </si>
  <si>
    <t>Bùi Tùng Dương</t>
  </si>
  <si>
    <t>22.10.2006</t>
  </si>
  <si>
    <t>03.10.2006</t>
  </si>
  <si>
    <t>Bùi Văn Hoài</t>
  </si>
  <si>
    <t>Phạm Quang Nhất</t>
  </si>
  <si>
    <t>Ninh Ngọc Quyền</t>
  </si>
  <si>
    <t>17.11.2004</t>
  </si>
  <si>
    <t>Nguyễn Viết Quang</t>
  </si>
  <si>
    <t>28.7.2007</t>
  </si>
  <si>
    <t>Vũ Đức Thành</t>
  </si>
  <si>
    <t>25.7.2007</t>
  </si>
  <si>
    <t xml:space="preserve">Nguyễn Mạnh Thành </t>
  </si>
  <si>
    <t>Vũ Ngọc Thế</t>
  </si>
  <si>
    <t>02.5.2007</t>
  </si>
  <si>
    <t>Nhữ Văn Tuyển</t>
  </si>
  <si>
    <t>02.10.2006</t>
  </si>
  <si>
    <t>Trần Anh Tú</t>
  </si>
  <si>
    <t>P. Lê Thanh Nghị, Hải Phòng</t>
  </si>
  <si>
    <t>Quách Hải Anh</t>
  </si>
  <si>
    <t>Nguyễn Minh Anh</t>
  </si>
  <si>
    <t>14.8.2007</t>
  </si>
  <si>
    <t>Trần Hoài Anh</t>
  </si>
  <si>
    <t>29.10.2007</t>
  </si>
  <si>
    <t>Nguyễn Đức Biên</t>
  </si>
  <si>
    <t>27.3.2005</t>
  </si>
  <si>
    <t>Nguyễn Thanh Bình</t>
  </si>
  <si>
    <t>Đinh Kiên Cường</t>
  </si>
  <si>
    <t>Phạm Việt Dũng</t>
  </si>
  <si>
    <t>26.7.2007</t>
  </si>
  <si>
    <t>Phạm Văn Dũng</t>
  </si>
  <si>
    <t>26.6.2007</t>
  </si>
  <si>
    <t>Phạm Đức Duy</t>
  </si>
  <si>
    <t>24.7.2007</t>
  </si>
  <si>
    <t>Trần Quốc Duy</t>
  </si>
  <si>
    <t>Đào Tùng Dương</t>
  </si>
  <si>
    <t>28.9.2006</t>
  </si>
  <si>
    <t>Phạm Văn Dinh</t>
  </si>
  <si>
    <t>Ngô Phúc Đạt</t>
  </si>
  <si>
    <t>Nguyễn Bá Đắc</t>
  </si>
  <si>
    <t>Vũ Văn Hậu</t>
  </si>
  <si>
    <t>18.01.2008</t>
  </si>
  <si>
    <t>Trần Văn Hòa</t>
  </si>
  <si>
    <t>26.01.2007</t>
  </si>
  <si>
    <t>Phùng Văn Hoàng</t>
  </si>
  <si>
    <t>02.9.2007</t>
  </si>
  <si>
    <t>Vũ Huy Hoàng A</t>
  </si>
  <si>
    <t>05.06.2007</t>
  </si>
  <si>
    <t>Vũ Huy Hoàng B</t>
  </si>
  <si>
    <t>Lương Viết Hoàng</t>
  </si>
  <si>
    <t>30.8.2007</t>
  </si>
  <si>
    <t>Phạm Quốc Hưng</t>
  </si>
  <si>
    <t>31.8.2007</t>
  </si>
  <si>
    <t>Đinh Xuân Huy</t>
  </si>
  <si>
    <t>18.6.2007</t>
  </si>
  <si>
    <t>Trần Thành Huy</t>
  </si>
  <si>
    <t>Nguyễn Danh Huy</t>
  </si>
  <si>
    <t>Nguyễn Xuân Hưng</t>
  </si>
  <si>
    <t>Bùi Văn Hùng</t>
  </si>
  <si>
    <t>Nguyễn Thanh Hùng</t>
  </si>
  <si>
    <t>Phạm Duy Hùng</t>
  </si>
  <si>
    <t>01.3.2007</t>
  </si>
  <si>
    <t xml:space="preserve">Phạm Duy Khánh </t>
  </si>
  <si>
    <t>16.4.2007</t>
  </si>
  <si>
    <t>Nguyễn Duy Khải</t>
  </si>
  <si>
    <t>02.12.2004</t>
  </si>
  <si>
    <t>Lê Xuân Kiên</t>
  </si>
  <si>
    <t>Nguyễn Tiến Lộc</t>
  </si>
  <si>
    <t>Vũ Hoàng Long</t>
  </si>
  <si>
    <t>Bùi Thế Long</t>
  </si>
  <si>
    <t>25.4.2007</t>
  </si>
  <si>
    <t>Đỗ Quang Luân</t>
  </si>
  <si>
    <t>Vũ Phạm Duy Minh</t>
  </si>
  <si>
    <t>16.5.2006</t>
  </si>
  <si>
    <t>Trần Huy Nhật Minh</t>
  </si>
  <si>
    <t>Sa Ngọc Minh</t>
  </si>
  <si>
    <t>Đỗ Thành Nam</t>
  </si>
  <si>
    <t>Vũ Hoàng Nam</t>
  </si>
  <si>
    <t>09.9.2007</t>
  </si>
  <si>
    <t>Nguyễn Lê Trung Nghĩa</t>
  </si>
  <si>
    <t>20.01.2007</t>
  </si>
  <si>
    <t>Vũ Đại Phát</t>
  </si>
  <si>
    <t>Nguyễn Tấn Phát</t>
  </si>
  <si>
    <t>Đoàn Đức Phát</t>
  </si>
  <si>
    <t>Lưu Văn Phúc</t>
  </si>
  <si>
    <t>11.8.2007</t>
  </si>
  <si>
    <t>Nguyễn Văn Phúc</t>
  </si>
  <si>
    <t>13.9.2007</t>
  </si>
  <si>
    <t>Hoàng Gia Phong</t>
  </si>
  <si>
    <t>Háu A Quyết</t>
  </si>
  <si>
    <t>Nguyễn Vũ Quân</t>
  </si>
  <si>
    <t>Vũ Thành Sang</t>
  </si>
  <si>
    <t>Nguyễn Hoàng Sang</t>
  </si>
  <si>
    <t>24.10.2006</t>
  </si>
  <si>
    <t>Nguyễn Xuân Sơn</t>
  </si>
  <si>
    <t>Tạ Văn Sơn</t>
  </si>
  <si>
    <t>27.01.2004</t>
  </si>
  <si>
    <t>Đinh Cao Sơn</t>
  </si>
  <si>
    <t>Vũ Tấn Tài</t>
  </si>
  <si>
    <t>30.3.2004</t>
  </si>
  <si>
    <t>Lê Anh Tuấn</t>
  </si>
  <si>
    <t>04.5.2005</t>
  </si>
  <si>
    <t>Trần Đăng Tuấn</t>
  </si>
  <si>
    <t>29.3.2006</t>
  </si>
  <si>
    <t>Nguyễn Văn Tùng</t>
  </si>
  <si>
    <t>Trần Văn Bá Thông</t>
  </si>
  <si>
    <t>30.7.2005</t>
  </si>
  <si>
    <t>Đỗ Tiến Thành</t>
  </si>
  <si>
    <t>23.12.2005</t>
  </si>
  <si>
    <t>Lê Qúy Thành</t>
  </si>
  <si>
    <t>12.6.2007</t>
  </si>
  <si>
    <t>Vũ Văn Thạo</t>
  </si>
  <si>
    <t>05.12.2007</t>
  </si>
  <si>
    <t>Nguyễn Phú Thịnh</t>
  </si>
  <si>
    <t>13.3.2008</t>
  </si>
  <si>
    <t>Trần Quang Vinh</t>
  </si>
  <si>
    <t>Nguyễn Văn Vui</t>
  </si>
  <si>
    <t>Lê Xuân Vũ</t>
  </si>
  <si>
    <t>Nguyễn Trọng Vinh</t>
  </si>
  <si>
    <t>01.9.2006</t>
  </si>
  <si>
    <t>15.3.2002</t>
  </si>
  <si>
    <t>Trực Ninh, Ninh Bình</t>
  </si>
  <si>
    <t>An Trường, Hải Phòng</t>
  </si>
  <si>
    <t xml:space="preserve">An Lão, Hải Phòng </t>
  </si>
  <si>
    <t>ĐK Vân Đồn Quảng Ninh</t>
  </si>
  <si>
    <t>Bình Giang, Ninh Bình</t>
  </si>
  <si>
    <t>Vĩnh Bảo,Hải Phòng</t>
  </si>
  <si>
    <t>Mỹ Lộc ,Ninh Bình</t>
  </si>
  <si>
    <t>Tiên Hoa, Hưng Yên</t>
  </si>
  <si>
    <t>P. Thạch Khôi,Hải Phòng</t>
  </si>
  <si>
    <t>Vĩnh Trụ ,Ninh Bình</t>
  </si>
  <si>
    <t>Lê Lợi , Hưng Yên</t>
  </si>
  <si>
    <t>Nguyễn Văn An A</t>
  </si>
  <si>
    <t>11.06.2005</t>
  </si>
  <si>
    <t>Nguyễn Văn An B</t>
  </si>
  <si>
    <t>24.04.2007</t>
  </si>
  <si>
    <t>Đỗ Mạnh Dũng</t>
  </si>
  <si>
    <t>20.09.2006</t>
  </si>
  <si>
    <t>Lê Đức Dũng</t>
  </si>
  <si>
    <t>27.03.2007</t>
  </si>
  <si>
    <t>Đặng Đại Dương</t>
  </si>
  <si>
    <t>15.07.2003</t>
  </si>
  <si>
    <t>Cao Minh Đức</t>
  </si>
  <si>
    <t>19.04.2007</t>
  </si>
  <si>
    <t>Đinh Huỳnh Đức</t>
  </si>
  <si>
    <t>Nguyễn Đình Hồng Đức</t>
  </si>
  <si>
    <t>02.08.2007</t>
  </si>
  <si>
    <t>Phạm Hữu Hiệp</t>
  </si>
  <si>
    <t>19.09.2003</t>
  </si>
  <si>
    <t>Nguyễn Tiến Hùng</t>
  </si>
  <si>
    <t>Đinh Duy Hưng</t>
  </si>
  <si>
    <t>Nguyễn Tuấn Khoa</t>
  </si>
  <si>
    <t>29.06.2003</t>
  </si>
  <si>
    <t>Bùi Đăng Linh</t>
  </si>
  <si>
    <t>02.02.2007</t>
  </si>
  <si>
    <t>27.06.2004</t>
  </si>
  <si>
    <t>Vũ Ngọc Minh</t>
  </si>
  <si>
    <t>13.07.2007</t>
  </si>
  <si>
    <t>Bùi Xuân Bắc</t>
  </si>
  <si>
    <t>Ngô Văn Cương</t>
  </si>
  <si>
    <t>Phạm Quốc Đạt</t>
  </si>
  <si>
    <t>22.08.2007</t>
  </si>
  <si>
    <t>Trịnh Ngọc Huy</t>
  </si>
  <si>
    <t>06.09.2004</t>
  </si>
  <si>
    <t xml:space="preserve">Cao Văn Duy Khánh </t>
  </si>
  <si>
    <t>Đặng Văn Mạc</t>
  </si>
  <si>
    <t xml:space="preserve">Vũ Quang Ngọc </t>
  </si>
  <si>
    <t>21.04.2004</t>
  </si>
  <si>
    <t>Phạm Sĩ Nhật</t>
  </si>
  <si>
    <t>Dương Xuân Tiền</t>
  </si>
  <si>
    <t>16.03.2006</t>
  </si>
  <si>
    <t>Lý Đức Thắng</t>
  </si>
  <si>
    <t>Nguyễn Minh Thiện</t>
  </si>
  <si>
    <t>Lò Văn Thọ</t>
  </si>
  <si>
    <t>Lỷ Văn Thực</t>
  </si>
  <si>
    <t>11.03.2004</t>
  </si>
  <si>
    <t>Trịnh Quang Trọng</t>
  </si>
  <si>
    <t>03.08.2006</t>
  </si>
  <si>
    <t>Phan Thế Trọng</t>
  </si>
  <si>
    <t>06.04.2007</t>
  </si>
  <si>
    <t>Trịnh Xuân Trung</t>
  </si>
  <si>
    <t>05.07.2007</t>
  </si>
  <si>
    <t>Vũ Thành Trung</t>
  </si>
  <si>
    <t>14.06.2007</t>
  </si>
  <si>
    <t>Đào Xuân Trường</t>
  </si>
  <si>
    <t>Lương Đắc Trường</t>
  </si>
  <si>
    <t>04.08.2004</t>
  </si>
  <si>
    <t>Lê Chấp Trường</t>
  </si>
  <si>
    <t>20.08.2006</t>
  </si>
  <si>
    <t>Nguyễn Văn Việt</t>
  </si>
  <si>
    <t>Trương Văn Vương</t>
  </si>
  <si>
    <t xml:space="preserve">Minh Thái ,Ninh Bình </t>
  </si>
  <si>
    <t xml:space="preserve">Nguyễn Trãi, Hưng Yên </t>
  </si>
  <si>
    <t xml:space="preserve">Gia Trấn , Ninh Bình </t>
  </si>
  <si>
    <t xml:space="preserve">Thanh Miện, Tp.Hải phòng </t>
  </si>
  <si>
    <t xml:space="preserve">Lương Bằng ,Hưng Yên </t>
  </si>
  <si>
    <t xml:space="preserve">Nho Quan , Ninh Bình </t>
  </si>
  <si>
    <t xml:space="preserve">Long Hưng ,Hưng Yên </t>
  </si>
  <si>
    <t xml:space="preserve">Khoái Châu, Hưng Yên </t>
  </si>
  <si>
    <t xml:space="preserve">P. Bạch Đằng, Tp Hải Phòng </t>
  </si>
  <si>
    <t xml:space="preserve">Quảng Hà, Quảng Ninh </t>
  </si>
  <si>
    <t xml:space="preserve">Đông Ngũ ,Quảng Ninh </t>
  </si>
  <si>
    <t xml:space="preserve">Trà Giang ,Hưng Yên </t>
  </si>
  <si>
    <t xml:space="preserve">P. Nhị Chiểu, Tp.Hải Phòng </t>
  </si>
  <si>
    <t>Kiến Xương ,Hưng Yên</t>
  </si>
  <si>
    <t xml:space="preserve">Tiên Tiến ,Hưng Yên </t>
  </si>
  <si>
    <t xml:space="preserve">Nam Thụy Anh, Hưng Yên </t>
  </si>
  <si>
    <t xml:space="preserve">An Phong, Tp Hải Phòng </t>
  </si>
  <si>
    <t xml:space="preserve">Minh Thái, Ninh Bình </t>
  </si>
  <si>
    <t xml:space="preserve">P. An Hải , Tp Hải Phòng </t>
  </si>
  <si>
    <t xml:space="preserve">Phú Thái, Tp.Hải Phòng </t>
  </si>
  <si>
    <t xml:space="preserve">Vũ Dương, Ninh Bình </t>
  </si>
  <si>
    <t xml:space="preserve">P. Bạch Đằng , Tp.Hải Phòng </t>
  </si>
  <si>
    <t xml:space="preserve">P. Hoành Bồ, Quảng Ninh </t>
  </si>
  <si>
    <t xml:space="preserve">Bình Sơn , Ninh Bình </t>
  </si>
  <si>
    <t xml:space="preserve">P. Đường Hào, Hưng Yên </t>
  </si>
  <si>
    <t xml:space="preserve">Hiệp Cường, Hưng Yên </t>
  </si>
  <si>
    <t xml:space="preserve">Đông Ngũ, Quảng Ninh </t>
  </si>
  <si>
    <t xml:space="preserve">Vĩnh Bảo, Tp Hải Phòng </t>
  </si>
  <si>
    <t xml:space="preserve">Hồng Vũ, Hưng Yên </t>
  </si>
  <si>
    <t xml:space="preserve">Nguyên Giáp, Tp Hải Phòng </t>
  </si>
  <si>
    <t xml:space="preserve">Gia Trấn, Ninh Bình </t>
  </si>
  <si>
    <t xml:space="preserve">P. Hồng An, Tp.Hải Phòng </t>
  </si>
  <si>
    <t xml:space="preserve">P. Phù Liễn, Tp Hải Phòng </t>
  </si>
  <si>
    <t xml:space="preserve">Hồng Quang, Ninh Bình </t>
  </si>
  <si>
    <t xml:space="preserve">P. Yên Tử, Quảng Ninh </t>
  </si>
  <si>
    <t>12.12.2007</t>
  </si>
  <si>
    <t>Bùi Văn Việt Anh</t>
  </si>
  <si>
    <t>Đoàn Trung Việt Anh</t>
  </si>
  <si>
    <t>Phạm Tuấn Anh</t>
  </si>
  <si>
    <t>19.6.2007</t>
  </si>
  <si>
    <t>Ngọc Sơn Bách</t>
  </si>
  <si>
    <t>Mai Đức Cảnh</t>
  </si>
  <si>
    <t>04.5.2007</t>
  </si>
  <si>
    <t>Nguyễn Danh Công</t>
  </si>
  <si>
    <t>Lưu Kim Cương</t>
  </si>
  <si>
    <t>30.6.2007</t>
  </si>
  <si>
    <t>Đoàn Văn Cường</t>
  </si>
  <si>
    <t>03.3.2008</t>
  </si>
  <si>
    <t>Vũ Ngọc Diện</t>
  </si>
  <si>
    <t>Hồ Anh Dũng</t>
  </si>
  <si>
    <t>Khổng Quang Dũng</t>
  </si>
  <si>
    <t>08.3.2007</t>
  </si>
  <si>
    <t>Nguyễn Tiến Dũng</t>
  </si>
  <si>
    <t>Trần Mạnh Dũng</t>
  </si>
  <si>
    <t>Đỗ Bá Dụng</t>
  </si>
  <si>
    <t>08.9.2006</t>
  </si>
  <si>
    <t>Phạm Văn Duy</t>
  </si>
  <si>
    <t>17.12.2004</t>
  </si>
  <si>
    <t>Phạm Tuấn Dương</t>
  </si>
  <si>
    <t>Trần Văn Đạt</t>
  </si>
  <si>
    <t>07.9.2007</t>
  </si>
  <si>
    <t>Trương Duy Điều</t>
  </si>
  <si>
    <t>Nông Việt Đức</t>
  </si>
  <si>
    <t>13.02.2007</t>
  </si>
  <si>
    <t>Nguyễn Quang Giang</t>
  </si>
  <si>
    <t>Bùi Đức Hải</t>
  </si>
  <si>
    <t>27.02.2008</t>
  </si>
  <si>
    <t>Nguyễn Tiến Hải</t>
  </si>
  <si>
    <t>Trần Xuân Hậu</t>
  </si>
  <si>
    <t>Lê Minh Hoàng</t>
  </si>
  <si>
    <t>02.12.2005</t>
  </si>
  <si>
    <t>Nguyễn Thế Hoàng</t>
  </si>
  <si>
    <t>Vũ Nguyễn Việt Hoàng</t>
  </si>
  <si>
    <t>Vũ Văn Hùng</t>
  </si>
  <si>
    <t>Ngô Đức Huy</t>
  </si>
  <si>
    <t>17.10.2007</t>
  </si>
  <si>
    <t>Hoàng Phú Hưng</t>
  </si>
  <si>
    <t>30.4.2007</t>
  </si>
  <si>
    <t>Phùn Quay Hữu</t>
  </si>
  <si>
    <t>26.11.2005</t>
  </si>
  <si>
    <t>Vũ Đức Kiên</t>
  </si>
  <si>
    <t>Bùi Viết Anh Kiệt</t>
  </si>
  <si>
    <t>01.10.2007</t>
  </si>
  <si>
    <t>Mạc Đức Kiều</t>
  </si>
  <si>
    <t>30.01.2007</t>
  </si>
  <si>
    <t>Phạm Văn Khởi</t>
  </si>
  <si>
    <t>Phan Văn Linh</t>
  </si>
  <si>
    <t>Nguyễn Thanh Long</t>
  </si>
  <si>
    <t>04.6.2007</t>
  </si>
  <si>
    <t>Phạm Văn Mạnh</t>
  </si>
  <si>
    <t>Nguyễn Quang Minh</t>
  </si>
  <si>
    <t>Phạm Quang Minh</t>
  </si>
  <si>
    <t>22.4.2004</t>
  </si>
  <si>
    <t>Đỗ Trí Nam</t>
  </si>
  <si>
    <t>14.12.2004</t>
  </si>
  <si>
    <t>Lương Văn Nam</t>
  </si>
  <si>
    <t>Phạm Trọng Nghĩa</t>
  </si>
  <si>
    <t>28.10.2004</t>
  </si>
  <si>
    <t>Lê Công Nghiệp</t>
  </si>
  <si>
    <t>Nguyễn Đình Nguyên</t>
  </si>
  <si>
    <t>Vũ Văn Phong</t>
  </si>
  <si>
    <t>26.5.2004</t>
  </si>
  <si>
    <t>Nguyễn Đức Quang</t>
  </si>
  <si>
    <t>Ngô Hồng Quân</t>
  </si>
  <si>
    <t>Phạm Mạnh Quân</t>
  </si>
  <si>
    <t>08.01.2006</t>
  </si>
  <si>
    <t>Phạm Thành Quân</t>
  </si>
  <si>
    <t>14.4.2002</t>
  </si>
  <si>
    <t>Nguyễn Trường Quốc</t>
  </si>
  <si>
    <t>28.9.2002</t>
  </si>
  <si>
    <t>Nguyễn Hoàng Sinh</t>
  </si>
  <si>
    <t>07.3.2006</t>
  </si>
  <si>
    <t>Nguyễn Trường Sơn</t>
  </si>
  <si>
    <t>09.01.2008</t>
  </si>
  <si>
    <t>Phạm Bùi Quang Tiến</t>
  </si>
  <si>
    <t>Nguyễn Đặng Minh Toản</t>
  </si>
  <si>
    <t>30.01.2008</t>
  </si>
  <si>
    <t>Phạm Văn Tú</t>
  </si>
  <si>
    <t>Phan Thanh Tùng</t>
  </si>
  <si>
    <t>Tạ Thanh Tùng</t>
  </si>
  <si>
    <t>05.02.2008</t>
  </si>
  <si>
    <t>Đặng Ngọc Thành</t>
  </si>
  <si>
    <t>Đoàn Văn Trọng</t>
  </si>
  <si>
    <t>27.5.2004</t>
  </si>
  <si>
    <t>Lê Văn Trung</t>
  </si>
  <si>
    <t>30.01.2000</t>
  </si>
  <si>
    <t>Nguyễn Trọng Việt</t>
  </si>
  <si>
    <t>Hà Quang Vinh</t>
  </si>
  <si>
    <t>Trần Hà Quang Vinh</t>
  </si>
  <si>
    <t>19.7.2005</t>
  </si>
  <si>
    <t>Vũ Đình Vinh</t>
  </si>
  <si>
    <t>Mao Điền, Tp Hải Phòng</t>
  </si>
  <si>
    <t>Dương Hưu, Bắc Ninh</t>
  </si>
  <si>
    <t xml:space="preserve">Thần Khê, Hưng Yên </t>
  </si>
  <si>
    <t>P. Hải An, Tp Hải Phòng</t>
  </si>
  <si>
    <t xml:space="preserve">Quang Hưng, Ninh Bình </t>
  </si>
  <si>
    <t xml:space="preserve">Diên Hà, Hưng Yên </t>
  </si>
  <si>
    <t>Bình Sơn, Ninh Bình</t>
  </si>
  <si>
    <t>P. Hòa Bình, Tp Hải Phòng</t>
  </si>
  <si>
    <t xml:space="preserve">Ngự Thiên, Hưng Yên </t>
  </si>
  <si>
    <t xml:space="preserve">Yên Mỹ, Hưng Yên </t>
  </si>
  <si>
    <t>An Lão, Tp Hải Phòng</t>
  </si>
  <si>
    <t>Nam Ninh, Ninh Bình</t>
  </si>
  <si>
    <t>P. Lê Ích Lộc, Tp Hải Phòng</t>
  </si>
  <si>
    <t>P. Tứ Minh, Tp Hải Phòng</t>
  </si>
  <si>
    <t xml:space="preserve">Liên Khuê, Hưng Yên </t>
  </si>
  <si>
    <t>Giao Thủy, Ninh Bình</t>
  </si>
  <si>
    <t>P. Phạm Ngũ Lão, Tp Hải Phòng</t>
  </si>
  <si>
    <t>P. Ngô Quyền, Tp Hải Phòng</t>
  </si>
  <si>
    <t>Phùn Dùng Công</t>
  </si>
  <si>
    <t>14.01.2006</t>
  </si>
  <si>
    <t>Nguyễn Tiến Duy</t>
  </si>
  <si>
    <t>25.01.2007</t>
  </si>
  <si>
    <t>Bùi Minh Đức</t>
  </si>
  <si>
    <t>Lê Văn Đức</t>
  </si>
  <si>
    <t>07.07.2007</t>
  </si>
  <si>
    <t>Nguyễn Đức Hoàng Hải</t>
  </si>
  <si>
    <t>07.02.2005</t>
  </si>
  <si>
    <t>Lê Xuân Hậu</t>
  </si>
  <si>
    <t>10.02.2007</t>
  </si>
  <si>
    <t>01.04.2007</t>
  </si>
  <si>
    <t>Đỗ Đình Hiệp</t>
  </si>
  <si>
    <t>19.09.2006</t>
  </si>
  <si>
    <t>Ngô Duy Hoàn</t>
  </si>
  <si>
    <t>15.11.2006</t>
  </si>
  <si>
    <t>Lữ Dương Phi Hùng</t>
  </si>
  <si>
    <t>Phạm Bá Hùng</t>
  </si>
  <si>
    <t>24.09.2007</t>
  </si>
  <si>
    <t>Trần Minh Huy</t>
  </si>
  <si>
    <t>11.12.2006</t>
  </si>
  <si>
    <t>Vũ Quốc Huy</t>
  </si>
  <si>
    <t>29.08.2006</t>
  </si>
  <si>
    <t>Nguyễn Xuân Long</t>
  </si>
  <si>
    <t>Voòng Đức Minh</t>
  </si>
  <si>
    <t>Vũ Nhật Nam</t>
  </si>
  <si>
    <t>Trần Khánh Nguyên</t>
  </si>
  <si>
    <t>24.03.2008</t>
  </si>
  <si>
    <t>Nguyễn Đăng Phong</t>
  </si>
  <si>
    <t>Lỷ Gì Quyết</t>
  </si>
  <si>
    <t>Lê Minh Sơn</t>
  </si>
  <si>
    <t>Ngô Đức Thắng</t>
  </si>
  <si>
    <t>Phạm Nguyễn Trung Thành</t>
  </si>
  <si>
    <t>02.04.2007</t>
  </si>
  <si>
    <t>Nguyễn Hữu Trí</t>
  </si>
  <si>
    <t>21.04.2007</t>
  </si>
  <si>
    <t>Nguyễn Xuân Triển</t>
  </si>
  <si>
    <t>20.03.2007</t>
  </si>
  <si>
    <t>Vũ Văn Trung</t>
  </si>
  <si>
    <t>Vũ Văn Trường</t>
  </si>
  <si>
    <t>07.06.2005</t>
  </si>
  <si>
    <t>Vũ Xuân Trường</t>
  </si>
  <si>
    <t>03.02.2008</t>
  </si>
  <si>
    <t>Bùi Minh Tú</t>
  </si>
  <si>
    <t>Lại Thế Tú</t>
  </si>
  <si>
    <t>18.02.2008</t>
  </si>
  <si>
    <t xml:space="preserve">Nguyễn Duy Tú </t>
  </si>
  <si>
    <t>Lê Quang Tùng</t>
  </si>
  <si>
    <t>11.03.2005</t>
  </si>
  <si>
    <t>Bùi Quang Tường</t>
  </si>
  <si>
    <t>16.02.2004</t>
  </si>
  <si>
    <t>Tằng Mạnh Việt</t>
  </si>
  <si>
    <t>Xã Quảng Đức, Quảng Ninh</t>
  </si>
  <si>
    <t>Xã Tân Hưng, Hưng Yên</t>
  </si>
  <si>
    <t>Xã Kiến Hải, Hải Phòng</t>
  </si>
  <si>
    <t>P.Thái Bình, Hưng Yên</t>
  </si>
  <si>
    <t>Xã Hồng Quang, Tỉnh Hưng Yên</t>
  </si>
  <si>
    <t>Xã Hồng Quang, Hưng Yên</t>
  </si>
  <si>
    <t>Xã Bắc Đông Quan, Hưng Yên</t>
  </si>
  <si>
    <t>P.Hồng An, Hải Phòng</t>
  </si>
  <si>
    <t>P. Ái Quốc,  Hưng Yên</t>
  </si>
  <si>
    <t>Xã An Quang, Hải Phòng</t>
  </si>
  <si>
    <t>P.Thủy Nguyên, Hải Phòng</t>
  </si>
  <si>
    <t>Xã An Lão, Hải Phòng</t>
  </si>
  <si>
    <t>Xã Yên Mỹ, Hưng Yên</t>
  </si>
  <si>
    <t>P.Trần Lãm, Hưng Yên</t>
  </si>
  <si>
    <t>Xã Vũ Qúy, Hưng Yên</t>
  </si>
  <si>
    <t>Xã Đường Hoa, Quảng Ninh</t>
  </si>
  <si>
    <t>P. Kiến An, Hải Phòng</t>
  </si>
  <si>
    <t>P.Tứ Minh, Hải Dương</t>
  </si>
  <si>
    <t>P.An Dương, Hải Phòng</t>
  </si>
  <si>
    <t>Xã Hồng Minh, Hưng Yên</t>
  </si>
  <si>
    <t>P.Lê Ích Mộc, Hải Phòng</t>
  </si>
  <si>
    <t>P.Trà Lý, Hưng Yên</t>
  </si>
  <si>
    <t>Xã Diên Hà, Hưng Yên</t>
  </si>
  <si>
    <t>Xã Nho Quan, Ninh Bình</t>
  </si>
  <si>
    <t>Xã Lương Bằng, Hưng Yên</t>
  </si>
  <si>
    <t>P.An Phong, Hải Phòng</t>
  </si>
  <si>
    <t>P.Yên Tử, Quảng Ninh</t>
  </si>
  <si>
    <t>Xã Nam Tiến Hưng, Hưng Yên</t>
  </si>
  <si>
    <t>11.02.2007</t>
  </si>
  <si>
    <t xml:space="preserve">Dương Tuấn Đức </t>
  </si>
  <si>
    <t>22.10.2005</t>
  </si>
  <si>
    <t>11.07.2004</t>
  </si>
  <si>
    <t>An Tuấn Minh</t>
  </si>
  <si>
    <t>Phạm Phú Qúy</t>
  </si>
  <si>
    <t>Vũ Duy Sơn</t>
  </si>
  <si>
    <t>Vũ Song Toàn</t>
  </si>
  <si>
    <t>Nguyễn Vũ Tuấn</t>
  </si>
  <si>
    <t>11.04.2003</t>
  </si>
  <si>
    <t>Xã Việt Tiến, Hưng Yên</t>
  </si>
  <si>
    <t>P.Hiệp Hòa, Quảng Ninh</t>
  </si>
  <si>
    <t>Xã Thanh Miện, Hải Phòng</t>
  </si>
  <si>
    <t>P.Hoa Lư, Ninh Bình</t>
  </si>
  <si>
    <t>Xã Thanh Liêm, Ninh Bình</t>
  </si>
  <si>
    <t>Xã Xuân Hồng, Ninh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</si>
</sst>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18" x14ac:knownFonts="1">
    <font>
      <sz val="14"/>
      <name val=".VnTime"/>
    </font>
    <font>
      <sz val="14"/>
      <name val=".VnTime"/>
      <family val="2"/>
    </font>
    <font>
      <b/>
      <i/>
      <sz val="14"/>
      <name val=".VnTime"/>
      <family val="2"/>
    </font>
    <font>
      <sz val="11"/>
      <name val=".VnArial Narrow"/>
      <family val="2"/>
    </font>
    <font>
      <sz val="12"/>
      <name val=".VnArial Narrow"/>
      <family val="2"/>
    </font>
    <font>
      <sz val="14"/>
      <name val=".VnTime"/>
      <family val="2"/>
    </font>
    <font>
      <b/>
      <sz val="12"/>
      <name val=".VnArial Narrow"/>
      <family val="2"/>
    </font>
    <font>
      <b/>
      <sz val="14"/>
      <name val=".VnArial Narrow"/>
      <family val="2"/>
    </font>
    <font>
      <b/>
      <sz val="12"/>
      <name val=".VnTimeH"/>
      <family val="2"/>
    </font>
    <font>
      <sz val="12"/>
      <name val=".VnTime"/>
      <family val="2"/>
    </font>
    <font>
      <b/>
      <sz val="12"/>
      <name val=".VnTime"/>
      <family val="2"/>
    </font>
    <font>
      <i/>
      <sz val="12"/>
      <name val=".VnTime"/>
      <family val="2"/>
    </font>
    <font>
      <sz val="10.5"/>
      <name val=".VnArial Narrow"/>
      <family val="2"/>
    </font>
    <font>
      <b/>
      <sz val="10.5"/>
      <name val=".VnArial Narrow"/>
      <family val="2"/>
    </font>
    <font>
      <sz val="10.5"/>
      <name val=".VnTime"/>
      <family val="2"/>
    </font>
    <font>
      <sz val="10"/>
      <name val=".VnArial Narrow"/>
      <family val="2"/>
    </font>
    <font>
      <sz val="10"/>
      <name val=".VnTime"/>
      <family val="2"/>
    </font>
    <font>
      <b/>
      <sz val="10"/>
      <name val=".VnArial Narrow"/>
      <family val="2"/>
    </font>
    <font>
      <b/>
      <sz val="14"/>
      <name val=".VnTime"/>
      <family val="2"/>
    </font>
    <font>
      <b/>
      <i/>
      <sz val="14"/>
      <name val=".VnArial Narrow"/>
      <family val="2"/>
    </font>
    <font>
      <sz val="14"/>
      <name val=".VnArial Narrow"/>
      <family val="2"/>
    </font>
    <font>
      <sz val="14"/>
      <name val=".VnTime"/>
      <family val="2"/>
    </font>
    <font>
      <sz val="11"/>
      <name val=".VnTime"/>
      <family val="2"/>
    </font>
    <font>
      <b/>
      <sz val="16"/>
      <name val=".VnTimeH"/>
      <family val="2"/>
    </font>
    <font>
      <b/>
      <sz val="11"/>
      <name val=".VnArial Narrow"/>
      <family val="2"/>
    </font>
    <font>
      <b/>
      <sz val="11"/>
      <name val=".VnTime"/>
      <family val="2"/>
    </font>
    <font>
      <i/>
      <sz val="11"/>
      <name val=".VnArial Narrow"/>
      <family val="2"/>
    </font>
    <font>
      <b/>
      <i/>
      <sz val="12"/>
      <name val=".VnArial Narrow"/>
      <family val="2"/>
    </font>
    <font>
      <b/>
      <sz val="13"/>
      <color indexed="8"/>
      <name val=".VnArial Narrow"/>
      <family val="2"/>
    </font>
    <font>
      <b/>
      <i/>
      <sz val="11"/>
      <name val=".VnArial Narrow"/>
      <family val="2"/>
    </font>
    <font>
      <b/>
      <sz val="14"/>
      <color indexed="10"/>
      <name val=".VnArial Narrow"/>
      <family val="2"/>
    </font>
    <font>
      <sz val="12"/>
      <color indexed="10"/>
      <name val=".VnArial Narrow"/>
      <family val="2"/>
    </font>
    <font>
      <sz val="14"/>
      <color indexed="10"/>
      <name val=".VnTime"/>
      <family val="2"/>
    </font>
    <font>
      <sz val="10.5"/>
      <name val=".VnTime"/>
      <family val="2"/>
    </font>
    <font>
      <b/>
      <sz val="10.5"/>
      <name val=".VnTime"/>
      <family val="2"/>
    </font>
    <font>
      <b/>
      <sz val="10.5"/>
      <name val=".VnTimeH"/>
      <family val="2"/>
    </font>
    <font>
      <b/>
      <sz val="13"/>
      <color indexed="10"/>
      <name val=".VnArial Narrow"/>
      <family val="2"/>
    </font>
    <font>
      <b/>
      <sz val="13"/>
      <name val=".VnArial Narrow"/>
      <family val="2"/>
    </font>
    <font>
      <b/>
      <sz val="11"/>
      <name val=".VnTimeH"/>
      <family val="2"/>
    </font>
    <font>
      <sz val="10.5"/>
      <name val=".VnArial NarrowH"/>
      <family val="2"/>
    </font>
    <font>
      <i/>
      <sz val="11"/>
      <color indexed="10"/>
      <name val=".VnArial Narrow"/>
      <family val="2"/>
    </font>
    <font>
      <b/>
      <sz val="12"/>
      <color indexed="10"/>
      <name val=".VnArial Narrow"/>
      <family val="2"/>
    </font>
    <font>
      <b/>
      <i/>
      <sz val="11"/>
      <color indexed="10"/>
      <name val=".VnArial Narrow"/>
      <family val="2"/>
    </font>
    <font>
      <b/>
      <i/>
      <sz val="14"/>
      <color indexed="10"/>
      <name val=".VnArial Narrow"/>
      <family val="2"/>
    </font>
    <font>
      <sz val="14"/>
      <name val=".VnTime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10"/>
      <name val=".VnTime"/>
      <family val="2"/>
    </font>
    <font>
      <sz val="13"/>
      <name val=".VnArial Narrow"/>
      <family val="2"/>
    </font>
    <font>
      <b/>
      <sz val="12"/>
      <color indexed="8"/>
      <name val=".VnArial Narrow"/>
      <family val="2"/>
    </font>
    <font>
      <sz val="11"/>
      <color indexed="10"/>
      <name val=".VnTime"/>
      <family val="2"/>
    </font>
    <font>
      <b/>
      <i/>
      <sz val="10.5"/>
      <name val=".VnTime"/>
      <family val="2"/>
    </font>
    <font>
      <sz val="11"/>
      <name val=".VnArial NarrowH"/>
      <family val="2"/>
    </font>
    <font>
      <sz val="11"/>
      <color rgb="FFFF0000"/>
      <name val=".VnArial Narrow"/>
      <family val="2"/>
    </font>
    <font>
      <b/>
      <sz val="11"/>
      <color rgb="FFFF0000"/>
      <name val=".VnArial Narrow"/>
      <family val="2"/>
    </font>
    <font>
      <sz val="10.5"/>
      <color rgb="FFFF0000"/>
      <name val=".VnArial Narrow"/>
      <family val="2"/>
    </font>
    <font>
      <sz val="11"/>
      <color rgb="FFFF0000"/>
      <name val=".VnTime"/>
      <family val="2"/>
    </font>
    <font>
      <sz val="10.5"/>
      <color rgb="FFFF0000"/>
      <name val=".VnTime"/>
      <family val="2"/>
    </font>
    <font>
      <sz val="10.5"/>
      <color theme="1"/>
      <name val=".VnArial Narrow"/>
      <family val="2"/>
    </font>
    <font>
      <sz val="11"/>
      <color theme="1"/>
      <name val=".VnArial Narrow"/>
      <family val="2"/>
    </font>
    <font>
      <b/>
      <sz val="13"/>
      <name val=".VnTime"/>
      <family val="2"/>
    </font>
    <font>
      <sz val="13"/>
      <name val=".VnTime"/>
      <family val="2"/>
    </font>
    <font>
      <i/>
      <sz val="13"/>
      <name val=".VnArial Narrow"/>
      <family val="2"/>
    </font>
    <font>
      <b/>
      <i/>
      <sz val="13"/>
      <name val=".VnArial Narrow"/>
      <family val="2"/>
    </font>
    <font>
      <i/>
      <sz val="13"/>
      <color indexed="10"/>
      <name val=".VnArial Narrow"/>
      <family val="2"/>
    </font>
    <font>
      <b/>
      <i/>
      <sz val="13"/>
      <color indexed="10"/>
      <name val=".VnArial Narrow"/>
      <family val="2"/>
    </font>
    <font>
      <b/>
      <sz val="11.5"/>
      <name val=".VnArial Narrow"/>
      <family val="2"/>
    </font>
    <font>
      <i/>
      <sz val="12"/>
      <name val=".VnArial Narrow"/>
      <family val="2"/>
    </font>
    <font>
      <sz val="9"/>
      <name val=".VnArial Narrow"/>
      <family val="2"/>
    </font>
    <font>
      <b/>
      <sz val="18"/>
      <name val=".VnTimeH"/>
      <family val="2"/>
    </font>
    <font>
      <b/>
      <sz val="16"/>
      <name val=".VnArial Narrow"/>
      <family val="2"/>
    </font>
    <font>
      <b/>
      <sz val="11"/>
      <color theme="1"/>
      <name val=".VnArial Narrow"/>
      <family val="2"/>
    </font>
    <font>
      <sz val="11"/>
      <color theme="1"/>
      <name val=".VnTime"/>
      <family val="2"/>
    </font>
    <font>
      <sz val="10.5"/>
      <color theme="1"/>
      <name val=".VnTime"/>
      <family val="2"/>
    </font>
    <font>
      <sz val="12"/>
      <color rgb="FFFF0000"/>
      <name val=".VnArial Narrow"/>
      <family val="2"/>
    </font>
    <font>
      <sz val="1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.5"/>
      <name val="Times New Roman"/>
      <family val="1"/>
    </font>
    <font>
      <sz val="11"/>
      <color rgb="FFFF0000"/>
      <name val="Times New Roman"/>
      <family val="1"/>
    </font>
    <font>
      <b/>
      <sz val="10.5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2"/>
      <name val="Times New Roman"/>
      <family val="1"/>
    </font>
    <font>
      <b/>
      <sz val="11"/>
      <color rgb="FFFF0000"/>
      <name val="Times New Roman"/>
      <family val="1"/>
    </font>
    <font>
      <sz val="10.5"/>
      <color rgb="FFFF000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sz val="14"/>
      <color indexed="10"/>
      <name val="Times New Roman"/>
      <family val="1"/>
    </font>
    <font>
      <b/>
      <sz val="10"/>
      <name val="Times New Roman"/>
      <family val="1"/>
    </font>
    <font>
      <sz val="11"/>
      <color indexed="10"/>
      <name val="Times New Roman"/>
      <family val="1"/>
    </font>
    <font>
      <b/>
      <i/>
      <sz val="10.5"/>
      <name val="Times New Roman"/>
      <family val="1"/>
    </font>
    <font>
      <b/>
      <sz val="16"/>
      <name val="Times New Roman"/>
      <family val="1"/>
    </font>
    <font>
      <i/>
      <sz val="11"/>
      <name val="Times New Roman"/>
      <family val="1"/>
    </font>
    <font>
      <b/>
      <i/>
      <sz val="11"/>
      <name val="Times New Roman"/>
      <family val="1"/>
    </font>
    <font>
      <i/>
      <sz val="11"/>
      <color indexed="10"/>
      <name val="Times New Roman"/>
      <family val="1"/>
    </font>
    <font>
      <b/>
      <i/>
      <sz val="11"/>
      <color indexed="10"/>
      <name val="Times New Roman"/>
      <family val="1"/>
    </font>
    <font>
      <sz val="12"/>
      <color indexed="10"/>
      <name val="Times New Roman"/>
      <family val="1"/>
    </font>
    <font>
      <b/>
      <i/>
      <sz val="12"/>
      <name val="Times New Roman"/>
      <family val="1"/>
    </font>
    <font>
      <b/>
      <sz val="14"/>
      <color indexed="10"/>
      <name val="Times New Roman"/>
      <family val="1"/>
    </font>
    <font>
      <b/>
      <i/>
      <sz val="14"/>
      <color indexed="10"/>
      <name val="Times New Roman"/>
      <family val="1"/>
    </font>
    <font>
      <b/>
      <sz val="13"/>
      <color indexed="10"/>
      <name val="Times New Roman"/>
      <family val="1"/>
    </font>
    <font>
      <b/>
      <sz val="12"/>
      <color indexed="10"/>
      <name val="Times New Roman"/>
      <family val="1"/>
    </font>
    <font>
      <b/>
      <sz val="13"/>
      <name val="Times New Roman"/>
      <family val="1"/>
    </font>
    <font>
      <b/>
      <sz val="13"/>
      <color indexed="8"/>
      <name val="Times New Roman"/>
      <family val="1"/>
    </font>
    <font>
      <sz val="9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.5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3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32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9" fillId="0" borderId="0" xfId="0" applyFont="1" applyFill="1"/>
    <xf numFmtId="0" fontId="14" fillId="0" borderId="0" xfId="0" applyFont="1" applyFill="1"/>
    <xf numFmtId="0" fontId="8" fillId="0" borderId="0" xfId="0" applyFont="1" applyFill="1" applyAlignment="1"/>
    <xf numFmtId="0" fontId="9" fillId="0" borderId="0" xfId="0" applyFont="1" applyFill="1" applyAlignment="1">
      <alignment horizontal="center"/>
    </xf>
    <xf numFmtId="0" fontId="10" fillId="0" borderId="0" xfId="0" applyFont="1" applyFill="1" applyAlignment="1"/>
    <xf numFmtId="0" fontId="11" fillId="0" borderId="0" xfId="0" applyFont="1" applyFill="1" applyAlignment="1"/>
    <xf numFmtId="0" fontId="9" fillId="0" borderId="0" xfId="0" applyFont="1" applyFill="1" applyAlignment="1"/>
    <xf numFmtId="0" fontId="2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2" fillId="0" borderId="1" xfId="0" applyFont="1" applyFill="1" applyBorder="1" applyAlignment="1">
      <alignment horizontal="center" textRotation="90" wrapText="1"/>
    </xf>
    <xf numFmtId="0" fontId="12" fillId="0" borderId="3" xfId="0" applyFont="1" applyFill="1" applyBorder="1" applyAlignment="1">
      <alignment horizontal="center" textRotation="90"/>
    </xf>
    <xf numFmtId="0" fontId="6" fillId="0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Fill="1" applyAlignment="1">
      <alignment horizontal="center"/>
    </xf>
    <xf numFmtId="0" fontId="4" fillId="0" borderId="0" xfId="0" applyFont="1" applyFill="1"/>
    <xf numFmtId="0" fontId="20" fillId="0" borderId="0" xfId="0" applyFont="1" applyAlignment="1">
      <alignment horizontal="center"/>
    </xf>
    <xf numFmtId="0" fontId="21" fillId="0" borderId="0" xfId="0" applyFont="1" applyFill="1" applyAlignment="1">
      <alignment horizontal="center"/>
    </xf>
    <xf numFmtId="0" fontId="21" fillId="0" borderId="0" xfId="0" applyFont="1" applyFill="1"/>
    <xf numFmtId="2" fontId="21" fillId="0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0" fontId="20" fillId="0" borderId="0" xfId="0" applyFont="1"/>
    <xf numFmtId="0" fontId="3" fillId="0" borderId="3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6" fillId="0" borderId="6" xfId="0" applyFont="1" applyFill="1" applyBorder="1" applyAlignment="1">
      <alignment horizontal="center"/>
    </xf>
    <xf numFmtId="0" fontId="26" fillId="0" borderId="7" xfId="0" applyFont="1" applyFill="1" applyBorder="1" applyAlignment="1">
      <alignment horizontal="center"/>
    </xf>
    <xf numFmtId="0" fontId="26" fillId="0" borderId="8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30" fillId="0" borderId="0" xfId="0" applyFont="1" applyAlignment="1"/>
    <xf numFmtId="0" fontId="3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2" fillId="2" borderId="1" xfId="0" applyFont="1" applyFill="1" applyBorder="1" applyAlignment="1">
      <alignment horizontal="center" textRotation="90"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2" fillId="0" borderId="15" xfId="0" applyFont="1" applyBorder="1" applyAlignment="1">
      <alignment horizontal="center"/>
    </xf>
    <xf numFmtId="0" fontId="9" fillId="0" borderId="0" xfId="0" applyFont="1" applyFill="1" applyBorder="1"/>
    <xf numFmtId="0" fontId="4" fillId="2" borderId="0" xfId="0" applyFont="1" applyFill="1"/>
    <xf numFmtId="0" fontId="6" fillId="0" borderId="13" xfId="0" applyFont="1" applyFill="1" applyBorder="1" applyAlignment="1">
      <alignment horizontal="center" textRotation="90" wrapText="1"/>
    </xf>
    <xf numFmtId="0" fontId="19" fillId="0" borderId="15" xfId="0" applyFont="1" applyBorder="1" applyAlignment="1">
      <alignment horizontal="center"/>
    </xf>
    <xf numFmtId="0" fontId="12" fillId="0" borderId="5" xfId="0" applyFont="1" applyFill="1" applyBorder="1" applyAlignment="1">
      <alignment horizontal="center" textRotation="90" wrapText="1"/>
    </xf>
    <xf numFmtId="0" fontId="33" fillId="0" borderId="12" xfId="0" applyFont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35" fillId="0" borderId="11" xfId="0" applyFont="1" applyFill="1" applyBorder="1" applyAlignment="1">
      <alignment horizontal="center"/>
    </xf>
    <xf numFmtId="0" fontId="33" fillId="0" borderId="4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2" fontId="33" fillId="0" borderId="4" xfId="0" applyNumberFormat="1" applyFont="1" applyFill="1" applyBorder="1" applyAlignment="1">
      <alignment horizontal="center"/>
    </xf>
    <xf numFmtId="0" fontId="22" fillId="0" borderId="0" xfId="0" applyFont="1" applyFill="1" applyAlignment="1">
      <alignment horizontal="center"/>
    </xf>
    <xf numFmtId="0" fontId="24" fillId="0" borderId="2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4" fillId="0" borderId="25" xfId="0" applyFont="1" applyFill="1" applyBorder="1" applyAlignment="1">
      <alignment horizontal="center" vertical="center"/>
    </xf>
    <xf numFmtId="0" fontId="22" fillId="0" borderId="5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2" fontId="26" fillId="0" borderId="9" xfId="0" applyNumberFormat="1" applyFont="1" applyFill="1" applyBorder="1" applyAlignment="1">
      <alignment horizontal="center"/>
    </xf>
    <xf numFmtId="2" fontId="26" fillId="0" borderId="28" xfId="0" applyNumberFormat="1" applyFont="1" applyFill="1" applyBorder="1" applyAlignment="1">
      <alignment horizontal="center"/>
    </xf>
    <xf numFmtId="0" fontId="26" fillId="0" borderId="29" xfId="0" applyFont="1" applyFill="1" applyBorder="1" applyAlignment="1">
      <alignment horizontal="center"/>
    </xf>
    <xf numFmtId="0" fontId="26" fillId="0" borderId="30" xfId="0" applyFont="1" applyFill="1" applyBorder="1" applyAlignment="1">
      <alignment horizontal="center"/>
    </xf>
    <xf numFmtId="0" fontId="26" fillId="0" borderId="31" xfId="0" applyFont="1" applyFill="1" applyBorder="1" applyAlignment="1">
      <alignment horizontal="center"/>
    </xf>
    <xf numFmtId="0" fontId="26" fillId="0" borderId="32" xfId="0" applyFont="1" applyFill="1" applyBorder="1" applyAlignment="1">
      <alignment horizontal="center"/>
    </xf>
    <xf numFmtId="0" fontId="6" fillId="0" borderId="14" xfId="0" applyFont="1" applyFill="1" applyBorder="1" applyAlignment="1">
      <alignment horizontal="center"/>
    </xf>
    <xf numFmtId="2" fontId="6" fillId="0" borderId="14" xfId="0" applyNumberFormat="1" applyFont="1" applyFill="1" applyBorder="1" applyAlignment="1">
      <alignment horizontal="center"/>
    </xf>
    <xf numFmtId="2" fontId="6" fillId="0" borderId="33" xfId="0" applyNumberFormat="1" applyFont="1" applyFill="1" applyBorder="1" applyAlignment="1">
      <alignment horizontal="center"/>
    </xf>
    <xf numFmtId="2" fontId="26" fillId="0" borderId="7" xfId="0" applyNumberFormat="1" applyFont="1" applyFill="1" applyBorder="1" applyAlignment="1">
      <alignment horizontal="center"/>
    </xf>
    <xf numFmtId="2" fontId="26" fillId="0" borderId="34" xfId="0" applyNumberFormat="1" applyFont="1" applyFill="1" applyBorder="1" applyAlignment="1">
      <alignment horizontal="center"/>
    </xf>
    <xf numFmtId="0" fontId="26" fillId="0" borderId="35" xfId="0" applyFont="1" applyFill="1" applyBorder="1" applyAlignment="1">
      <alignment horizontal="center"/>
    </xf>
    <xf numFmtId="2" fontId="26" fillId="0" borderId="23" xfId="0" applyNumberFormat="1" applyFont="1" applyFill="1" applyBorder="1" applyAlignment="1">
      <alignment horizontal="center"/>
    </xf>
    <xf numFmtId="0" fontId="26" fillId="0" borderId="23" xfId="0" applyFont="1" applyFill="1" applyBorder="1" applyAlignment="1">
      <alignment horizontal="center"/>
    </xf>
    <xf numFmtId="0" fontId="26" fillId="0" borderId="36" xfId="0" applyFont="1" applyFill="1" applyBorder="1" applyAlignment="1">
      <alignment horizontal="center"/>
    </xf>
    <xf numFmtId="0" fontId="26" fillId="0" borderId="37" xfId="0" applyFont="1" applyFill="1" applyBorder="1" applyAlignment="1">
      <alignment horizontal="center"/>
    </xf>
    <xf numFmtId="2" fontId="3" fillId="0" borderId="14" xfId="0" applyNumberFormat="1" applyFont="1" applyFill="1" applyBorder="1" applyAlignment="1">
      <alignment horizontal="center"/>
    </xf>
    <xf numFmtId="2" fontId="26" fillId="0" borderId="6" xfId="0" applyNumberFormat="1" applyFont="1" applyFill="1" applyBorder="1" applyAlignment="1">
      <alignment horizontal="center"/>
    </xf>
    <xf numFmtId="2" fontId="26" fillId="0" borderId="38" xfId="0" applyNumberFormat="1" applyFont="1" applyFill="1" applyBorder="1" applyAlignment="1">
      <alignment horizontal="center"/>
    </xf>
    <xf numFmtId="0" fontId="26" fillId="0" borderId="25" xfId="0" applyFont="1" applyFill="1" applyBorder="1" applyAlignment="1">
      <alignment horizontal="center"/>
    </xf>
    <xf numFmtId="2" fontId="24" fillId="0" borderId="9" xfId="0" applyNumberFormat="1" applyFont="1" applyFill="1" applyBorder="1" applyAlignment="1">
      <alignment horizontal="center"/>
    </xf>
    <xf numFmtId="2" fontId="24" fillId="0" borderId="14" xfId="0" applyNumberFormat="1" applyFont="1" applyFill="1" applyBorder="1" applyAlignment="1">
      <alignment horizontal="center"/>
    </xf>
    <xf numFmtId="2" fontId="26" fillId="0" borderId="8" xfId="0" applyNumberFormat="1" applyFont="1" applyFill="1" applyBorder="1" applyAlignment="1">
      <alignment horizontal="center"/>
    </xf>
    <xf numFmtId="0" fontId="26" fillId="0" borderId="39" xfId="0" applyFont="1" applyFill="1" applyBorder="1" applyAlignment="1">
      <alignment horizontal="center"/>
    </xf>
    <xf numFmtId="2" fontId="26" fillId="0" borderId="5" xfId="0" applyNumberFormat="1" applyFont="1" applyFill="1" applyBorder="1" applyAlignment="1">
      <alignment horizontal="center"/>
    </xf>
    <xf numFmtId="2" fontId="26" fillId="0" borderId="40" xfId="0" applyNumberFormat="1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26" fillId="0" borderId="41" xfId="0" applyFont="1" applyFill="1" applyBorder="1" applyAlignment="1">
      <alignment horizontal="center"/>
    </xf>
    <xf numFmtId="2" fontId="26" fillId="0" borderId="42" xfId="0" applyNumberFormat="1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/>
    </xf>
    <xf numFmtId="2" fontId="26" fillId="0" borderId="26" xfId="0" applyNumberFormat="1" applyFont="1" applyFill="1" applyBorder="1" applyAlignment="1">
      <alignment horizontal="center"/>
    </xf>
    <xf numFmtId="0" fontId="26" fillId="0" borderId="27" xfId="0" applyFont="1" applyFill="1" applyBorder="1" applyAlignment="1">
      <alignment horizontal="center"/>
    </xf>
    <xf numFmtId="2" fontId="6" fillId="0" borderId="5" xfId="0" applyNumberFormat="1" applyFont="1" applyFill="1" applyBorder="1" applyAlignment="1">
      <alignment horizontal="center"/>
    </xf>
    <xf numFmtId="2" fontId="24" fillId="0" borderId="5" xfId="0" applyNumberFormat="1" applyFont="1" applyFill="1" applyBorder="1" applyAlignment="1">
      <alignment horizontal="center"/>
    </xf>
    <xf numFmtId="2" fontId="6" fillId="0" borderId="26" xfId="0" applyNumberFormat="1" applyFont="1" applyFill="1" applyBorder="1" applyAlignment="1">
      <alignment horizontal="center"/>
    </xf>
    <xf numFmtId="2" fontId="30" fillId="0" borderId="43" xfId="0" applyNumberFormat="1" applyFont="1" applyFill="1" applyBorder="1" applyAlignment="1">
      <alignment horizontal="center" vertical="center"/>
    </xf>
    <xf numFmtId="2" fontId="28" fillId="0" borderId="43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2" fontId="24" fillId="0" borderId="23" xfId="0" applyNumberFormat="1" applyFont="1" applyFill="1" applyBorder="1" applyAlignment="1">
      <alignment horizontal="center"/>
    </xf>
    <xf numFmtId="0" fontId="26" fillId="0" borderId="44" xfId="0" applyFont="1" applyFill="1" applyBorder="1" applyAlignment="1">
      <alignment horizontal="center"/>
    </xf>
    <xf numFmtId="2" fontId="29" fillId="0" borderId="7" xfId="0" applyNumberFormat="1" applyFont="1" applyFill="1" applyBorder="1" applyAlignment="1">
      <alignment horizontal="center"/>
    </xf>
    <xf numFmtId="0" fontId="32" fillId="0" borderId="0" xfId="0" applyFont="1"/>
    <xf numFmtId="2" fontId="26" fillId="0" borderId="37" xfId="0" applyNumberFormat="1" applyFont="1" applyFill="1" applyBorder="1" applyAlignment="1">
      <alignment horizontal="center"/>
    </xf>
    <xf numFmtId="0" fontId="32" fillId="0" borderId="0" xfId="0" applyFont="1" applyFill="1"/>
    <xf numFmtId="0" fontId="6" fillId="0" borderId="45" xfId="0" applyFont="1" applyFill="1" applyBorder="1" applyAlignment="1">
      <alignment horizontal="center"/>
    </xf>
    <xf numFmtId="0" fontId="27" fillId="0" borderId="0" xfId="0" applyFont="1" applyFill="1"/>
    <xf numFmtId="0" fontId="26" fillId="0" borderId="46" xfId="0" applyFont="1" applyFill="1" applyBorder="1" applyAlignment="1">
      <alignment horizontal="center"/>
    </xf>
    <xf numFmtId="0" fontId="27" fillId="0" borderId="0" xfId="0" applyFont="1" applyFill="1" applyAlignment="1"/>
    <xf numFmtId="0" fontId="6" fillId="0" borderId="47" xfId="0" applyFont="1" applyFill="1" applyBorder="1" applyAlignment="1">
      <alignment horizontal="center"/>
    </xf>
    <xf numFmtId="0" fontId="26" fillId="0" borderId="0" xfId="0" applyFont="1" applyFill="1"/>
    <xf numFmtId="0" fontId="26" fillId="0" borderId="17" xfId="0" applyFont="1" applyFill="1" applyBorder="1" applyAlignment="1">
      <alignment horizontal="center"/>
    </xf>
    <xf numFmtId="0" fontId="7" fillId="0" borderId="0" xfId="0" applyFont="1" applyFill="1" applyAlignment="1">
      <alignment vertical="center"/>
    </xf>
    <xf numFmtId="0" fontId="24" fillId="0" borderId="27" xfId="0" applyFont="1" applyFill="1" applyBorder="1" applyAlignment="1">
      <alignment horizontal="center"/>
    </xf>
    <xf numFmtId="0" fontId="36" fillId="0" borderId="48" xfId="0" applyFont="1" applyFill="1" applyBorder="1" applyAlignment="1">
      <alignment horizontal="center" vertical="center"/>
    </xf>
    <xf numFmtId="2" fontId="36" fillId="0" borderId="48" xfId="0" applyNumberFormat="1" applyFont="1" applyFill="1" applyBorder="1" applyAlignment="1">
      <alignment horizontal="center" vertical="center"/>
    </xf>
    <xf numFmtId="2" fontId="36" fillId="0" borderId="49" xfId="0" applyNumberFormat="1" applyFont="1" applyFill="1" applyBorder="1" applyAlignment="1">
      <alignment horizontal="center" vertical="center"/>
    </xf>
    <xf numFmtId="2" fontId="36" fillId="0" borderId="50" xfId="0" applyNumberFormat="1" applyFont="1" applyFill="1" applyBorder="1" applyAlignment="1">
      <alignment horizontal="center" vertical="center"/>
    </xf>
    <xf numFmtId="0" fontId="36" fillId="0" borderId="51" xfId="0" applyFont="1" applyFill="1" applyBorder="1" applyAlignment="1">
      <alignment horizontal="center" vertical="center"/>
    </xf>
    <xf numFmtId="2" fontId="36" fillId="0" borderId="14" xfId="0" applyNumberFormat="1" applyFont="1" applyFill="1" applyBorder="1" applyAlignment="1">
      <alignment horizontal="center" vertical="center"/>
    </xf>
    <xf numFmtId="0" fontId="36" fillId="0" borderId="45" xfId="0" applyFont="1" applyFill="1" applyBorder="1" applyAlignment="1">
      <alignment horizontal="center" vertical="center"/>
    </xf>
    <xf numFmtId="2" fontId="37" fillId="0" borderId="7" xfId="0" applyNumberFormat="1" applyFont="1" applyFill="1" applyBorder="1" applyAlignment="1">
      <alignment horizontal="center" vertical="center"/>
    </xf>
    <xf numFmtId="0" fontId="30" fillId="0" borderId="52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21" fillId="2" borderId="0" xfId="0" applyFont="1" applyFill="1"/>
    <xf numFmtId="0" fontId="6" fillId="0" borderId="5" xfId="0" applyFont="1" applyFill="1" applyBorder="1" applyAlignment="1">
      <alignment horizontal="center" textRotation="90" wrapText="1"/>
    </xf>
    <xf numFmtId="0" fontId="12" fillId="0" borderId="5" xfId="0" applyFont="1" applyFill="1" applyBorder="1" applyAlignment="1">
      <alignment textRotation="90"/>
    </xf>
    <xf numFmtId="0" fontId="12" fillId="0" borderId="5" xfId="0" applyFont="1" applyFill="1" applyBorder="1" applyAlignment="1">
      <alignment horizontal="center" textRotation="90"/>
    </xf>
    <xf numFmtId="0" fontId="6" fillId="2" borderId="5" xfId="0" applyFont="1" applyFill="1" applyBorder="1" applyAlignment="1">
      <alignment horizontal="center" textRotation="90" wrapText="1"/>
    </xf>
    <xf numFmtId="0" fontId="40" fillId="0" borderId="23" xfId="0" applyFont="1" applyFill="1" applyBorder="1" applyAlignment="1">
      <alignment horizontal="center"/>
    </xf>
    <xf numFmtId="0" fontId="40" fillId="0" borderId="17" xfId="0" applyFont="1" applyFill="1" applyBorder="1" applyAlignment="1">
      <alignment horizontal="center"/>
    </xf>
    <xf numFmtId="0" fontId="40" fillId="0" borderId="6" xfId="0" applyFont="1" applyFill="1" applyBorder="1" applyAlignment="1">
      <alignment horizontal="center"/>
    </xf>
    <xf numFmtId="0" fontId="40" fillId="0" borderId="59" xfId="0" applyFont="1" applyFill="1" applyBorder="1" applyAlignment="1">
      <alignment horizontal="center"/>
    </xf>
    <xf numFmtId="0" fontId="40" fillId="0" borderId="25" xfId="0" applyFont="1" applyFill="1" applyBorder="1" applyAlignment="1">
      <alignment horizontal="center"/>
    </xf>
    <xf numFmtId="0" fontId="31" fillId="0" borderId="0" xfId="0" applyFont="1" applyFill="1"/>
    <xf numFmtId="0" fontId="26" fillId="0" borderId="37" xfId="0" applyFont="1" applyFill="1" applyBorder="1" applyAlignment="1"/>
    <xf numFmtId="0" fontId="40" fillId="0" borderId="7" xfId="0" applyFont="1" applyFill="1" applyBorder="1" applyAlignment="1"/>
    <xf numFmtId="0" fontId="41" fillId="0" borderId="43" xfId="0" applyFont="1" applyFill="1" applyBorder="1" applyAlignment="1">
      <alignment horizontal="center" vertical="center"/>
    </xf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42" fillId="0" borderId="59" xfId="0" applyFont="1" applyFill="1" applyBorder="1" applyAlignment="1">
      <alignment horizontal="center"/>
    </xf>
    <xf numFmtId="0" fontId="29" fillId="0" borderId="7" xfId="0" applyFont="1" applyFill="1" applyBorder="1" applyAlignment="1">
      <alignment horizontal="center"/>
    </xf>
    <xf numFmtId="0" fontId="29" fillId="0" borderId="37" xfId="0" applyFont="1" applyFill="1" applyBorder="1" applyAlignment="1">
      <alignment horizontal="center"/>
    </xf>
    <xf numFmtId="0" fontId="29" fillId="0" borderId="8" xfId="0" applyFont="1" applyFill="1" applyBorder="1" applyAlignment="1">
      <alignment horizontal="center"/>
    </xf>
    <xf numFmtId="0" fontId="29" fillId="0" borderId="60" xfId="0" applyFont="1" applyFill="1" applyBorder="1" applyAlignment="1">
      <alignment horizontal="center"/>
    </xf>
    <xf numFmtId="0" fontId="43" fillId="0" borderId="61" xfId="0" applyFont="1" applyFill="1" applyBorder="1" applyAlignment="1">
      <alignment horizontal="center" vertical="center"/>
    </xf>
    <xf numFmtId="0" fontId="29" fillId="0" borderId="27" xfId="0" applyFont="1" applyFill="1" applyBorder="1" applyAlignment="1">
      <alignment horizontal="center"/>
    </xf>
    <xf numFmtId="0" fontId="44" fillId="0" borderId="0" xfId="0" applyFont="1" applyFill="1" applyAlignment="1">
      <alignment horizontal="center"/>
    </xf>
    <xf numFmtId="0" fontId="44" fillId="0" borderId="0" xfId="0" applyFont="1" applyFill="1"/>
    <xf numFmtId="0" fontId="44" fillId="2" borderId="0" xfId="0" applyFont="1" applyFill="1"/>
    <xf numFmtId="0" fontId="5" fillId="2" borderId="0" xfId="0" applyFont="1" applyFill="1"/>
    <xf numFmtId="2" fontId="47" fillId="0" borderId="0" xfId="0" applyNumberFormat="1" applyFont="1" applyFill="1" applyAlignment="1">
      <alignment horizontal="left"/>
    </xf>
    <xf numFmtId="0" fontId="7" fillId="0" borderId="0" xfId="0" applyFont="1" applyAlignment="1"/>
    <xf numFmtId="0" fontId="23" fillId="0" borderId="0" xfId="0" applyFont="1" applyAlignment="1"/>
    <xf numFmtId="0" fontId="34" fillId="0" borderId="4" xfId="0" applyFont="1" applyFill="1" applyBorder="1" applyAlignment="1">
      <alignment horizontal="center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center"/>
    </xf>
    <xf numFmtId="0" fontId="12" fillId="0" borderId="0" xfId="0" quotePrefix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12" fillId="2" borderId="0" xfId="0" applyFont="1" applyFill="1" applyBorder="1" applyAlignment="1">
      <alignment horizontal="center"/>
    </xf>
    <xf numFmtId="164" fontId="12" fillId="0" borderId="0" xfId="0" applyNumberFormat="1" applyFont="1" applyFill="1" applyBorder="1" applyAlignment="1">
      <alignment horizontal="center"/>
    </xf>
    <xf numFmtId="164" fontId="12" fillId="2" borderId="0" xfId="0" applyNumberFormat="1" applyFon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164" fontId="13" fillId="0" borderId="0" xfId="0" applyNumberFormat="1" applyFont="1" applyFill="1" applyBorder="1" applyAlignment="1">
      <alignment horizontal="center"/>
    </xf>
    <xf numFmtId="0" fontId="14" fillId="0" borderId="0" xfId="0" applyFont="1" applyFill="1" applyBorder="1"/>
    <xf numFmtId="2" fontId="44" fillId="0" borderId="0" xfId="0" applyNumberFormat="1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 vertical="center" wrapText="1"/>
    </xf>
    <xf numFmtId="2" fontId="22" fillId="2" borderId="0" xfId="0" applyNumberFormat="1" applyFont="1" applyFill="1" applyAlignment="1">
      <alignment horizontal="left"/>
    </xf>
    <xf numFmtId="0" fontId="12" fillId="2" borderId="0" xfId="0" applyFont="1" applyFill="1" applyBorder="1" applyAlignment="1">
      <alignment horizontal="left"/>
    </xf>
    <xf numFmtId="0" fontId="35" fillId="2" borderId="0" xfId="0" applyFont="1" applyFill="1" applyBorder="1" applyAlignment="1">
      <alignment horizontal="center"/>
    </xf>
    <xf numFmtId="0" fontId="33" fillId="0" borderId="0" xfId="0" applyFont="1" applyBorder="1" applyAlignment="1">
      <alignment horizontal="center"/>
    </xf>
    <xf numFmtId="0" fontId="33" fillId="0" borderId="0" xfId="0" applyFont="1" applyBorder="1"/>
    <xf numFmtId="0" fontId="12" fillId="0" borderId="0" xfId="0" applyFont="1" applyBorder="1" applyAlignment="1">
      <alignment horizontal="center"/>
    </xf>
    <xf numFmtId="2" fontId="33" fillId="0" borderId="0" xfId="0" applyNumberFormat="1" applyFont="1" applyFill="1" applyBorder="1" applyAlignment="1">
      <alignment horizontal="center"/>
    </xf>
    <xf numFmtId="0" fontId="33" fillId="0" borderId="0" xfId="0" applyFont="1" applyFill="1" applyBorder="1" applyAlignment="1">
      <alignment horizontal="center"/>
    </xf>
    <xf numFmtId="0" fontId="34" fillId="0" borderId="0" xfId="0" applyFont="1" applyFill="1" applyBorder="1" applyAlignment="1">
      <alignment horizontal="center"/>
    </xf>
    <xf numFmtId="0" fontId="35" fillId="0" borderId="0" xfId="0" applyFont="1" applyFill="1" applyBorder="1" applyAlignment="1">
      <alignment horizontal="center"/>
    </xf>
    <xf numFmtId="0" fontId="6" fillId="0" borderId="23" xfId="0" applyFont="1" applyFill="1" applyBorder="1" applyAlignment="1">
      <alignment horizontal="center" textRotation="90" wrapText="1"/>
    </xf>
    <xf numFmtId="0" fontId="48" fillId="0" borderId="43" xfId="0" applyFont="1" applyFill="1" applyBorder="1" applyAlignment="1">
      <alignment horizontal="center" vertical="center"/>
    </xf>
    <xf numFmtId="0" fontId="37" fillId="0" borderId="66" xfId="0" applyFont="1" applyFill="1" applyBorder="1" applyAlignment="1">
      <alignment horizontal="center" vertical="center"/>
    </xf>
    <xf numFmtId="0" fontId="37" fillId="0" borderId="43" xfId="0" applyFont="1" applyFill="1" applyBorder="1" applyAlignment="1">
      <alignment horizontal="center" vertical="center"/>
    </xf>
    <xf numFmtId="0" fontId="37" fillId="0" borderId="52" xfId="0" applyFont="1" applyFill="1" applyBorder="1" applyAlignment="1">
      <alignment horizontal="center" vertical="center"/>
    </xf>
    <xf numFmtId="2" fontId="48" fillId="0" borderId="43" xfId="0" applyNumberFormat="1" applyFont="1" applyFill="1" applyBorder="1" applyAlignment="1">
      <alignment horizontal="center" vertical="center"/>
    </xf>
    <xf numFmtId="2" fontId="48" fillId="0" borderId="67" xfId="0" applyNumberFormat="1" applyFont="1" applyFill="1" applyBorder="1" applyAlignment="1">
      <alignment horizontal="center" vertical="center"/>
    </xf>
    <xf numFmtId="0" fontId="48" fillId="0" borderId="68" xfId="0" applyFont="1" applyFill="1" applyBorder="1" applyAlignment="1">
      <alignment horizontal="center" vertical="center"/>
    </xf>
    <xf numFmtId="0" fontId="48" fillId="0" borderId="43" xfId="0" applyFont="1" applyFill="1" applyBorder="1" applyAlignment="1">
      <alignment vertical="center"/>
    </xf>
    <xf numFmtId="0" fontId="48" fillId="0" borderId="68" xfId="0" applyFont="1" applyFill="1" applyBorder="1" applyAlignment="1">
      <alignment vertical="center"/>
    </xf>
    <xf numFmtId="0" fontId="5" fillId="2" borderId="0" xfId="0" applyFont="1" applyFill="1" applyAlignment="1">
      <alignment horizontal="center"/>
    </xf>
    <xf numFmtId="0" fontId="44" fillId="2" borderId="0" xfId="0" applyFont="1" applyFill="1" applyAlignment="1">
      <alignment horizontal="center"/>
    </xf>
    <xf numFmtId="0" fontId="22" fillId="0" borderId="12" xfId="0" applyFont="1" applyFill="1" applyBorder="1" applyAlignment="1">
      <alignment horizontal="center"/>
    </xf>
    <xf numFmtId="0" fontId="22" fillId="0" borderId="19" xfId="0" applyFont="1" applyFill="1" applyBorder="1" applyAlignment="1">
      <alignment horizontal="center"/>
    </xf>
    <xf numFmtId="0" fontId="22" fillId="0" borderId="20" xfId="0" applyFont="1" applyFill="1" applyBorder="1" applyAlignment="1">
      <alignment horizontal="center"/>
    </xf>
    <xf numFmtId="0" fontId="22" fillId="0" borderId="4" xfId="0" applyFont="1" applyFill="1" applyBorder="1"/>
    <xf numFmtId="0" fontId="22" fillId="0" borderId="4" xfId="0" applyFont="1" applyFill="1" applyBorder="1" applyAlignment="1">
      <alignment horizontal="center"/>
    </xf>
    <xf numFmtId="0" fontId="38" fillId="0" borderId="4" xfId="0" applyFont="1" applyFill="1" applyBorder="1" applyAlignment="1"/>
    <xf numFmtId="0" fontId="38" fillId="0" borderId="18" xfId="0" applyFont="1" applyFill="1" applyBorder="1" applyAlignment="1"/>
    <xf numFmtId="0" fontId="38" fillId="0" borderId="21" xfId="0" applyFont="1" applyFill="1" applyBorder="1" applyAlignment="1"/>
    <xf numFmtId="0" fontId="3" fillId="0" borderId="4" xfId="0" applyFont="1" applyFill="1" applyBorder="1"/>
    <xf numFmtId="0" fontId="3" fillId="0" borderId="4" xfId="0" applyFont="1" applyFill="1" applyBorder="1" applyAlignment="1">
      <alignment horizontal="center"/>
    </xf>
    <xf numFmtId="0" fontId="24" fillId="0" borderId="4" xfId="0" applyFont="1" applyFill="1" applyBorder="1" applyAlignment="1"/>
    <xf numFmtId="0" fontId="24" fillId="0" borderId="18" xfId="0" applyFont="1" applyFill="1" applyBorder="1" applyAlignment="1"/>
    <xf numFmtId="0" fontId="24" fillId="0" borderId="20" xfId="0" applyFont="1" applyFill="1" applyBorder="1" applyAlignment="1"/>
    <xf numFmtId="0" fontId="24" fillId="0" borderId="21" xfId="0" applyFont="1" applyFill="1" applyBorder="1" applyAlignment="1"/>
    <xf numFmtId="0" fontId="2" fillId="2" borderId="15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 textRotation="90" wrapText="1"/>
    </xf>
    <xf numFmtId="0" fontId="3" fillId="2" borderId="1" xfId="0" applyFont="1" applyFill="1" applyBorder="1" applyAlignment="1">
      <alignment horizontal="center" textRotation="90" wrapText="1"/>
    </xf>
    <xf numFmtId="2" fontId="22" fillId="0" borderId="0" xfId="0" applyNumberFormat="1" applyFont="1" applyFill="1" applyAlignment="1">
      <alignment horizontal="left"/>
    </xf>
    <xf numFmtId="0" fontId="14" fillId="2" borderId="4" xfId="0" applyFont="1" applyFill="1" applyBorder="1" applyAlignment="1">
      <alignment horizontal="center"/>
    </xf>
    <xf numFmtId="2" fontId="50" fillId="2" borderId="0" xfId="0" applyNumberFormat="1" applyFont="1" applyFill="1" applyAlignment="1">
      <alignment horizontal="left"/>
    </xf>
    <xf numFmtId="0" fontId="51" fillId="0" borderId="0" xfId="0" applyFont="1" applyAlignment="1">
      <alignment horizontal="center"/>
    </xf>
    <xf numFmtId="0" fontId="13" fillId="0" borderId="56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0" borderId="13" xfId="0" applyFont="1" applyFill="1" applyBorder="1" applyAlignment="1">
      <alignment horizontal="center" textRotation="90" wrapText="1"/>
    </xf>
    <xf numFmtId="0" fontId="3" fillId="0" borderId="1" xfId="0" applyFont="1" applyFill="1" applyBorder="1" applyAlignment="1">
      <alignment horizontal="center" textRotation="90" wrapText="1"/>
    </xf>
    <xf numFmtId="0" fontId="3" fillId="0" borderId="14" xfId="0" applyFont="1" applyFill="1" applyBorder="1" applyAlignment="1">
      <alignment horizontal="center" textRotation="90" wrapText="1"/>
    </xf>
    <xf numFmtId="0" fontId="14" fillId="0" borderId="4" xfId="0" applyFont="1" applyBorder="1"/>
    <xf numFmtId="0" fontId="12" fillId="0" borderId="3" xfId="0" applyFont="1" applyFill="1" applyBorder="1" applyAlignment="1">
      <alignment textRotation="90"/>
    </xf>
    <xf numFmtId="0" fontId="12" fillId="0" borderId="3" xfId="0" applyFont="1" applyFill="1" applyBorder="1" applyAlignment="1">
      <alignment horizontal="center" textRotation="90" wrapText="1"/>
    </xf>
    <xf numFmtId="0" fontId="2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6" fillId="0" borderId="0" xfId="0" applyFont="1" applyFill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64" fontId="3" fillId="3" borderId="6" xfId="0" applyNumberFormat="1" applyFont="1" applyFill="1" applyBorder="1" applyAlignment="1">
      <alignment horizontal="center"/>
    </xf>
    <xf numFmtId="2" fontId="24" fillId="3" borderId="9" xfId="0" applyNumberFormat="1" applyFont="1" applyFill="1" applyBorder="1" applyAlignment="1">
      <alignment horizontal="center"/>
    </xf>
    <xf numFmtId="0" fontId="3" fillId="3" borderId="86" xfId="0" applyFont="1" applyFill="1" applyBorder="1" applyAlignment="1">
      <alignment horizontal="center"/>
    </xf>
    <xf numFmtId="0" fontId="3" fillId="3" borderId="57" xfId="0" quotePrefix="1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87" xfId="0" applyFont="1" applyFill="1" applyBorder="1"/>
    <xf numFmtId="0" fontId="3" fillId="3" borderId="87" xfId="0" applyFont="1" applyFill="1" applyBorder="1" applyAlignment="1">
      <alignment horizontal="center"/>
    </xf>
    <xf numFmtId="164" fontId="3" fillId="3" borderId="96" xfId="0" applyNumberFormat="1" applyFont="1" applyFill="1" applyBorder="1" applyAlignment="1">
      <alignment horizontal="center"/>
    </xf>
    <xf numFmtId="164" fontId="3" fillId="3" borderId="87" xfId="0" applyNumberFormat="1" applyFont="1" applyFill="1" applyBorder="1" applyAlignment="1">
      <alignment horizontal="center"/>
    </xf>
    <xf numFmtId="2" fontId="24" fillId="3" borderId="87" xfId="0" applyNumberFormat="1" applyFont="1" applyFill="1" applyBorder="1" applyAlignment="1">
      <alignment horizontal="center"/>
    </xf>
    <xf numFmtId="164" fontId="24" fillId="3" borderId="9" xfId="0" applyNumberFormat="1" applyFont="1" applyFill="1" applyBorder="1" applyAlignment="1">
      <alignment horizontal="center"/>
    </xf>
    <xf numFmtId="0" fontId="24" fillId="3" borderId="87" xfId="0" applyFont="1" applyFill="1" applyBorder="1" applyAlignment="1">
      <alignment horizontal="center"/>
    </xf>
    <xf numFmtId="0" fontId="3" fillId="3" borderId="99" xfId="0" applyFont="1" applyFill="1" applyBorder="1"/>
    <xf numFmtId="0" fontId="12" fillId="3" borderId="0" xfId="0" applyFont="1" applyFill="1"/>
    <xf numFmtId="0" fontId="14" fillId="3" borderId="0" xfId="0" applyFont="1" applyFill="1"/>
    <xf numFmtId="164" fontId="24" fillId="3" borderId="8" xfId="0" applyNumberFormat="1" applyFont="1" applyFill="1" applyBorder="1" applyAlignment="1">
      <alignment horizontal="center"/>
    </xf>
    <xf numFmtId="0" fontId="24" fillId="3" borderId="91" xfId="0" applyFont="1" applyFill="1" applyBorder="1" applyAlignment="1">
      <alignment horizontal="center"/>
    </xf>
    <xf numFmtId="0" fontId="3" fillId="3" borderId="30" xfId="0" applyFont="1" applyFill="1" applyBorder="1"/>
    <xf numFmtId="0" fontId="24" fillId="3" borderId="57" xfId="0" applyFont="1" applyFill="1" applyBorder="1" applyAlignment="1">
      <alignment horizontal="center"/>
    </xf>
    <xf numFmtId="0" fontId="3" fillId="3" borderId="77" xfId="0" applyFont="1" applyFill="1" applyBorder="1"/>
    <xf numFmtId="0" fontId="24" fillId="3" borderId="75" xfId="0" applyFont="1" applyFill="1" applyBorder="1" applyAlignment="1">
      <alignment horizontal="center"/>
    </xf>
    <xf numFmtId="0" fontId="3" fillId="3" borderId="32" xfId="0" applyFont="1" applyFill="1" applyBorder="1"/>
    <xf numFmtId="0" fontId="3" fillId="3" borderId="8" xfId="0" applyFont="1" applyFill="1" applyBorder="1"/>
    <xf numFmtId="0" fontId="3" fillId="3" borderId="79" xfId="0" applyFont="1" applyFill="1" applyBorder="1" applyAlignment="1">
      <alignment horizontal="center"/>
    </xf>
    <xf numFmtId="164" fontId="3" fillId="3" borderId="8" xfId="0" applyNumberFormat="1" applyFont="1" applyFill="1" applyBorder="1" applyAlignment="1">
      <alignment horizontal="center"/>
    </xf>
    <xf numFmtId="164" fontId="3" fillId="3" borderId="8" xfId="0" applyNumberFormat="1" applyFont="1" applyFill="1" applyBorder="1" applyAlignment="1">
      <alignment horizontal="center" wrapText="1"/>
    </xf>
    <xf numFmtId="164" fontId="3" fillId="3" borderId="9" xfId="0" applyNumberFormat="1" applyFont="1" applyFill="1" applyBorder="1" applyAlignment="1">
      <alignment horizontal="center"/>
    </xf>
    <xf numFmtId="0" fontId="3" fillId="3" borderId="6" xfId="0" applyFont="1" applyFill="1" applyBorder="1"/>
    <xf numFmtId="0" fontId="3" fillId="3" borderId="81" xfId="0" applyFont="1" applyFill="1" applyBorder="1" applyAlignment="1">
      <alignment horizontal="center"/>
    </xf>
    <xf numFmtId="0" fontId="24" fillId="3" borderId="8" xfId="0" applyFont="1" applyFill="1" applyBorder="1" applyAlignment="1">
      <alignment horizontal="center"/>
    </xf>
    <xf numFmtId="0" fontId="3" fillId="3" borderId="80" xfId="0" applyFont="1" applyFill="1" applyBorder="1"/>
    <xf numFmtId="0" fontId="24" fillId="3" borderId="6" xfId="0" applyFont="1" applyFill="1" applyBorder="1" applyAlignment="1">
      <alignment horizontal="center"/>
    </xf>
    <xf numFmtId="0" fontId="3" fillId="3" borderId="82" xfId="0" applyFont="1" applyFill="1" applyBorder="1"/>
    <xf numFmtId="0" fontId="3" fillId="3" borderId="41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2" fontId="24" fillId="3" borderId="6" xfId="0" applyNumberFormat="1" applyFont="1" applyFill="1" applyBorder="1" applyAlignment="1">
      <alignment horizontal="center"/>
    </xf>
    <xf numFmtId="0" fontId="12" fillId="3" borderId="5" xfId="0" applyFont="1" applyFill="1" applyBorder="1" applyAlignment="1">
      <alignment textRotation="90"/>
    </xf>
    <xf numFmtId="0" fontId="12" fillId="3" borderId="1" xfId="0" applyFont="1" applyFill="1" applyBorder="1" applyAlignment="1">
      <alignment horizontal="center" textRotation="90" wrapText="1"/>
    </xf>
    <xf numFmtId="0" fontId="12" fillId="3" borderId="3" xfId="0" applyFont="1" applyFill="1" applyBorder="1" applyAlignment="1">
      <alignment textRotation="90"/>
    </xf>
    <xf numFmtId="0" fontId="3" fillId="3" borderId="1" xfId="0" applyFont="1" applyFill="1" applyBorder="1" applyAlignment="1">
      <alignment horizontal="center" textRotation="90" wrapText="1"/>
    </xf>
    <xf numFmtId="0" fontId="12" fillId="3" borderId="14" xfId="0" applyFont="1" applyFill="1" applyBorder="1" applyAlignment="1">
      <alignment textRotation="90"/>
    </xf>
    <xf numFmtId="0" fontId="3" fillId="3" borderId="14" xfId="0" applyFont="1" applyFill="1" applyBorder="1" applyAlignment="1">
      <alignment horizontal="center" textRotation="90" wrapText="1"/>
    </xf>
    <xf numFmtId="0" fontId="6" fillId="3" borderId="1" xfId="0" applyFont="1" applyFill="1" applyBorder="1" applyAlignment="1">
      <alignment horizontal="center" textRotation="90" wrapText="1"/>
    </xf>
    <xf numFmtId="0" fontId="3" fillId="3" borderId="63" xfId="0" applyFont="1" applyFill="1" applyBorder="1" applyAlignment="1">
      <alignment horizontal="center"/>
    </xf>
    <xf numFmtId="2" fontId="24" fillId="3" borderId="8" xfId="0" applyNumberFormat="1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 textRotation="90" wrapText="1"/>
    </xf>
    <xf numFmtId="0" fontId="12" fillId="3" borderId="14" xfId="0" applyFont="1" applyFill="1" applyBorder="1" applyAlignment="1">
      <alignment horizontal="center" textRotation="90"/>
    </xf>
    <xf numFmtId="0" fontId="6" fillId="3" borderId="3" xfId="0" applyFont="1" applyFill="1" applyBorder="1" applyAlignment="1">
      <alignment horizontal="center" textRotation="90" wrapText="1"/>
    </xf>
    <xf numFmtId="164" fontId="3" fillId="3" borderId="41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2" fillId="3" borderId="6" xfId="0" applyFont="1" applyFill="1" applyBorder="1"/>
    <xf numFmtId="0" fontId="3" fillId="3" borderId="31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 textRotation="90"/>
    </xf>
    <xf numFmtId="0" fontId="3" fillId="3" borderId="8" xfId="0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0" fontId="3" fillId="3" borderId="83" xfId="0" applyFont="1" applyFill="1" applyBorder="1"/>
    <xf numFmtId="0" fontId="3" fillId="3" borderId="0" xfId="0" applyFont="1" applyFill="1" applyAlignment="1">
      <alignment horizontal="center"/>
    </xf>
    <xf numFmtId="0" fontId="3" fillId="3" borderId="25" xfId="0" applyFont="1" applyFill="1" applyBorder="1"/>
    <xf numFmtId="0" fontId="3" fillId="3" borderId="76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75" xfId="0" applyFont="1" applyFill="1" applyBorder="1"/>
    <xf numFmtId="0" fontId="3" fillId="3" borderId="78" xfId="0" applyFont="1" applyFill="1" applyBorder="1"/>
    <xf numFmtId="0" fontId="6" fillId="3" borderId="23" xfId="0" applyFont="1" applyFill="1" applyBorder="1" applyAlignment="1">
      <alignment horizontal="center" textRotation="90" wrapText="1"/>
    </xf>
    <xf numFmtId="0" fontId="24" fillId="3" borderId="23" xfId="0" applyFont="1" applyFill="1" applyBorder="1" applyAlignment="1">
      <alignment horizontal="center"/>
    </xf>
    <xf numFmtId="164" fontId="3" fillId="3" borderId="31" xfId="0" applyNumberFormat="1" applyFont="1" applyFill="1" applyBorder="1" applyAlignment="1">
      <alignment horizontal="center"/>
    </xf>
    <xf numFmtId="0" fontId="3" fillId="3" borderId="23" xfId="0" applyFont="1" applyFill="1" applyBorder="1"/>
    <xf numFmtId="0" fontId="3" fillId="3" borderId="79" xfId="0" applyFont="1" applyFill="1" applyBorder="1"/>
    <xf numFmtId="0" fontId="3" fillId="3" borderId="81" xfId="0" applyFont="1" applyFill="1" applyBorder="1"/>
    <xf numFmtId="0" fontId="12" fillId="3" borderId="57" xfId="0" applyFont="1" applyFill="1" applyBorder="1" applyAlignment="1">
      <alignment horizontal="center" textRotation="90" wrapText="1"/>
    </xf>
    <xf numFmtId="0" fontId="6" fillId="3" borderId="9" xfId="0" applyFont="1" applyFill="1" applyBorder="1" applyAlignment="1">
      <alignment horizontal="center" textRotation="90" wrapText="1"/>
    </xf>
    <xf numFmtId="164" fontId="3" fillId="3" borderId="92" xfId="0" applyNumberFormat="1" applyFont="1" applyFill="1" applyBorder="1" applyAlignment="1">
      <alignment horizontal="center"/>
    </xf>
    <xf numFmtId="0" fontId="3" fillId="3" borderId="9" xfId="0" applyFont="1" applyFill="1" applyBorder="1"/>
    <xf numFmtId="0" fontId="3" fillId="3" borderId="2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left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78" xfId="0" applyFont="1" applyFill="1" applyBorder="1" applyAlignment="1">
      <alignment horizontal="left" vertical="center"/>
    </xf>
    <xf numFmtId="164" fontId="3" fillId="3" borderId="37" xfId="0" applyNumberFormat="1" applyFont="1" applyFill="1" applyBorder="1" applyAlignment="1">
      <alignment horizontal="center"/>
    </xf>
    <xf numFmtId="0" fontId="3" fillId="3" borderId="93" xfId="0" applyFont="1" applyFill="1" applyBorder="1"/>
    <xf numFmtId="164" fontId="3" fillId="3" borderId="94" xfId="0" applyNumberFormat="1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 textRotation="90" wrapText="1"/>
    </xf>
    <xf numFmtId="0" fontId="6" fillId="3" borderId="13" xfId="0" applyFont="1" applyFill="1" applyBorder="1" applyAlignment="1">
      <alignment horizontal="center" textRotation="90" wrapText="1"/>
    </xf>
    <xf numFmtId="0" fontId="3" fillId="3" borderId="84" xfId="0" applyFont="1" applyFill="1" applyBorder="1" applyAlignment="1">
      <alignment horizontal="center"/>
    </xf>
    <xf numFmtId="0" fontId="3" fillId="3" borderId="85" xfId="0" applyFont="1" applyFill="1" applyBorder="1"/>
    <xf numFmtId="0" fontId="3" fillId="3" borderId="85" xfId="0" applyFont="1" applyFill="1" applyBorder="1" applyAlignment="1">
      <alignment horizontal="center"/>
    </xf>
    <xf numFmtId="164" fontId="3" fillId="3" borderId="95" xfId="0" applyNumberFormat="1" applyFont="1" applyFill="1" applyBorder="1" applyAlignment="1">
      <alignment horizontal="center"/>
    </xf>
    <xf numFmtId="164" fontId="3" fillId="3" borderId="85" xfId="0" applyNumberFormat="1" applyFont="1" applyFill="1" applyBorder="1" applyAlignment="1">
      <alignment horizontal="center"/>
    </xf>
    <xf numFmtId="2" fontId="24" fillId="3" borderId="85" xfId="0" applyNumberFormat="1" applyFont="1" applyFill="1" applyBorder="1" applyAlignment="1">
      <alignment horizontal="center"/>
    </xf>
    <xf numFmtId="0" fontId="24" fillId="3" borderId="85" xfId="0" applyFont="1" applyFill="1" applyBorder="1" applyAlignment="1">
      <alignment horizontal="center"/>
    </xf>
    <xf numFmtId="0" fontId="3" fillId="3" borderId="98" xfId="0" applyFont="1" applyFill="1" applyBorder="1"/>
    <xf numFmtId="0" fontId="24" fillId="3" borderId="100" xfId="0" applyFont="1" applyFill="1" applyBorder="1" applyAlignment="1">
      <alignment horizontal="center"/>
    </xf>
    <xf numFmtId="0" fontId="3" fillId="3" borderId="101" xfId="0" applyFont="1" applyFill="1" applyBorder="1"/>
    <xf numFmtId="0" fontId="3" fillId="3" borderId="69" xfId="0" applyFont="1" applyFill="1" applyBorder="1" applyAlignment="1">
      <alignment horizontal="center"/>
    </xf>
    <xf numFmtId="0" fontId="3" fillId="3" borderId="72" xfId="0" applyFont="1" applyFill="1" applyBorder="1"/>
    <xf numFmtId="0" fontId="3" fillId="3" borderId="72" xfId="0" applyFont="1" applyFill="1" applyBorder="1" applyAlignment="1">
      <alignment horizontal="center"/>
    </xf>
    <xf numFmtId="164" fontId="3" fillId="3" borderId="71" xfId="0" applyNumberFormat="1" applyFont="1" applyFill="1" applyBorder="1" applyAlignment="1">
      <alignment horizontal="center"/>
    </xf>
    <xf numFmtId="164" fontId="3" fillId="3" borderId="72" xfId="0" applyNumberFormat="1" applyFont="1" applyFill="1" applyBorder="1" applyAlignment="1">
      <alignment horizontal="center"/>
    </xf>
    <xf numFmtId="2" fontId="24" fillId="3" borderId="72" xfId="0" applyNumberFormat="1" applyFont="1" applyFill="1" applyBorder="1" applyAlignment="1">
      <alignment horizontal="center"/>
    </xf>
    <xf numFmtId="0" fontId="24" fillId="3" borderId="70" xfId="0" applyFont="1" applyFill="1" applyBorder="1" applyAlignment="1">
      <alignment horizontal="center"/>
    </xf>
    <xf numFmtId="0" fontId="3" fillId="3" borderId="102" xfId="0" applyFont="1" applyFill="1" applyBorder="1"/>
    <xf numFmtId="0" fontId="3" fillId="3" borderId="88" xfId="0" applyFont="1" applyFill="1" applyBorder="1" applyAlignment="1">
      <alignment horizontal="center"/>
    </xf>
    <xf numFmtId="0" fontId="3" fillId="3" borderId="89" xfId="0" applyFont="1" applyFill="1" applyBorder="1"/>
    <xf numFmtId="0" fontId="3" fillId="3" borderId="89" xfId="0" applyFont="1" applyFill="1" applyBorder="1" applyAlignment="1">
      <alignment horizontal="center"/>
    </xf>
    <xf numFmtId="164" fontId="3" fillId="3" borderId="97" xfId="0" applyNumberFormat="1" applyFont="1" applyFill="1" applyBorder="1" applyAlignment="1">
      <alignment horizontal="center"/>
    </xf>
    <xf numFmtId="164" fontId="3" fillId="3" borderId="89" xfId="0" applyNumberFormat="1" applyFont="1" applyFill="1" applyBorder="1" applyAlignment="1">
      <alignment horizontal="center"/>
    </xf>
    <xf numFmtId="2" fontId="24" fillId="3" borderId="89" xfId="0" applyNumberFormat="1" applyFont="1" applyFill="1" applyBorder="1" applyAlignment="1">
      <alignment horizontal="center"/>
    </xf>
    <xf numFmtId="0" fontId="24" fillId="3" borderId="89" xfId="0" applyFont="1" applyFill="1" applyBorder="1" applyAlignment="1">
      <alignment horizontal="center"/>
    </xf>
    <xf numFmtId="0" fontId="3" fillId="3" borderId="103" xfId="0" applyFont="1" applyFill="1" applyBorder="1"/>
    <xf numFmtId="0" fontId="9" fillId="3" borderId="0" xfId="0" applyFont="1" applyFill="1"/>
    <xf numFmtId="0" fontId="3" fillId="3" borderId="74" xfId="0" applyFont="1" applyFill="1" applyBorder="1" applyAlignment="1">
      <alignment horizontal="center" textRotation="90" wrapText="1"/>
    </xf>
    <xf numFmtId="0" fontId="3" fillId="3" borderId="53" xfId="0" applyFont="1" applyFill="1" applyBorder="1" applyAlignment="1">
      <alignment horizontal="center"/>
    </xf>
    <xf numFmtId="164" fontId="3" fillId="3" borderId="29" xfId="0" applyNumberFormat="1" applyFont="1" applyFill="1" applyBorder="1" applyAlignment="1">
      <alignment horizontal="center"/>
    </xf>
    <xf numFmtId="0" fontId="3" fillId="3" borderId="104" xfId="0" applyFont="1" applyFill="1" applyBorder="1"/>
    <xf numFmtId="0" fontId="39" fillId="3" borderId="0" xfId="0" applyFont="1" applyFill="1"/>
    <xf numFmtId="2" fontId="22" fillId="3" borderId="0" xfId="0" applyNumberFormat="1" applyFont="1" applyFill="1" applyAlignment="1">
      <alignment horizontal="left"/>
    </xf>
    <xf numFmtId="0" fontId="24" fillId="3" borderId="9" xfId="0" applyFont="1" applyFill="1" applyBorder="1" applyAlignment="1">
      <alignment horizontal="center"/>
    </xf>
    <xf numFmtId="0" fontId="14" fillId="3" borderId="12" xfId="0" applyFont="1" applyFill="1" applyBorder="1" applyAlignment="1">
      <alignment horizontal="center"/>
    </xf>
    <xf numFmtId="0" fontId="14" fillId="3" borderId="19" xfId="0" applyFont="1" applyFill="1" applyBorder="1" applyAlignment="1">
      <alignment horizontal="center"/>
    </xf>
    <xf numFmtId="0" fontId="14" fillId="3" borderId="20" xfId="0" applyFont="1" applyFill="1" applyBorder="1" applyAlignment="1">
      <alignment horizontal="center"/>
    </xf>
    <xf numFmtId="0" fontId="14" fillId="3" borderId="4" xfId="0" applyFont="1" applyFill="1" applyBorder="1"/>
    <xf numFmtId="0" fontId="14" fillId="3" borderId="4" xfId="0" applyFont="1" applyFill="1" applyBorder="1" applyAlignment="1">
      <alignment horizontal="center"/>
    </xf>
    <xf numFmtId="2" fontId="14" fillId="3" borderId="4" xfId="0" applyNumberFormat="1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4" fillId="3" borderId="11" xfId="0" applyFont="1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4" fillId="3" borderId="0" xfId="0" applyFont="1" applyFill="1"/>
    <xf numFmtId="0" fontId="6" fillId="3" borderId="5" xfId="0" applyFont="1" applyFill="1" applyBorder="1" applyAlignment="1">
      <alignment horizontal="center" textRotation="90" wrapText="1"/>
    </xf>
    <xf numFmtId="0" fontId="3" fillId="3" borderId="29" xfId="0" applyFont="1" applyFill="1" applyBorder="1" applyAlignment="1">
      <alignment horizontal="left"/>
    </xf>
    <xf numFmtId="164" fontId="3" fillId="3" borderId="23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left"/>
    </xf>
    <xf numFmtId="164" fontId="24" fillId="3" borderId="6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31" xfId="0" applyFont="1" applyFill="1" applyBorder="1" applyAlignment="1">
      <alignment horizontal="left"/>
    </xf>
    <xf numFmtId="0" fontId="3" fillId="3" borderId="105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center"/>
    </xf>
    <xf numFmtId="0" fontId="3" fillId="3" borderId="125" xfId="0" applyFont="1" applyFill="1" applyBorder="1" applyAlignment="1">
      <alignment horizontal="center"/>
    </xf>
    <xf numFmtId="0" fontId="3" fillId="3" borderId="20" xfId="0" applyFont="1" applyFill="1" applyBorder="1" applyAlignment="1">
      <alignment horizontal="left"/>
    </xf>
    <xf numFmtId="164" fontId="3" fillId="3" borderId="4" xfId="0" applyNumberFormat="1" applyFont="1" applyFill="1" applyBorder="1" applyAlignment="1">
      <alignment horizontal="center"/>
    </xf>
    <xf numFmtId="2" fontId="24" fillId="3" borderId="4" xfId="0" applyNumberFormat="1" applyFont="1" applyFill="1" applyBorder="1" applyAlignment="1">
      <alignment horizontal="center"/>
    </xf>
    <xf numFmtId="164" fontId="24" fillId="3" borderId="4" xfId="0" applyNumberFormat="1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/>
    </xf>
    <xf numFmtId="0" fontId="3" fillId="3" borderId="11" xfId="0" applyFont="1" applyFill="1" applyBorder="1"/>
    <xf numFmtId="0" fontId="3" fillId="3" borderId="90" xfId="0" applyFont="1" applyFill="1" applyBorder="1" applyAlignment="1">
      <alignment horizontal="left"/>
    </xf>
    <xf numFmtId="0" fontId="3" fillId="3" borderId="81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 vertical="center"/>
    </xf>
    <xf numFmtId="0" fontId="3" fillId="3" borderId="32" xfId="0" applyFont="1" applyFill="1" applyBorder="1" applyAlignment="1">
      <alignment horizontal="left" vertical="center"/>
    </xf>
    <xf numFmtId="0" fontId="3" fillId="3" borderId="126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8" fillId="3" borderId="4" xfId="0" applyFont="1" applyFill="1" applyBorder="1" applyAlignment="1"/>
    <xf numFmtId="0" fontId="8" fillId="3" borderId="18" xfId="0" applyFont="1" applyFill="1" applyBorder="1" applyAlignment="1"/>
    <xf numFmtId="0" fontId="8" fillId="3" borderId="21" xfId="0" applyFont="1" applyFill="1" applyBorder="1" applyAlignment="1"/>
    <xf numFmtId="0" fontId="3" fillId="3" borderId="90" xfId="0" applyFont="1" applyFill="1" applyBorder="1" applyAlignment="1">
      <alignment horizontal="center"/>
    </xf>
    <xf numFmtId="0" fontId="3" fillId="3" borderId="81" xfId="0" applyFont="1" applyFill="1" applyBorder="1" applyAlignment="1">
      <alignment horizontal="center" vertical="center"/>
    </xf>
    <xf numFmtId="0" fontId="24" fillId="3" borderId="3" xfId="0" applyFont="1" applyFill="1" applyBorder="1" applyAlignment="1">
      <alignment horizontal="center"/>
    </xf>
    <xf numFmtId="2" fontId="24" fillId="3" borderId="57" xfId="0" applyNumberFormat="1" applyFont="1" applyFill="1" applyBorder="1" applyAlignment="1">
      <alignment horizontal="center"/>
    </xf>
    <xf numFmtId="0" fontId="24" fillId="3" borderId="59" xfId="0" applyFont="1" applyFill="1" applyBorder="1" applyAlignment="1">
      <alignment horizontal="center"/>
    </xf>
    <xf numFmtId="0" fontId="4" fillId="3" borderId="9" xfId="0" applyFont="1" applyFill="1" applyBorder="1"/>
    <xf numFmtId="2" fontId="24" fillId="3" borderId="75" xfId="0" applyNumberFormat="1" applyFont="1" applyFill="1" applyBorder="1" applyAlignment="1">
      <alignment horizontal="center"/>
    </xf>
    <xf numFmtId="0" fontId="24" fillId="3" borderId="93" xfId="0" applyFont="1" applyFill="1" applyBorder="1" applyAlignment="1">
      <alignment horizontal="center"/>
    </xf>
    <xf numFmtId="0" fontId="3" fillId="3" borderId="90" xfId="0" applyFont="1" applyFill="1" applyBorder="1"/>
    <xf numFmtId="0" fontId="3" fillId="3" borderId="13" xfId="0" applyFont="1" applyFill="1" applyBorder="1" applyAlignment="1">
      <alignment horizontal="center" textRotation="90" wrapText="1"/>
    </xf>
    <xf numFmtId="0" fontId="3" fillId="3" borderId="5" xfId="0" applyFont="1" applyFill="1" applyBorder="1" applyAlignment="1">
      <alignment horizontal="center" textRotation="90" wrapText="1"/>
    </xf>
    <xf numFmtId="0" fontId="3" fillId="3" borderId="5" xfId="0" applyFont="1" applyFill="1" applyBorder="1" applyAlignment="1">
      <alignment textRotation="90"/>
    </xf>
    <xf numFmtId="0" fontId="3" fillId="3" borderId="91" xfId="0" applyFont="1" applyFill="1" applyBorder="1"/>
    <xf numFmtId="0" fontId="3" fillId="3" borderId="57" xfId="0" applyFont="1" applyFill="1" applyBorder="1"/>
    <xf numFmtId="0" fontId="3" fillId="3" borderId="1" xfId="0" applyFont="1" applyFill="1" applyBorder="1"/>
    <xf numFmtId="0" fontId="3" fillId="3" borderId="106" xfId="0" applyFont="1" applyFill="1" applyBorder="1"/>
    <xf numFmtId="0" fontId="3" fillId="3" borderId="107" xfId="0" applyFont="1" applyFill="1" applyBorder="1" applyAlignment="1">
      <alignment horizontal="center"/>
    </xf>
    <xf numFmtId="2" fontId="24" fillId="3" borderId="23" xfId="0" applyNumberFormat="1" applyFont="1" applyFill="1" applyBorder="1" applyAlignment="1">
      <alignment horizontal="center"/>
    </xf>
    <xf numFmtId="0" fontId="3" fillId="3" borderId="32" xfId="0" applyFont="1" applyFill="1" applyBorder="1" applyAlignment="1">
      <alignment horizontal="left"/>
    </xf>
    <xf numFmtId="0" fontId="3" fillId="3" borderId="23" xfId="0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left" vertical="center"/>
    </xf>
    <xf numFmtId="0" fontId="3" fillId="3" borderId="31" xfId="0" applyFont="1" applyFill="1" applyBorder="1"/>
    <xf numFmtId="0" fontId="12" fillId="3" borderId="63" xfId="0" applyFont="1" applyFill="1" applyBorder="1" applyAlignment="1">
      <alignment horizontal="center"/>
    </xf>
    <xf numFmtId="164" fontId="12" fillId="3" borderId="8" xfId="0" applyNumberFormat="1" applyFont="1" applyFill="1" applyBorder="1" applyAlignment="1">
      <alignment horizontal="center"/>
    </xf>
    <xf numFmtId="164" fontId="12" fillId="3" borderId="79" xfId="0" applyNumberFormat="1" applyFont="1" applyFill="1" applyBorder="1" applyAlignment="1">
      <alignment horizontal="center"/>
    </xf>
    <xf numFmtId="0" fontId="3" fillId="3" borderId="30" xfId="0" applyFont="1" applyFill="1" applyBorder="1" applyAlignment="1">
      <alignment horizontal="left"/>
    </xf>
    <xf numFmtId="0" fontId="12" fillId="3" borderId="53" xfId="0" applyFont="1" applyFill="1" applyBorder="1" applyAlignment="1">
      <alignment horizontal="center"/>
    </xf>
    <xf numFmtId="164" fontId="12" fillId="3" borderId="9" xfId="0" applyNumberFormat="1" applyFont="1" applyFill="1" applyBorder="1" applyAlignment="1">
      <alignment horizontal="center"/>
    </xf>
    <xf numFmtId="164" fontId="12" fillId="3" borderId="6" xfId="0" applyNumberFormat="1" applyFont="1" applyFill="1" applyBorder="1" applyAlignment="1">
      <alignment horizontal="center"/>
    </xf>
    <xf numFmtId="164" fontId="12" fillId="3" borderId="31" xfId="0" applyNumberFormat="1" applyFont="1" applyFill="1" applyBorder="1" applyAlignment="1">
      <alignment horizontal="center"/>
    </xf>
    <xf numFmtId="164" fontId="12" fillId="3" borderId="0" xfId="0" applyNumberFormat="1" applyFont="1" applyFill="1" applyAlignment="1">
      <alignment horizontal="center"/>
    </xf>
    <xf numFmtId="0" fontId="3" fillId="3" borderId="25" xfId="0" applyFont="1" applyFill="1" applyBorder="1" applyAlignment="1">
      <alignment horizontal="left"/>
    </xf>
    <xf numFmtId="164" fontId="12" fillId="3" borderId="76" xfId="0" applyNumberFormat="1" applyFont="1" applyFill="1" applyBorder="1" applyAlignment="1">
      <alignment horizontal="center"/>
    </xf>
    <xf numFmtId="164" fontId="12" fillId="3" borderId="23" xfId="0" applyNumberFormat="1" applyFont="1" applyFill="1" applyBorder="1" applyAlignment="1">
      <alignment horizontal="center"/>
    </xf>
    <xf numFmtId="0" fontId="3" fillId="3" borderId="77" xfId="0" applyFont="1" applyFill="1" applyBorder="1" applyAlignment="1">
      <alignment horizontal="left"/>
    </xf>
    <xf numFmtId="0" fontId="53" fillId="3" borderId="9" xfId="0" applyFont="1" applyFill="1" applyBorder="1"/>
    <xf numFmtId="0" fontId="53" fillId="3" borderId="6" xfId="0" applyFont="1" applyFill="1" applyBorder="1" applyAlignment="1">
      <alignment horizontal="center"/>
    </xf>
    <xf numFmtId="164" fontId="55" fillId="3" borderId="9" xfId="0" applyNumberFormat="1" applyFont="1" applyFill="1" applyBorder="1" applyAlignment="1">
      <alignment horizontal="center"/>
    </xf>
    <xf numFmtId="164" fontId="55" fillId="3" borderId="6" xfId="0" applyNumberFormat="1" applyFont="1" applyFill="1" applyBorder="1" applyAlignment="1">
      <alignment horizontal="center"/>
    </xf>
    <xf numFmtId="2" fontId="54" fillId="3" borderId="9" xfId="0" applyNumberFormat="1" applyFont="1" applyFill="1" applyBorder="1" applyAlignment="1">
      <alignment horizontal="center"/>
    </xf>
    <xf numFmtId="164" fontId="53" fillId="3" borderId="9" xfId="0" applyNumberFormat="1" applyFont="1" applyFill="1" applyBorder="1" applyAlignment="1">
      <alignment horizontal="center"/>
    </xf>
    <xf numFmtId="0" fontId="54" fillId="3" borderId="9" xfId="0" applyFont="1" applyFill="1" applyBorder="1" applyAlignment="1">
      <alignment horizontal="center"/>
    </xf>
    <xf numFmtId="0" fontId="53" fillId="3" borderId="32" xfId="0" applyFont="1" applyFill="1" applyBorder="1" applyAlignment="1">
      <alignment horizontal="left"/>
    </xf>
    <xf numFmtId="0" fontId="55" fillId="2" borderId="0" xfId="0" applyFont="1" applyFill="1" applyBorder="1" applyAlignment="1">
      <alignment horizontal="left"/>
    </xf>
    <xf numFmtId="2" fontId="56" fillId="2" borderId="0" xfId="0" applyNumberFormat="1" applyFont="1" applyFill="1" applyAlignment="1">
      <alignment horizontal="left"/>
    </xf>
    <xf numFmtId="0" fontId="57" fillId="0" borderId="0" xfId="0" applyFont="1" applyFill="1"/>
    <xf numFmtId="2" fontId="24" fillId="3" borderId="127" xfId="0" applyNumberFormat="1" applyFont="1" applyFill="1" applyBorder="1" applyAlignment="1">
      <alignment horizontal="center"/>
    </xf>
    <xf numFmtId="0" fontId="58" fillId="3" borderId="1" xfId="0" applyFont="1" applyFill="1" applyBorder="1" applyAlignment="1">
      <alignment horizontal="center" textRotation="90" wrapText="1"/>
    </xf>
    <xf numFmtId="0" fontId="58" fillId="3" borderId="2" xfId="0" applyFont="1" applyFill="1" applyBorder="1" applyAlignment="1">
      <alignment horizontal="center" textRotation="90" wrapText="1"/>
    </xf>
    <xf numFmtId="0" fontId="58" fillId="3" borderId="3" xfId="0" applyFont="1" applyFill="1" applyBorder="1" applyAlignment="1">
      <alignment horizontal="center" textRotation="90" wrapText="1"/>
    </xf>
    <xf numFmtId="0" fontId="58" fillId="3" borderId="3" xfId="0" applyFont="1" applyFill="1" applyBorder="1" applyAlignment="1">
      <alignment textRotation="90"/>
    </xf>
    <xf numFmtId="0" fontId="59" fillId="3" borderId="1" xfId="0" applyFont="1" applyFill="1" applyBorder="1" applyAlignment="1">
      <alignment horizontal="center" textRotation="90" wrapText="1"/>
    </xf>
    <xf numFmtId="164" fontId="3" fillId="4" borderId="9" xfId="0" applyNumberFormat="1" applyFont="1" applyFill="1" applyBorder="1" applyAlignment="1">
      <alignment horizontal="center"/>
    </xf>
    <xf numFmtId="164" fontId="3" fillId="4" borderId="6" xfId="0" applyNumberFormat="1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 textRotation="90" wrapText="1"/>
    </xf>
    <xf numFmtId="0" fontId="58" fillId="3" borderId="14" xfId="0" applyFont="1" applyFill="1" applyBorder="1" applyAlignment="1">
      <alignment horizontal="center" textRotation="90"/>
    </xf>
    <xf numFmtId="0" fontId="1" fillId="0" borderId="0" xfId="0" applyFont="1"/>
    <xf numFmtId="0" fontId="12" fillId="3" borderId="74" xfId="0" applyFont="1" applyFill="1" applyBorder="1" applyAlignment="1">
      <alignment horizontal="center" textRotation="90" wrapText="1"/>
    </xf>
    <xf numFmtId="0" fontId="12" fillId="3" borderId="14" xfId="0" applyFont="1" applyFill="1" applyBorder="1" applyAlignment="1">
      <alignment horizontal="center" textRotation="90" wrapText="1"/>
    </xf>
    <xf numFmtId="0" fontId="37" fillId="0" borderId="22" xfId="0" applyFont="1" applyFill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61" fillId="0" borderId="23" xfId="0" applyFont="1" applyFill="1" applyBorder="1" applyAlignment="1">
      <alignment horizontal="center" vertical="center"/>
    </xf>
    <xf numFmtId="0" fontId="61" fillId="0" borderId="24" xfId="0" applyFont="1" applyFill="1" applyBorder="1" applyAlignment="1">
      <alignment horizontal="center" vertical="center"/>
    </xf>
    <xf numFmtId="0" fontId="61" fillId="0" borderId="5" xfId="0" applyFont="1" applyBorder="1" applyAlignment="1">
      <alignment horizontal="center" vertical="center"/>
    </xf>
    <xf numFmtId="0" fontId="48" fillId="0" borderId="5" xfId="0" applyFont="1" applyFill="1" applyBorder="1" applyAlignment="1">
      <alignment horizontal="center" vertical="center"/>
    </xf>
    <xf numFmtId="0" fontId="61" fillId="0" borderId="5" xfId="0" applyFont="1" applyFill="1" applyBorder="1" applyAlignment="1">
      <alignment horizontal="center" vertical="center"/>
    </xf>
    <xf numFmtId="0" fontId="61" fillId="0" borderId="26" xfId="0" applyFont="1" applyFill="1" applyBorder="1" applyAlignment="1">
      <alignment horizontal="center" vertical="center"/>
    </xf>
    <xf numFmtId="0" fontId="48" fillId="0" borderId="27" xfId="0" applyFont="1" applyFill="1" applyBorder="1" applyAlignment="1">
      <alignment horizontal="center" vertical="center"/>
    </xf>
    <xf numFmtId="0" fontId="62" fillId="0" borderId="17" xfId="0" applyFont="1" applyFill="1" applyBorder="1" applyAlignment="1">
      <alignment horizontal="center"/>
    </xf>
    <xf numFmtId="0" fontId="62" fillId="0" borderId="6" xfId="0" applyFont="1" applyFill="1" applyBorder="1" applyAlignment="1">
      <alignment horizontal="center"/>
    </xf>
    <xf numFmtId="0" fontId="63" fillId="0" borderId="6" xfId="0" applyFont="1" applyFill="1" applyBorder="1" applyAlignment="1">
      <alignment horizontal="center"/>
    </xf>
    <xf numFmtId="0" fontId="62" fillId="0" borderId="9" xfId="0" applyFont="1" applyFill="1" applyBorder="1" applyAlignment="1">
      <alignment horizontal="center"/>
    </xf>
    <xf numFmtId="2" fontId="62" fillId="0" borderId="9" xfId="0" applyNumberFormat="1" applyFont="1" applyFill="1" applyBorder="1" applyAlignment="1">
      <alignment horizontal="center"/>
    </xf>
    <xf numFmtId="2" fontId="62" fillId="0" borderId="28" xfId="0" applyNumberFormat="1" applyFont="1" applyFill="1" applyBorder="1" applyAlignment="1">
      <alignment horizontal="center"/>
    </xf>
    <xf numFmtId="0" fontId="62" fillId="0" borderId="31" xfId="0" applyFont="1" applyFill="1" applyBorder="1" applyAlignment="1">
      <alignment horizontal="center"/>
    </xf>
    <xf numFmtId="2" fontId="62" fillId="0" borderId="23" xfId="0" applyNumberFormat="1" applyFont="1" applyFill="1" applyBorder="1" applyAlignment="1">
      <alignment horizontal="center"/>
    </xf>
    <xf numFmtId="0" fontId="62" fillId="0" borderId="37" xfId="0" applyFont="1" applyFill="1" applyBorder="1" applyAlignment="1"/>
    <xf numFmtId="0" fontId="62" fillId="0" borderId="32" xfId="0" applyFont="1" applyFill="1" applyBorder="1" applyAlignment="1">
      <alignment horizontal="center"/>
    </xf>
    <xf numFmtId="0" fontId="64" fillId="0" borderId="17" xfId="0" applyFont="1" applyFill="1" applyBorder="1" applyAlignment="1">
      <alignment horizontal="center"/>
    </xf>
    <xf numFmtId="0" fontId="64" fillId="0" borderId="6" xfId="0" applyFont="1" applyFill="1" applyBorder="1" applyAlignment="1">
      <alignment horizontal="center"/>
    </xf>
    <xf numFmtId="0" fontId="65" fillId="0" borderId="59" xfId="0" applyFont="1" applyFill="1" applyBorder="1" applyAlignment="1">
      <alignment horizontal="center"/>
    </xf>
    <xf numFmtId="0" fontId="64" fillId="0" borderId="23" xfId="0" applyFont="1" applyFill="1" applyBorder="1" applyAlignment="1">
      <alignment horizontal="center"/>
    </xf>
    <xf numFmtId="0" fontId="64" fillId="0" borderId="59" xfId="0" applyFont="1" applyFill="1" applyBorder="1" applyAlignment="1">
      <alignment horizontal="center"/>
    </xf>
    <xf numFmtId="0" fontId="64" fillId="0" borderId="7" xfId="0" applyFont="1" applyFill="1" applyBorder="1" applyAlignment="1"/>
    <xf numFmtId="0" fontId="64" fillId="0" borderId="25" xfId="0" applyFont="1" applyFill="1" applyBorder="1" applyAlignment="1">
      <alignment horizontal="center"/>
    </xf>
    <xf numFmtId="0" fontId="63" fillId="0" borderId="60" xfId="0" applyFont="1" applyFill="1" applyBorder="1" applyAlignment="1">
      <alignment horizontal="center"/>
    </xf>
    <xf numFmtId="0" fontId="37" fillId="0" borderId="14" xfId="0" applyFont="1" applyFill="1" applyBorder="1" applyAlignment="1">
      <alignment horizontal="center"/>
    </xf>
    <xf numFmtId="2" fontId="37" fillId="0" borderId="14" xfId="0" applyNumberFormat="1" applyFont="1" applyFill="1" applyBorder="1" applyAlignment="1">
      <alignment horizontal="center"/>
    </xf>
    <xf numFmtId="2" fontId="37" fillId="0" borderId="33" xfId="0" applyNumberFormat="1" applyFont="1" applyFill="1" applyBorder="1" applyAlignment="1">
      <alignment horizontal="center"/>
    </xf>
    <xf numFmtId="0" fontId="37" fillId="0" borderId="45" xfId="0" applyFont="1" applyFill="1" applyBorder="1" applyAlignment="1">
      <alignment horizontal="center"/>
    </xf>
    <xf numFmtId="0" fontId="63" fillId="0" borderId="9" xfId="0" applyFont="1" applyFill="1" applyBorder="1" applyAlignment="1">
      <alignment horizontal="center"/>
    </xf>
    <xf numFmtId="0" fontId="62" fillId="0" borderId="29" xfId="0" applyFont="1" applyFill="1" applyBorder="1" applyAlignment="1">
      <alignment horizontal="center"/>
    </xf>
    <xf numFmtId="0" fontId="62" fillId="0" borderId="30" xfId="0" applyFont="1" applyFill="1" applyBorder="1" applyAlignment="1">
      <alignment horizontal="center"/>
    </xf>
    <xf numFmtId="2" fontId="62" fillId="0" borderId="5" xfId="0" applyNumberFormat="1" applyFont="1" applyFill="1" applyBorder="1" applyAlignment="1">
      <alignment horizontal="center"/>
    </xf>
    <xf numFmtId="0" fontId="62" fillId="0" borderId="7" xfId="0" applyFont="1" applyFill="1" applyBorder="1" applyAlignment="1">
      <alignment horizontal="center"/>
    </xf>
    <xf numFmtId="0" fontId="63" fillId="0" borderId="7" xfId="0" applyFont="1" applyFill="1" applyBorder="1" applyAlignment="1">
      <alignment horizontal="center"/>
    </xf>
    <xf numFmtId="2" fontId="62" fillId="0" borderId="7" xfId="0" applyNumberFormat="1" applyFont="1" applyFill="1" applyBorder="1" applyAlignment="1">
      <alignment horizontal="center"/>
    </xf>
    <xf numFmtId="2" fontId="62" fillId="0" borderId="34" xfId="0" applyNumberFormat="1" applyFont="1" applyFill="1" applyBorder="1" applyAlignment="1">
      <alignment horizontal="center"/>
    </xf>
    <xf numFmtId="0" fontId="62" fillId="0" borderId="35" xfId="0" applyFont="1" applyFill="1" applyBorder="1" applyAlignment="1">
      <alignment horizontal="center"/>
    </xf>
    <xf numFmtId="0" fontId="62" fillId="0" borderId="23" xfId="0" applyFont="1" applyFill="1" applyBorder="1" applyAlignment="1">
      <alignment horizontal="center"/>
    </xf>
    <xf numFmtId="0" fontId="62" fillId="0" borderId="36" xfId="0" applyFont="1" applyFill="1" applyBorder="1" applyAlignment="1">
      <alignment horizontal="center"/>
    </xf>
    <xf numFmtId="0" fontId="65" fillId="0" borderId="61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66" fillId="0" borderId="25" xfId="0" applyFont="1" applyFill="1" applyBorder="1" applyAlignment="1">
      <alignment horizontal="center" vertical="center"/>
    </xf>
    <xf numFmtId="2" fontId="67" fillId="0" borderId="9" xfId="0" applyNumberFormat="1" applyFont="1" applyFill="1" applyBorder="1" applyAlignment="1">
      <alignment horizontal="center"/>
    </xf>
    <xf numFmtId="2" fontId="67" fillId="0" borderId="7" xfId="0" applyNumberFormat="1" applyFont="1" applyFill="1" applyBorder="1" applyAlignment="1">
      <alignment horizontal="center"/>
    </xf>
    <xf numFmtId="0" fontId="3" fillId="3" borderId="128" xfId="0" applyFont="1" applyFill="1" applyBorder="1"/>
    <xf numFmtId="2" fontId="41" fillId="0" borderId="14" xfId="0" applyNumberFormat="1" applyFont="1" applyFill="1" applyBorder="1" applyAlignment="1">
      <alignment horizontal="center" vertical="center"/>
    </xf>
    <xf numFmtId="2" fontId="24" fillId="0" borderId="26" xfId="0" applyNumberFormat="1" applyFont="1" applyFill="1" applyBorder="1" applyAlignment="1">
      <alignment horizontal="center" vertical="center"/>
    </xf>
    <xf numFmtId="0" fontId="3" fillId="3" borderId="37" xfId="0" applyFont="1" applyFill="1" applyBorder="1"/>
    <xf numFmtId="0" fontId="3" fillId="3" borderId="37" xfId="0" applyFont="1" applyFill="1" applyBorder="1" applyAlignment="1">
      <alignment horizontal="center"/>
    </xf>
    <xf numFmtId="164" fontId="12" fillId="3" borderId="129" xfId="0" applyNumberFormat="1" applyFont="1" applyFill="1" applyBorder="1" applyAlignment="1">
      <alignment horizontal="center"/>
    </xf>
    <xf numFmtId="164" fontId="12" fillId="3" borderId="37" xfId="0" applyNumberFormat="1" applyFont="1" applyFill="1" applyBorder="1" applyAlignment="1">
      <alignment horizontal="center"/>
    </xf>
    <xf numFmtId="2" fontId="24" fillId="3" borderId="37" xfId="0" applyNumberFormat="1" applyFont="1" applyFill="1" applyBorder="1" applyAlignment="1">
      <alignment horizontal="center"/>
    </xf>
    <xf numFmtId="164" fontId="24" fillId="3" borderId="23" xfId="0" applyNumberFormat="1" applyFont="1" applyFill="1" applyBorder="1" applyAlignment="1">
      <alignment horizontal="center"/>
    </xf>
    <xf numFmtId="0" fontId="24" fillId="3" borderId="37" xfId="0" applyFont="1" applyFill="1" applyBorder="1" applyAlignment="1">
      <alignment horizontal="center"/>
    </xf>
    <xf numFmtId="0" fontId="12" fillId="3" borderId="63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textRotation="90" wrapText="1"/>
    </xf>
    <xf numFmtId="0" fontId="12" fillId="3" borderId="17" xfId="0" applyFont="1" applyFill="1" applyBorder="1" applyAlignment="1">
      <alignment horizontal="center"/>
    </xf>
    <xf numFmtId="0" fontId="13" fillId="3" borderId="4" xfId="0" applyFont="1" applyFill="1" applyBorder="1" applyAlignment="1"/>
    <xf numFmtId="0" fontId="13" fillId="3" borderId="18" xfId="0" applyFont="1" applyFill="1" applyBorder="1" applyAlignment="1"/>
    <xf numFmtId="0" fontId="13" fillId="3" borderId="11" xfId="0" applyFont="1" applyFill="1" applyBorder="1" applyAlignment="1"/>
    <xf numFmtId="0" fontId="9" fillId="3" borderId="0" xfId="0" applyFont="1" applyFill="1" applyAlignment="1"/>
    <xf numFmtId="0" fontId="3" fillId="3" borderId="8" xfId="0" applyFont="1" applyFill="1" applyBorder="1" applyAlignment="1">
      <alignment horizontal="center" textRotation="90" wrapText="1"/>
    </xf>
    <xf numFmtId="164" fontId="3" fillId="3" borderId="6" xfId="0" applyNumberFormat="1" applyFont="1" applyFill="1" applyBorder="1" applyAlignment="1">
      <alignment horizontal="left"/>
    </xf>
    <xf numFmtId="0" fontId="35" fillId="3" borderId="4" xfId="0" applyFont="1" applyFill="1" applyBorder="1" applyAlignment="1"/>
    <xf numFmtId="0" fontId="35" fillId="3" borderId="18" xfId="0" applyFont="1" applyFill="1" applyBorder="1" applyAlignment="1"/>
    <xf numFmtId="0" fontId="35" fillId="3" borderId="21" xfId="0" applyFont="1" applyFill="1" applyBorder="1" applyAlignment="1"/>
    <xf numFmtId="0" fontId="3" fillId="3" borderId="63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/>
    </xf>
    <xf numFmtId="0" fontId="16" fillId="3" borderId="19" xfId="0" applyFont="1" applyFill="1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15" fillId="3" borderId="4" xfId="0" applyFont="1" applyFill="1" applyBorder="1"/>
    <xf numFmtId="0" fontId="15" fillId="3" borderId="4" xfId="0" applyFont="1" applyFill="1" applyBorder="1" applyAlignment="1">
      <alignment horizontal="center"/>
    </xf>
    <xf numFmtId="0" fontId="17" fillId="3" borderId="4" xfId="0" applyFont="1" applyFill="1" applyBorder="1" applyAlignment="1"/>
    <xf numFmtId="0" fontId="17" fillId="3" borderId="11" xfId="0" applyFont="1" applyFill="1" applyBorder="1" applyAlignment="1"/>
    <xf numFmtId="0" fontId="3" fillId="3" borderId="0" xfId="0" applyFont="1" applyFill="1" applyBorder="1"/>
    <xf numFmtId="0" fontId="1" fillId="3" borderId="4" xfId="0" applyFont="1" applyFill="1" applyBorder="1"/>
    <xf numFmtId="0" fontId="1" fillId="3" borderId="4" xfId="0" applyFont="1" applyFill="1" applyBorder="1" applyAlignment="1">
      <alignment horizontal="center"/>
    </xf>
    <xf numFmtId="0" fontId="9" fillId="3" borderId="0" xfId="0" applyFont="1" applyFill="1" applyBorder="1"/>
    <xf numFmtId="0" fontId="12" fillId="3" borderId="16" xfId="0" applyFont="1" applyFill="1" applyBorder="1"/>
    <xf numFmtId="0" fontId="15" fillId="3" borderId="19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/>
    </xf>
    <xf numFmtId="0" fontId="1" fillId="3" borderId="10" xfId="0" applyFont="1" applyFill="1" applyBorder="1"/>
    <xf numFmtId="0" fontId="34" fillId="3" borderId="4" xfId="0" applyFont="1" applyFill="1" applyBorder="1" applyAlignment="1">
      <alignment horizontal="center"/>
    </xf>
    <xf numFmtId="0" fontId="35" fillId="3" borderId="11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2" fillId="3" borderId="4" xfId="0" applyFont="1" applyFill="1" applyBorder="1"/>
    <xf numFmtId="164" fontId="12" fillId="3" borderId="4" xfId="0" applyNumberFormat="1" applyFont="1" applyFill="1" applyBorder="1" applyAlignment="1">
      <alignment horizontal="center"/>
    </xf>
    <xf numFmtId="2" fontId="13" fillId="3" borderId="4" xfId="0" applyNumberFormat="1" applyFont="1" applyFill="1" applyBorder="1" applyAlignment="1">
      <alignment horizontal="center"/>
    </xf>
    <xf numFmtId="0" fontId="12" fillId="3" borderId="11" xfId="0" applyFont="1" applyFill="1" applyBorder="1"/>
    <xf numFmtId="0" fontId="12" fillId="3" borderId="2" xfId="0" applyFont="1" applyFill="1" applyBorder="1" applyAlignment="1">
      <alignment horizontal="center" textRotation="90" wrapText="1"/>
    </xf>
    <xf numFmtId="0" fontId="9" fillId="3" borderId="16" xfId="0" applyFont="1" applyFill="1" applyBorder="1"/>
    <xf numFmtId="1" fontId="14" fillId="3" borderId="4" xfId="0" applyNumberFormat="1" applyFont="1" applyFill="1" applyBorder="1" applyAlignment="1">
      <alignment horizontal="center"/>
    </xf>
    <xf numFmtId="0" fontId="68" fillId="3" borderId="3" xfId="0" applyFont="1" applyFill="1" applyBorder="1" applyAlignment="1">
      <alignment horizontal="center" textRotation="90" wrapText="1"/>
    </xf>
    <xf numFmtId="0" fontId="12" fillId="3" borderId="0" xfId="0" applyFont="1" applyFill="1" applyBorder="1"/>
    <xf numFmtId="0" fontId="14" fillId="3" borderId="19" xfId="0" applyFont="1" applyFill="1" applyBorder="1"/>
    <xf numFmtId="0" fontId="1" fillId="3" borderId="0" xfId="0" applyFont="1" applyFill="1" applyBorder="1"/>
    <xf numFmtId="0" fontId="12" fillId="3" borderId="69" xfId="0" applyFont="1" applyFill="1" applyBorder="1" applyAlignment="1">
      <alignment horizontal="center"/>
    </xf>
    <xf numFmtId="0" fontId="12" fillId="3" borderId="70" xfId="0" quotePrefix="1" applyFont="1" applyFill="1" applyBorder="1" applyAlignment="1">
      <alignment horizontal="center"/>
    </xf>
    <xf numFmtId="0" fontId="12" fillId="3" borderId="71" xfId="0" applyFont="1" applyFill="1" applyBorder="1" applyAlignment="1">
      <alignment horizontal="center"/>
    </xf>
    <xf numFmtId="0" fontId="12" fillId="3" borderId="72" xfId="0" applyFont="1" applyFill="1" applyBorder="1"/>
    <xf numFmtId="0" fontId="12" fillId="3" borderId="72" xfId="0" applyFont="1" applyFill="1" applyBorder="1" applyAlignment="1">
      <alignment horizontal="center"/>
    </xf>
    <xf numFmtId="164" fontId="12" fillId="3" borderId="71" xfId="0" applyNumberFormat="1" applyFont="1" applyFill="1" applyBorder="1" applyAlignment="1">
      <alignment horizontal="center"/>
    </xf>
    <xf numFmtId="164" fontId="12" fillId="3" borderId="72" xfId="0" applyNumberFormat="1" applyFont="1" applyFill="1" applyBorder="1" applyAlignment="1">
      <alignment horizontal="center"/>
    </xf>
    <xf numFmtId="2" fontId="13" fillId="3" borderId="72" xfId="0" applyNumberFormat="1" applyFont="1" applyFill="1" applyBorder="1" applyAlignment="1">
      <alignment horizontal="center"/>
    </xf>
    <xf numFmtId="164" fontId="13" fillId="3" borderId="72" xfId="0" applyNumberFormat="1" applyFont="1" applyFill="1" applyBorder="1" applyAlignment="1">
      <alignment horizontal="center"/>
    </xf>
    <xf numFmtId="0" fontId="13" fillId="3" borderId="72" xfId="0" applyFont="1" applyFill="1" applyBorder="1" applyAlignment="1">
      <alignment horizontal="center"/>
    </xf>
    <xf numFmtId="0" fontId="12" fillId="3" borderId="73" xfId="0" applyFont="1" applyFill="1" applyBorder="1"/>
    <xf numFmtId="0" fontId="14" fillId="3" borderId="54" xfId="0" applyFont="1" applyFill="1" applyBorder="1"/>
    <xf numFmtId="0" fontId="17" fillId="3" borderId="6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 textRotation="90" wrapText="1"/>
    </xf>
    <xf numFmtId="0" fontId="8" fillId="3" borderId="0" xfId="0" applyFont="1" applyFill="1" applyAlignment="1"/>
    <xf numFmtId="0" fontId="10" fillId="3" borderId="0" xfId="0" applyFont="1" applyFill="1" applyAlignment="1"/>
    <xf numFmtId="0" fontId="11" fillId="3" borderId="0" xfId="0" applyFont="1" applyFill="1" applyAlignment="1"/>
    <xf numFmtId="0" fontId="10" fillId="3" borderId="1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64" fontId="3" fillId="3" borderId="0" xfId="0" applyNumberFormat="1" applyFont="1" applyFill="1"/>
    <xf numFmtId="0" fontId="3" fillId="3" borderId="31" xfId="0" applyFont="1" applyFill="1" applyBorder="1" applyAlignment="1">
      <alignment horizontal="center" vertical="center"/>
    </xf>
    <xf numFmtId="0" fontId="3" fillId="3" borderId="77" xfId="0" applyFont="1" applyFill="1" applyBorder="1" applyAlignment="1">
      <alignment horizontal="left" vertical="center"/>
    </xf>
    <xf numFmtId="0" fontId="12" fillId="3" borderId="19" xfId="0" quotePrefix="1" applyFont="1" applyFill="1" applyBorder="1" applyAlignment="1">
      <alignment horizontal="center"/>
    </xf>
    <xf numFmtId="0" fontId="12" fillId="3" borderId="64" xfId="0" applyFont="1" applyFill="1" applyBorder="1" applyAlignment="1">
      <alignment horizontal="center"/>
    </xf>
    <xf numFmtId="0" fontId="12" fillId="3" borderId="62" xfId="0" applyFont="1" applyFill="1" applyBorder="1"/>
    <xf numFmtId="0" fontId="12" fillId="3" borderId="62" xfId="0" applyFont="1" applyFill="1" applyBorder="1" applyAlignment="1">
      <alignment horizontal="center"/>
    </xf>
    <xf numFmtId="164" fontId="12" fillId="3" borderId="20" xfId="0" applyNumberFormat="1" applyFont="1" applyFill="1" applyBorder="1" applyAlignment="1">
      <alignment horizontal="center"/>
    </xf>
    <xf numFmtId="164" fontId="13" fillId="3" borderId="4" xfId="0" applyNumberFormat="1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2" fillId="3" borderId="65" xfId="0" applyFont="1" applyFill="1" applyBorder="1"/>
    <xf numFmtId="0" fontId="12" fillId="3" borderId="20" xfId="0" applyFont="1" applyFill="1" applyBorder="1" applyAlignment="1">
      <alignment horizontal="center"/>
    </xf>
    <xf numFmtId="1" fontId="12" fillId="3" borderId="4" xfId="0" applyNumberFormat="1" applyFont="1" applyFill="1" applyBorder="1" applyAlignment="1">
      <alignment horizontal="center"/>
    </xf>
    <xf numFmtId="164" fontId="13" fillId="3" borderId="18" xfId="0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19" fillId="3" borderId="0" xfId="0" applyFont="1" applyFill="1" applyAlignment="1">
      <alignment horizontal="center"/>
    </xf>
    <xf numFmtId="0" fontId="10" fillId="3" borderId="0" xfId="0" applyFont="1" applyFill="1"/>
    <xf numFmtId="0" fontId="12" fillId="3" borderId="19" xfId="0" applyFont="1" applyFill="1" applyBorder="1"/>
    <xf numFmtId="0" fontId="12" fillId="3" borderId="11" xfId="0" applyFont="1" applyFill="1" applyBorder="1" applyAlignment="1">
      <alignment horizontal="center"/>
    </xf>
    <xf numFmtId="0" fontId="1" fillId="3" borderId="16" xfId="0" applyFont="1" applyFill="1" applyBorder="1"/>
    <xf numFmtId="2" fontId="1" fillId="3" borderId="4" xfId="0" applyNumberFormat="1" applyFont="1" applyFill="1" applyBorder="1" applyAlignment="1">
      <alignment horizontal="center"/>
    </xf>
    <xf numFmtId="0" fontId="18" fillId="3" borderId="4" xfId="0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0" fontId="20" fillId="3" borderId="0" xfId="0" applyFont="1" applyFill="1"/>
    <xf numFmtId="0" fontId="12" fillId="0" borderId="2" xfId="0" applyFont="1" applyFill="1" applyBorder="1" applyAlignment="1">
      <alignment horizontal="center" textRotation="90" wrapText="1"/>
    </xf>
    <xf numFmtId="0" fontId="12" fillId="0" borderId="1" xfId="0" applyFont="1" applyFill="1" applyBorder="1" applyAlignment="1">
      <alignment horizontal="center" textRotation="90"/>
    </xf>
    <xf numFmtId="164" fontId="53" fillId="4" borderId="6" xfId="0" applyNumberFormat="1" applyFont="1" applyFill="1" applyBorder="1" applyAlignment="1">
      <alignment horizontal="center"/>
    </xf>
    <xf numFmtId="0" fontId="53" fillId="3" borderId="6" xfId="0" applyFont="1" applyFill="1" applyBorder="1"/>
    <xf numFmtId="0" fontId="53" fillId="3" borderId="81" xfId="0" applyFont="1" applyFill="1" applyBorder="1" applyAlignment="1">
      <alignment horizontal="center"/>
    </xf>
    <xf numFmtId="0" fontId="53" fillId="3" borderId="82" xfId="0" applyFont="1" applyFill="1" applyBorder="1"/>
    <xf numFmtId="2" fontId="56" fillId="3" borderId="0" xfId="0" applyNumberFormat="1" applyFont="1" applyFill="1" applyAlignment="1">
      <alignment horizontal="left"/>
    </xf>
    <xf numFmtId="164" fontId="55" fillId="3" borderId="37" xfId="0" applyNumberFormat="1" applyFont="1" applyFill="1" applyBorder="1" applyAlignment="1">
      <alignment horizontal="center"/>
    </xf>
    <xf numFmtId="0" fontId="3" fillId="0" borderId="74" xfId="0" applyFont="1" applyFill="1" applyBorder="1" applyAlignment="1">
      <alignment horizontal="center" textRotation="90" wrapText="1"/>
    </xf>
    <xf numFmtId="164" fontId="3" fillId="4" borderId="8" xfId="0" applyNumberFormat="1" applyFont="1" applyFill="1" applyBorder="1" applyAlignment="1">
      <alignment horizontal="center"/>
    </xf>
    <xf numFmtId="0" fontId="3" fillId="3" borderId="1" xfId="0" quotePrefix="1" applyFont="1" applyFill="1" applyBorder="1" applyAlignment="1">
      <alignment horizontal="center" vertical="center" wrapText="1"/>
    </xf>
    <xf numFmtId="0" fontId="3" fillId="3" borderId="75" xfId="0" quotePrefix="1" applyFont="1" applyFill="1" applyBorder="1" applyAlignment="1">
      <alignment horizontal="center" vertical="center" wrapText="1"/>
    </xf>
    <xf numFmtId="0" fontId="3" fillId="3" borderId="81" xfId="0" quotePrefix="1" applyFont="1" applyFill="1" applyBorder="1" applyAlignment="1">
      <alignment horizontal="center"/>
    </xf>
    <xf numFmtId="0" fontId="15" fillId="0" borderId="3" xfId="0" applyFont="1" applyFill="1" applyBorder="1" applyAlignment="1">
      <alignment textRotation="90"/>
    </xf>
    <xf numFmtId="0" fontId="4" fillId="3" borderId="6" xfId="0" applyFont="1" applyFill="1" applyBorder="1"/>
    <xf numFmtId="164" fontId="3" fillId="5" borderId="6" xfId="0" applyNumberFormat="1" applyFont="1" applyFill="1" applyBorder="1" applyAlignment="1">
      <alignment horizontal="center"/>
    </xf>
    <xf numFmtId="164" fontId="3" fillId="6" borderId="6" xfId="0" applyNumberFormat="1" applyFont="1" applyFill="1" applyBorder="1" applyAlignment="1">
      <alignment horizontal="center"/>
    </xf>
    <xf numFmtId="164" fontId="3" fillId="4" borderId="37" xfId="0" applyNumberFormat="1" applyFont="1" applyFill="1" applyBorder="1" applyAlignment="1">
      <alignment horizontal="center"/>
    </xf>
    <xf numFmtId="164" fontId="3" fillId="7" borderId="6" xfId="0" applyNumberFormat="1" applyFont="1" applyFill="1" applyBorder="1" applyAlignment="1">
      <alignment horizontal="center"/>
    </xf>
    <xf numFmtId="164" fontId="3" fillId="7" borderId="9" xfId="0" applyNumberFormat="1" applyFont="1" applyFill="1" applyBorder="1" applyAlignment="1">
      <alignment horizontal="center"/>
    </xf>
    <xf numFmtId="164" fontId="3" fillId="8" borderId="6" xfId="0" applyNumberFormat="1" applyFont="1" applyFill="1" applyBorder="1" applyAlignment="1">
      <alignment horizontal="center"/>
    </xf>
    <xf numFmtId="2" fontId="22" fillId="4" borderId="0" xfId="0" applyNumberFormat="1" applyFont="1" applyFill="1" applyAlignment="1">
      <alignment horizontal="left"/>
    </xf>
    <xf numFmtId="0" fontId="3" fillId="2" borderId="3" xfId="0" applyFont="1" applyFill="1" applyBorder="1" applyAlignment="1">
      <alignment textRotation="90"/>
    </xf>
    <xf numFmtId="0" fontId="3" fillId="2" borderId="3" xfId="0" applyFont="1" applyFill="1" applyBorder="1" applyAlignment="1">
      <alignment horizontal="center" textRotation="90" wrapText="1"/>
    </xf>
    <xf numFmtId="0" fontId="6" fillId="0" borderId="2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59" fillId="3" borderId="17" xfId="0" applyFont="1" applyFill="1" applyBorder="1" applyAlignment="1">
      <alignment horizontal="center"/>
    </xf>
    <xf numFmtId="0" fontId="59" fillId="3" borderId="29" xfId="0" applyFont="1" applyFill="1" applyBorder="1" applyAlignment="1">
      <alignment horizontal="center" vertical="center" wrapText="1"/>
    </xf>
    <xf numFmtId="0" fontId="59" fillId="3" borderId="6" xfId="0" applyFont="1" applyFill="1" applyBorder="1"/>
    <xf numFmtId="0" fontId="59" fillId="3" borderId="81" xfId="0" applyFont="1" applyFill="1" applyBorder="1" applyAlignment="1">
      <alignment horizontal="center"/>
    </xf>
    <xf numFmtId="164" fontId="59" fillId="3" borderId="6" xfId="0" applyNumberFormat="1" applyFont="1" applyFill="1" applyBorder="1" applyAlignment="1">
      <alignment horizontal="center"/>
    </xf>
    <xf numFmtId="2" fontId="71" fillId="3" borderId="9" xfId="0" applyNumberFormat="1" applyFont="1" applyFill="1" applyBorder="1" applyAlignment="1">
      <alignment horizontal="center"/>
    </xf>
    <xf numFmtId="2" fontId="71" fillId="3" borderId="6" xfId="0" applyNumberFormat="1" applyFont="1" applyFill="1" applyBorder="1" applyAlignment="1">
      <alignment horizontal="center"/>
    </xf>
    <xf numFmtId="164" fontId="71" fillId="3" borderId="9" xfId="0" applyNumberFormat="1" applyFont="1" applyFill="1" applyBorder="1" applyAlignment="1">
      <alignment horizontal="center"/>
    </xf>
    <xf numFmtId="0" fontId="71" fillId="3" borderId="6" xfId="0" applyFont="1" applyFill="1" applyBorder="1" applyAlignment="1">
      <alignment horizontal="center"/>
    </xf>
    <xf numFmtId="0" fontId="59" fillId="3" borderId="82" xfId="0" applyFont="1" applyFill="1" applyBorder="1"/>
    <xf numFmtId="0" fontId="59" fillId="3" borderId="0" xfId="0" applyFont="1" applyFill="1" applyBorder="1"/>
    <xf numFmtId="2" fontId="72" fillId="3" borderId="0" xfId="0" applyNumberFormat="1" applyFont="1" applyFill="1" applyAlignment="1">
      <alignment horizontal="left"/>
    </xf>
    <xf numFmtId="0" fontId="73" fillId="3" borderId="0" xfId="0" applyFont="1" applyFill="1"/>
    <xf numFmtId="0" fontId="53" fillId="3" borderId="41" xfId="0" applyFont="1" applyFill="1" applyBorder="1" applyAlignment="1">
      <alignment horizontal="center"/>
    </xf>
    <xf numFmtId="0" fontId="53" fillId="4" borderId="81" xfId="0" applyFont="1" applyFill="1" applyBorder="1" applyAlignment="1">
      <alignment horizontal="center"/>
    </xf>
    <xf numFmtId="164" fontId="3" fillId="4" borderId="87" xfId="0" applyNumberFormat="1" applyFont="1" applyFill="1" applyBorder="1" applyAlignment="1">
      <alignment horizontal="center"/>
    </xf>
    <xf numFmtId="164" fontId="12" fillId="4" borderId="9" xfId="0" applyNumberFormat="1" applyFont="1" applyFill="1" applyBorder="1" applyAlignment="1">
      <alignment horizontal="center"/>
    </xf>
    <xf numFmtId="164" fontId="12" fillId="4" borderId="31" xfId="0" applyNumberFormat="1" applyFont="1" applyFill="1" applyBorder="1" applyAlignment="1">
      <alignment horizontal="center"/>
    </xf>
    <xf numFmtId="164" fontId="12" fillId="4" borderId="6" xfId="0" applyNumberFormat="1" applyFont="1" applyFill="1" applyBorder="1" applyAlignment="1">
      <alignment horizontal="center"/>
    </xf>
    <xf numFmtId="2" fontId="24" fillId="4" borderId="9" xfId="0" applyNumberFormat="1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164" fontId="74" fillId="3" borderId="6" xfId="0" applyNumberFormat="1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8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6" fillId="2" borderId="56" xfId="0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/>
    </xf>
    <xf numFmtId="0" fontId="6" fillId="3" borderId="58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/>
    </xf>
    <xf numFmtId="0" fontId="6" fillId="3" borderId="55" xfId="0" applyFont="1" applyFill="1" applyBorder="1" applyAlignment="1">
      <alignment horizontal="center" vertical="center"/>
    </xf>
    <xf numFmtId="0" fontId="30" fillId="0" borderId="43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8" fillId="0" borderId="5" xfId="0" applyFont="1" applyFill="1" applyBorder="1" applyAlignment="1">
      <alignment horizontal="center" vertical="center"/>
    </xf>
    <xf numFmtId="2" fontId="56" fillId="4" borderId="0" xfId="0" applyNumberFormat="1" applyFont="1" applyFill="1" applyAlignment="1">
      <alignment horizontal="left"/>
    </xf>
    <xf numFmtId="0" fontId="12" fillId="3" borderId="0" xfId="0" applyFont="1" applyFill="1" applyBorder="1" applyAlignment="1">
      <alignment horizontal="left"/>
    </xf>
    <xf numFmtId="0" fontId="16" fillId="3" borderId="0" xfId="0" applyFont="1" applyFill="1" applyAlignment="1">
      <alignment horizontal="center"/>
    </xf>
    <xf numFmtId="0" fontId="3" fillId="3" borderId="31" xfId="0" applyFont="1" applyFill="1" applyBorder="1" applyAlignment="1">
      <alignment horizontal="center" vertical="center" wrapText="1"/>
    </xf>
    <xf numFmtId="0" fontId="76" fillId="0" borderId="81" xfId="0" applyFont="1" applyBorder="1"/>
    <xf numFmtId="0" fontId="76" fillId="0" borderId="82" xfId="0" applyFont="1" applyBorder="1"/>
    <xf numFmtId="0" fontId="76" fillId="0" borderId="6" xfId="0" applyFont="1" applyBorder="1" applyAlignment="1">
      <alignment horizontal="center"/>
    </xf>
    <xf numFmtId="0" fontId="76" fillId="3" borderId="6" xfId="0" applyFont="1" applyFill="1" applyBorder="1"/>
    <xf numFmtId="0" fontId="0" fillId="3" borderId="0" xfId="0" applyFill="1" applyAlignment="1">
      <alignment horizontal="center"/>
    </xf>
    <xf numFmtId="0" fontId="76" fillId="3" borderId="8" xfId="0" applyFont="1" applyFill="1" applyBorder="1" applyAlignment="1">
      <alignment horizontal="center"/>
    </xf>
    <xf numFmtId="0" fontId="76" fillId="3" borderId="81" xfId="0" applyFont="1" applyFill="1" applyBorder="1"/>
    <xf numFmtId="0" fontId="76" fillId="3" borderId="6" xfId="0" applyFont="1" applyFill="1" applyBorder="1" applyAlignment="1">
      <alignment horizontal="center"/>
    </xf>
    <xf numFmtId="0" fontId="76" fillId="3" borderId="8" xfId="0" applyFont="1" applyFill="1" applyBorder="1"/>
    <xf numFmtId="0" fontId="76" fillId="3" borderId="79" xfId="0" applyFont="1" applyFill="1" applyBorder="1"/>
    <xf numFmtId="0" fontId="76" fillId="3" borderId="82" xfId="0" applyFont="1" applyFill="1" applyBorder="1"/>
    <xf numFmtId="0" fontId="76" fillId="3" borderId="80" xfId="0" applyFont="1" applyFill="1" applyBorder="1"/>
    <xf numFmtId="0" fontId="76" fillId="3" borderId="30" xfId="0" applyFont="1" applyFill="1" applyBorder="1"/>
    <xf numFmtId="0" fontId="76" fillId="3" borderId="32" xfId="0" applyFont="1" applyFill="1" applyBorder="1"/>
    <xf numFmtId="0" fontId="77" fillId="3" borderId="6" xfId="0" applyFont="1" applyFill="1" applyBorder="1"/>
    <xf numFmtId="0" fontId="77" fillId="3" borderId="8" xfId="0" applyFont="1" applyFill="1" applyBorder="1"/>
    <xf numFmtId="0" fontId="81" fillId="0" borderId="1" xfId="0" applyFont="1" applyFill="1" applyBorder="1" applyAlignment="1">
      <alignment horizontal="center" textRotation="90" wrapText="1"/>
    </xf>
    <xf numFmtId="0" fontId="79" fillId="0" borderId="1" xfId="0" applyFont="1" applyFill="1" applyBorder="1" applyAlignment="1">
      <alignment horizontal="center" textRotation="90" wrapText="1"/>
    </xf>
    <xf numFmtId="0" fontId="77" fillId="2" borderId="1" xfId="0" applyFont="1" applyFill="1" applyBorder="1" applyAlignment="1">
      <alignment horizontal="center" textRotation="90" wrapText="1"/>
    </xf>
    <xf numFmtId="0" fontId="77" fillId="0" borderId="23" xfId="0" applyFont="1" applyFill="1" applyBorder="1" applyAlignment="1">
      <alignment horizontal="center" textRotation="90" wrapText="1"/>
    </xf>
    <xf numFmtId="0" fontId="77" fillId="0" borderId="23" xfId="0" applyFont="1" applyFill="1" applyBorder="1" applyAlignment="1">
      <alignment horizontal="center" textRotation="90"/>
    </xf>
    <xf numFmtId="0" fontId="77" fillId="0" borderId="1" xfId="0" applyFont="1" applyFill="1" applyBorder="1" applyAlignment="1">
      <alignment horizontal="center" textRotation="90" wrapText="1"/>
    </xf>
    <xf numFmtId="0" fontId="77" fillId="0" borderId="1" xfId="0" applyFont="1" applyFill="1" applyBorder="1" applyAlignment="1">
      <alignment horizontal="center" textRotation="90"/>
    </xf>
    <xf numFmtId="164" fontId="77" fillId="3" borderId="8" xfId="0" applyNumberFormat="1" applyFont="1" applyFill="1" applyBorder="1" applyAlignment="1">
      <alignment horizontal="center"/>
    </xf>
    <xf numFmtId="164" fontId="77" fillId="3" borderId="8" xfId="0" applyNumberFormat="1" applyFont="1" applyFill="1" applyBorder="1" applyAlignment="1">
      <alignment horizontal="center" wrapText="1"/>
    </xf>
    <xf numFmtId="164" fontId="77" fillId="3" borderId="6" xfId="0" applyNumberFormat="1" applyFont="1" applyFill="1" applyBorder="1" applyAlignment="1">
      <alignment horizontal="center"/>
    </xf>
    <xf numFmtId="164" fontId="82" fillId="3" borderId="6" xfId="0" applyNumberFormat="1" applyFont="1" applyFill="1" applyBorder="1" applyAlignment="1">
      <alignment horizontal="center"/>
    </xf>
    <xf numFmtId="0" fontId="81" fillId="3" borderId="4" xfId="0" applyFont="1" applyFill="1" applyBorder="1" applyAlignment="1">
      <alignment horizontal="center"/>
    </xf>
    <xf numFmtId="0" fontId="83" fillId="3" borderId="4" xfId="0" applyFont="1" applyFill="1" applyBorder="1" applyAlignment="1"/>
    <xf numFmtId="164" fontId="77" fillId="3" borderId="41" xfId="0" applyNumberFormat="1" applyFont="1" applyFill="1" applyBorder="1" applyAlignment="1">
      <alignment horizontal="center"/>
    </xf>
    <xf numFmtId="0" fontId="77" fillId="3" borderId="6" xfId="0" applyFont="1" applyFill="1" applyBorder="1" applyAlignment="1">
      <alignment horizontal="center"/>
    </xf>
    <xf numFmtId="0" fontId="77" fillId="3" borderId="13" xfId="0" applyFont="1" applyFill="1" applyBorder="1" applyAlignment="1">
      <alignment horizontal="center" textRotation="90" wrapText="1"/>
    </xf>
    <xf numFmtId="0" fontId="77" fillId="3" borderId="1" xfId="0" applyFont="1" applyFill="1" applyBorder="1" applyAlignment="1">
      <alignment horizontal="center" textRotation="90" wrapText="1"/>
    </xf>
    <xf numFmtId="0" fontId="77" fillId="3" borderId="5" xfId="0" applyFont="1" applyFill="1" applyBorder="1" applyAlignment="1">
      <alignment horizontal="center" textRotation="90" wrapText="1"/>
    </xf>
    <xf numFmtId="0" fontId="77" fillId="3" borderId="5" xfId="0" applyFont="1" applyFill="1" applyBorder="1" applyAlignment="1">
      <alignment textRotation="90"/>
    </xf>
    <xf numFmtId="0" fontId="77" fillId="3" borderId="13" xfId="0" applyFont="1" applyFill="1" applyBorder="1" applyAlignment="1">
      <alignment textRotation="90"/>
    </xf>
    <xf numFmtId="0" fontId="81" fillId="3" borderId="13" xfId="0" applyFont="1" applyFill="1" applyBorder="1" applyAlignment="1">
      <alignment horizontal="center" textRotation="90" wrapText="1"/>
    </xf>
    <xf numFmtId="0" fontId="79" fillId="3" borderId="13" xfId="0" applyFont="1" applyFill="1" applyBorder="1" applyAlignment="1">
      <alignment horizontal="center" textRotation="90" wrapText="1"/>
    </xf>
    <xf numFmtId="0" fontId="77" fillId="2" borderId="3" xfId="0" applyFont="1" applyFill="1" applyBorder="1" applyAlignment="1">
      <alignment textRotation="90"/>
    </xf>
    <xf numFmtId="0" fontId="77" fillId="2" borderId="3" xfId="0" applyFont="1" applyFill="1" applyBorder="1" applyAlignment="1">
      <alignment horizontal="center" textRotation="90" wrapText="1"/>
    </xf>
    <xf numFmtId="0" fontId="77" fillId="0" borderId="3" xfId="0" applyFont="1" applyFill="1" applyBorder="1" applyAlignment="1">
      <alignment horizontal="center" textRotation="90" wrapText="1"/>
    </xf>
    <xf numFmtId="0" fontId="77" fillId="0" borderId="3" xfId="0" applyFont="1" applyFill="1" applyBorder="1" applyAlignment="1">
      <alignment textRotation="90"/>
    </xf>
    <xf numFmtId="0" fontId="77" fillId="3" borderId="2" xfId="0" applyFont="1" applyFill="1" applyBorder="1" applyAlignment="1">
      <alignment horizontal="center" textRotation="90" wrapText="1"/>
    </xf>
    <xf numFmtId="0" fontId="77" fillId="3" borderId="3" xfId="0" applyFont="1" applyFill="1" applyBorder="1" applyAlignment="1">
      <alignment textRotation="90"/>
    </xf>
    <xf numFmtId="0" fontId="77" fillId="0" borderId="2" xfId="0" applyFont="1" applyFill="1" applyBorder="1" applyAlignment="1">
      <alignment horizontal="center" textRotation="90" wrapText="1"/>
    </xf>
    <xf numFmtId="0" fontId="77" fillId="3" borderId="3" xfId="0" applyFont="1" applyFill="1" applyBorder="1" applyAlignment="1">
      <alignment horizontal="center" textRotation="90" wrapText="1"/>
    </xf>
    <xf numFmtId="0" fontId="77" fillId="3" borderId="3" xfId="0" applyFont="1" applyFill="1" applyBorder="1" applyAlignment="1">
      <alignment horizontal="center" textRotation="90"/>
    </xf>
    <xf numFmtId="0" fontId="85" fillId="3" borderId="1" xfId="0" applyFont="1" applyFill="1" applyBorder="1" applyAlignment="1">
      <alignment horizontal="center" textRotation="90" wrapText="1"/>
    </xf>
    <xf numFmtId="0" fontId="85" fillId="3" borderId="3" xfId="0" applyFont="1" applyFill="1" applyBorder="1" applyAlignment="1">
      <alignment horizontal="center" textRotation="90" wrapText="1"/>
    </xf>
    <xf numFmtId="0" fontId="85" fillId="3" borderId="2" xfId="0" applyFont="1" applyFill="1" applyBorder="1" applyAlignment="1">
      <alignment horizontal="center" textRotation="90" wrapText="1"/>
    </xf>
    <xf numFmtId="0" fontId="85" fillId="3" borderId="3" xfId="0" applyFont="1" applyFill="1" applyBorder="1" applyAlignment="1">
      <alignment textRotation="90"/>
    </xf>
    <xf numFmtId="0" fontId="77" fillId="0" borderId="3" xfId="0" applyFont="1" applyFill="1" applyBorder="1" applyAlignment="1">
      <alignment horizontal="center" textRotation="90"/>
    </xf>
    <xf numFmtId="0" fontId="77" fillId="3" borderId="14" xfId="0" applyFont="1" applyFill="1" applyBorder="1" applyAlignment="1">
      <alignment horizontal="center" textRotation="90" wrapText="1"/>
    </xf>
    <xf numFmtId="0" fontId="77" fillId="3" borderId="14" xfId="0" applyFont="1" applyFill="1" applyBorder="1" applyAlignment="1">
      <alignment textRotation="90"/>
    </xf>
    <xf numFmtId="0" fontId="77" fillId="3" borderId="14" xfId="0" applyFont="1" applyFill="1" applyBorder="1" applyAlignment="1">
      <alignment horizontal="center" textRotation="90"/>
    </xf>
    <xf numFmtId="0" fontId="85" fillId="3" borderId="14" xfId="0" applyFont="1" applyFill="1" applyBorder="1" applyAlignment="1">
      <alignment horizontal="center" textRotation="90" wrapText="1"/>
    </xf>
    <xf numFmtId="0" fontId="77" fillId="3" borderId="74" xfId="0" applyFont="1" applyFill="1" applyBorder="1" applyAlignment="1">
      <alignment horizontal="center" textRotation="90" wrapText="1"/>
    </xf>
    <xf numFmtId="0" fontId="77" fillId="3" borderId="23" xfId="0" applyFont="1" applyFill="1" applyBorder="1" applyAlignment="1">
      <alignment horizontal="center" textRotation="90" wrapText="1"/>
    </xf>
    <xf numFmtId="0" fontId="77" fillId="3" borderId="23" xfId="0" applyFont="1" applyFill="1" applyBorder="1" applyAlignment="1">
      <alignment textRotation="90"/>
    </xf>
    <xf numFmtId="0" fontId="77" fillId="3" borderId="63" xfId="0" applyFont="1" applyFill="1" applyBorder="1" applyAlignment="1">
      <alignment horizontal="center"/>
    </xf>
    <xf numFmtId="0" fontId="86" fillId="3" borderId="91" xfId="0" quotePrefix="1" applyFont="1" applyFill="1" applyBorder="1" applyAlignment="1">
      <alignment horizontal="center" vertical="center" wrapText="1"/>
    </xf>
    <xf numFmtId="0" fontId="77" fillId="3" borderId="8" xfId="0" applyFont="1" applyFill="1" applyBorder="1" applyAlignment="1">
      <alignment horizontal="center" vertical="center" wrapText="1"/>
    </xf>
    <xf numFmtId="0" fontId="77" fillId="3" borderId="17" xfId="0" applyFont="1" applyFill="1" applyBorder="1" applyAlignment="1">
      <alignment horizontal="center"/>
    </xf>
    <xf numFmtId="0" fontId="77" fillId="3" borderId="6" xfId="0" quotePrefix="1" applyFont="1" applyFill="1" applyBorder="1" applyAlignment="1">
      <alignment horizontal="center" vertical="center" wrapText="1"/>
    </xf>
    <xf numFmtId="0" fontId="77" fillId="3" borderId="6" xfId="0" applyFont="1" applyFill="1" applyBorder="1" applyAlignment="1">
      <alignment horizontal="center" vertical="center" wrapText="1"/>
    </xf>
    <xf numFmtId="0" fontId="81" fillId="3" borderId="63" xfId="0" applyFont="1" applyFill="1" applyBorder="1" applyAlignment="1">
      <alignment horizontal="center" vertical="center" wrapText="1"/>
    </xf>
    <xf numFmtId="0" fontId="77" fillId="3" borderId="41" xfId="0" applyFont="1" applyFill="1" applyBorder="1" applyAlignment="1">
      <alignment horizontal="center" vertical="center" wrapText="1"/>
    </xf>
    <xf numFmtId="0" fontId="81" fillId="3" borderId="17" xfId="0" applyFont="1" applyFill="1" applyBorder="1" applyAlignment="1">
      <alignment horizontal="center"/>
    </xf>
    <xf numFmtId="0" fontId="77" fillId="3" borderId="75" xfId="0" quotePrefix="1" applyFont="1" applyFill="1" applyBorder="1" applyAlignment="1">
      <alignment horizontal="center" vertical="center" wrapText="1"/>
    </xf>
    <xf numFmtId="0" fontId="77" fillId="3" borderId="31" xfId="0" applyFont="1" applyFill="1" applyBorder="1" applyAlignment="1">
      <alignment horizontal="center" vertical="center" wrapText="1"/>
    </xf>
    <xf numFmtId="0" fontId="77" fillId="3" borderId="8" xfId="0" quotePrefix="1" applyFont="1" applyFill="1" applyBorder="1" applyAlignment="1">
      <alignment horizontal="center" vertical="center" wrapText="1"/>
    </xf>
    <xf numFmtId="0" fontId="77" fillId="3" borderId="91" xfId="0" quotePrefix="1" applyFont="1" applyFill="1" applyBorder="1" applyAlignment="1">
      <alignment horizontal="center" vertical="center" wrapText="1"/>
    </xf>
    <xf numFmtId="0" fontId="81" fillId="3" borderId="63" xfId="0" applyFont="1" applyFill="1" applyBorder="1" applyAlignment="1">
      <alignment horizontal="center"/>
    </xf>
    <xf numFmtId="0" fontId="77" fillId="3" borderId="8" xfId="0" applyFont="1" applyFill="1" applyBorder="1" applyAlignment="1">
      <alignment horizontal="center"/>
    </xf>
    <xf numFmtId="164" fontId="75" fillId="3" borderId="8" xfId="0" applyNumberFormat="1" applyFont="1" applyFill="1" applyBorder="1" applyAlignment="1">
      <alignment horizontal="center"/>
    </xf>
    <xf numFmtId="164" fontId="75" fillId="3" borderId="6" xfId="0" applyNumberFormat="1" applyFont="1" applyFill="1" applyBorder="1" applyAlignment="1">
      <alignment horizontal="center"/>
    </xf>
    <xf numFmtId="0" fontId="77" fillId="3" borderId="79" xfId="0" applyFont="1" applyFill="1" applyBorder="1"/>
    <xf numFmtId="0" fontId="10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76" fillId="0" borderId="0" xfId="0" applyFont="1" applyFill="1"/>
    <xf numFmtId="0" fontId="87" fillId="0" borderId="0" xfId="0" applyFont="1" applyFill="1" applyAlignment="1"/>
    <xf numFmtId="0" fontId="79" fillId="0" borderId="0" xfId="0" applyFont="1" applyFill="1" applyAlignment="1"/>
    <xf numFmtId="0" fontId="82" fillId="3" borderId="6" xfId="0" quotePrefix="1" applyFont="1" applyFill="1" applyBorder="1" applyAlignment="1">
      <alignment horizontal="center" vertical="center" wrapText="1"/>
    </xf>
    <xf numFmtId="0" fontId="82" fillId="3" borderId="6" xfId="0" applyFont="1" applyFill="1" applyBorder="1"/>
    <xf numFmtId="0" fontId="78" fillId="3" borderId="32" xfId="0" applyFont="1" applyFill="1" applyBorder="1"/>
    <xf numFmtId="164" fontId="75" fillId="4" borderId="6" xfId="0" applyNumberFormat="1" applyFont="1" applyFill="1" applyBorder="1" applyAlignment="1">
      <alignment horizontal="center"/>
    </xf>
    <xf numFmtId="0" fontId="77" fillId="3" borderId="12" xfId="0" applyFont="1" applyFill="1" applyBorder="1" applyAlignment="1">
      <alignment horizontal="center"/>
    </xf>
    <xf numFmtId="0" fontId="77" fillId="3" borderId="4" xfId="0" quotePrefix="1" applyFont="1" applyFill="1" applyBorder="1" applyAlignment="1">
      <alignment horizontal="center" vertical="center" wrapText="1"/>
    </xf>
    <xf numFmtId="0" fontId="77" fillId="3" borderId="4" xfId="0" applyFont="1" applyFill="1" applyBorder="1" applyAlignment="1">
      <alignment horizontal="center" vertical="center" wrapText="1"/>
    </xf>
    <xf numFmtId="0" fontId="76" fillId="3" borderId="4" xfId="0" applyFont="1" applyFill="1" applyBorder="1"/>
    <xf numFmtId="0" fontId="76" fillId="3" borderId="4" xfId="0" applyFont="1" applyFill="1" applyBorder="1" applyAlignment="1">
      <alignment horizontal="center"/>
    </xf>
    <xf numFmtId="164" fontId="77" fillId="3" borderId="4" xfId="0" applyNumberFormat="1" applyFont="1" applyFill="1" applyBorder="1" applyAlignment="1">
      <alignment horizontal="center"/>
    </xf>
    <xf numFmtId="0" fontId="76" fillId="3" borderId="11" xfId="0" applyFont="1" applyFill="1" applyBorder="1"/>
    <xf numFmtId="0" fontId="79" fillId="0" borderId="0" xfId="0" applyFont="1" applyFill="1" applyAlignment="1">
      <alignment horizontal="center"/>
    </xf>
    <xf numFmtId="2" fontId="84" fillId="3" borderId="8" xfId="0" applyNumberFormat="1" applyFont="1" applyFill="1" applyBorder="1" applyAlignment="1">
      <alignment horizontal="center"/>
    </xf>
    <xf numFmtId="0" fontId="77" fillId="3" borderId="8" xfId="0" applyFont="1" applyFill="1" applyBorder="1" applyAlignment="1">
      <alignment horizontal="center" textRotation="90" wrapText="1"/>
    </xf>
    <xf numFmtId="164" fontId="84" fillId="3" borderId="6" xfId="0" applyNumberFormat="1" applyFont="1" applyFill="1" applyBorder="1" applyAlignment="1">
      <alignment horizontal="center"/>
    </xf>
    <xf numFmtId="0" fontId="84" fillId="3" borderId="91" xfId="0" applyFont="1" applyFill="1" applyBorder="1" applyAlignment="1">
      <alignment horizontal="center"/>
    </xf>
    <xf numFmtId="0" fontId="76" fillId="3" borderId="0" xfId="0" applyFont="1" applyFill="1"/>
    <xf numFmtId="2" fontId="77" fillId="3" borderId="0" xfId="0" applyNumberFormat="1" applyFont="1" applyFill="1" applyAlignment="1">
      <alignment horizontal="left"/>
    </xf>
    <xf numFmtId="2" fontId="84" fillId="3" borderId="6" xfId="0" applyNumberFormat="1" applyFont="1" applyFill="1" applyBorder="1" applyAlignment="1">
      <alignment horizontal="center"/>
    </xf>
    <xf numFmtId="0" fontId="84" fillId="3" borderId="75" xfId="0" applyFont="1" applyFill="1" applyBorder="1" applyAlignment="1">
      <alignment horizontal="center"/>
    </xf>
    <xf numFmtId="0" fontId="81" fillId="3" borderId="0" xfId="0" applyFont="1" applyFill="1"/>
    <xf numFmtId="2" fontId="88" fillId="3" borderId="6" xfId="0" applyNumberFormat="1" applyFont="1" applyFill="1" applyBorder="1" applyAlignment="1">
      <alignment horizontal="center"/>
    </xf>
    <xf numFmtId="0" fontId="78" fillId="3" borderId="0" xfId="0" applyFont="1" applyFill="1"/>
    <xf numFmtId="2" fontId="82" fillId="3" borderId="0" xfId="0" applyNumberFormat="1" applyFont="1" applyFill="1" applyAlignment="1">
      <alignment horizontal="left"/>
    </xf>
    <xf numFmtId="0" fontId="89" fillId="3" borderId="0" xfId="0" applyFont="1" applyFill="1"/>
    <xf numFmtId="164" fontId="88" fillId="3" borderId="6" xfId="0" applyNumberFormat="1" applyFont="1" applyFill="1" applyBorder="1" applyAlignment="1">
      <alignment horizontal="center"/>
    </xf>
    <xf numFmtId="0" fontId="81" fillId="3" borderId="12" xfId="0" applyFont="1" applyFill="1" applyBorder="1" applyAlignment="1">
      <alignment horizontal="center"/>
    </xf>
    <xf numFmtId="0" fontId="81" fillId="3" borderId="19" xfId="0" applyFont="1" applyFill="1" applyBorder="1" applyAlignment="1">
      <alignment horizontal="center"/>
    </xf>
    <xf numFmtId="0" fontId="81" fillId="3" borderId="20" xfId="0" applyFont="1" applyFill="1" applyBorder="1" applyAlignment="1">
      <alignment horizontal="center"/>
    </xf>
    <xf numFmtId="0" fontId="81" fillId="3" borderId="19" xfId="0" applyFont="1" applyFill="1" applyBorder="1"/>
    <xf numFmtId="0" fontId="83" fillId="3" borderId="18" xfId="0" applyFont="1" applyFill="1" applyBorder="1" applyAlignment="1"/>
    <xf numFmtId="0" fontId="83" fillId="3" borderId="11" xfId="0" applyFont="1" applyFill="1" applyBorder="1" applyAlignment="1"/>
    <xf numFmtId="0" fontId="90" fillId="3" borderId="0" xfId="0" applyFont="1" applyFill="1"/>
    <xf numFmtId="0" fontId="90" fillId="3" borderId="0" xfId="0" applyFont="1" applyFill="1" applyAlignment="1">
      <alignment horizontal="center"/>
    </xf>
    <xf numFmtId="0" fontId="76" fillId="3" borderId="0" xfId="0" applyFont="1" applyFill="1" applyAlignment="1"/>
    <xf numFmtId="0" fontId="91" fillId="3" borderId="0" xfId="0" applyFont="1" applyFill="1" applyAlignment="1">
      <alignment horizontal="center"/>
    </xf>
    <xf numFmtId="0" fontId="76" fillId="3" borderId="0" xfId="0" applyFont="1" applyFill="1" applyAlignment="1">
      <alignment horizontal="center"/>
    </xf>
    <xf numFmtId="0" fontId="90" fillId="0" borderId="0" xfId="0" applyFont="1" applyFill="1" applyAlignment="1">
      <alignment horizontal="center"/>
    </xf>
    <xf numFmtId="0" fontId="90" fillId="0" borderId="0" xfId="0" applyFont="1" applyFill="1"/>
    <xf numFmtId="2" fontId="90" fillId="3" borderId="0" xfId="0" applyNumberFormat="1" applyFont="1" applyFill="1" applyAlignment="1">
      <alignment horizontal="center"/>
    </xf>
    <xf numFmtId="0" fontId="90" fillId="2" borderId="0" xfId="0" applyFont="1" applyFill="1" applyAlignment="1">
      <alignment horizontal="center"/>
    </xf>
    <xf numFmtId="0" fontId="91" fillId="0" borderId="0" xfId="0" applyFont="1" applyFill="1" applyAlignment="1">
      <alignment horizontal="center"/>
    </xf>
    <xf numFmtId="0" fontId="90" fillId="0" borderId="0" xfId="0" applyFont="1"/>
    <xf numFmtId="0" fontId="90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center"/>
    </xf>
    <xf numFmtId="0" fontId="92" fillId="0" borderId="0" xfId="0" applyFont="1" applyBorder="1" applyAlignment="1">
      <alignment horizontal="center"/>
    </xf>
    <xf numFmtId="0" fontId="92" fillId="2" borderId="0" xfId="0" applyFont="1" applyFill="1" applyAlignment="1">
      <alignment horizontal="center"/>
    </xf>
    <xf numFmtId="0" fontId="93" fillId="0" borderId="0" xfId="0" applyFont="1"/>
    <xf numFmtId="0" fontId="84" fillId="3" borderId="8" xfId="0" applyFont="1" applyFill="1" applyBorder="1" applyAlignment="1">
      <alignment horizontal="center"/>
    </xf>
    <xf numFmtId="0" fontId="84" fillId="3" borderId="6" xfId="0" applyFont="1" applyFill="1" applyBorder="1" applyAlignment="1">
      <alignment horizontal="center"/>
    </xf>
    <xf numFmtId="0" fontId="81" fillId="3" borderId="4" xfId="0" applyFont="1" applyFill="1" applyBorder="1"/>
    <xf numFmtId="0" fontId="83" fillId="3" borderId="21" xfId="0" applyFont="1" applyFill="1" applyBorder="1" applyAlignment="1"/>
    <xf numFmtId="0" fontId="76" fillId="2" borderId="0" xfId="0" applyFont="1" applyFill="1" applyAlignment="1">
      <alignment horizontal="center"/>
    </xf>
    <xf numFmtId="2" fontId="90" fillId="2" borderId="0" xfId="0" applyNumberFormat="1" applyFont="1" applyFill="1" applyAlignment="1">
      <alignment horizontal="center"/>
    </xf>
    <xf numFmtId="164" fontId="84" fillId="3" borderId="8" xfId="0" applyNumberFormat="1" applyFont="1" applyFill="1" applyBorder="1" applyAlignment="1">
      <alignment horizontal="center"/>
    </xf>
    <xf numFmtId="0" fontId="75" fillId="3" borderId="12" xfId="0" applyFont="1" applyFill="1" applyBorder="1" applyAlignment="1">
      <alignment horizontal="center"/>
    </xf>
    <xf numFmtId="0" fontId="75" fillId="3" borderId="19" xfId="0" applyFont="1" applyFill="1" applyBorder="1" applyAlignment="1">
      <alignment horizontal="center"/>
    </xf>
    <xf numFmtId="0" fontId="75" fillId="3" borderId="20" xfId="0" applyFont="1" applyFill="1" applyBorder="1" applyAlignment="1">
      <alignment horizontal="center"/>
    </xf>
    <xf numFmtId="0" fontId="75" fillId="3" borderId="4" xfId="0" applyFont="1" applyFill="1" applyBorder="1"/>
    <xf numFmtId="0" fontId="75" fillId="3" borderId="4" xfId="0" applyFont="1" applyFill="1" applyBorder="1" applyAlignment="1">
      <alignment horizontal="center"/>
    </xf>
    <xf numFmtId="0" fontId="94" fillId="3" borderId="4" xfId="0" applyFont="1" applyFill="1" applyBorder="1" applyAlignment="1"/>
    <xf numFmtId="0" fontId="94" fillId="3" borderId="11" xfId="0" applyFont="1" applyFill="1" applyBorder="1" applyAlignment="1"/>
    <xf numFmtId="2" fontId="90" fillId="0" borderId="0" xfId="0" applyNumberFormat="1" applyFont="1" applyFill="1" applyAlignment="1">
      <alignment horizontal="center"/>
    </xf>
    <xf numFmtId="0" fontId="92" fillId="0" borderId="0" xfId="0" applyFont="1" applyFill="1" applyAlignment="1">
      <alignment horizontal="center"/>
    </xf>
    <xf numFmtId="0" fontId="77" fillId="3" borderId="0" xfId="0" applyFont="1" applyFill="1" applyBorder="1"/>
    <xf numFmtId="0" fontId="77" fillId="3" borderId="4" xfId="0" applyFont="1" applyFill="1" applyBorder="1" applyAlignment="1">
      <alignment horizontal="center"/>
    </xf>
    <xf numFmtId="0" fontId="77" fillId="3" borderId="4" xfId="0" applyFont="1" applyFill="1" applyBorder="1"/>
    <xf numFmtId="0" fontId="84" fillId="3" borderId="4" xfId="0" applyFont="1" applyFill="1" applyBorder="1" applyAlignment="1"/>
    <xf numFmtId="0" fontId="84" fillId="3" borderId="11" xfId="0" applyFont="1" applyFill="1" applyBorder="1" applyAlignment="1"/>
    <xf numFmtId="0" fontId="81" fillId="3" borderId="1" xfId="0" applyFont="1" applyFill="1" applyBorder="1" applyAlignment="1">
      <alignment horizontal="center" textRotation="90" wrapText="1"/>
    </xf>
    <xf numFmtId="0" fontId="79" fillId="3" borderId="1" xfId="0" applyFont="1" applyFill="1" applyBorder="1" applyAlignment="1">
      <alignment horizontal="center" textRotation="90" wrapText="1"/>
    </xf>
    <xf numFmtId="0" fontId="90" fillId="3" borderId="12" xfId="0" applyFont="1" applyFill="1" applyBorder="1" applyAlignment="1">
      <alignment horizontal="center"/>
    </xf>
    <xf numFmtId="0" fontId="90" fillId="3" borderId="4" xfId="0" applyFont="1" applyFill="1" applyBorder="1" applyAlignment="1">
      <alignment horizontal="center"/>
    </xf>
    <xf numFmtId="0" fontId="90" fillId="3" borderId="4" xfId="0" applyFont="1" applyFill="1" applyBorder="1"/>
    <xf numFmtId="0" fontId="79" fillId="3" borderId="4" xfId="0" applyFont="1" applyFill="1" applyBorder="1" applyAlignment="1"/>
    <xf numFmtId="0" fontId="79" fillId="3" borderId="11" xfId="0" applyFont="1" applyFill="1" applyBorder="1" applyAlignment="1"/>
    <xf numFmtId="0" fontId="92" fillId="0" borderId="15" xfId="0" applyFont="1" applyBorder="1" applyAlignment="1">
      <alignment horizontal="center"/>
    </xf>
    <xf numFmtId="0" fontId="92" fillId="2" borderId="15" xfId="0" applyFont="1" applyFill="1" applyBorder="1" applyAlignment="1">
      <alignment horizontal="center"/>
    </xf>
    <xf numFmtId="0" fontId="92" fillId="0" borderId="15" xfId="0" applyFont="1" applyFill="1" applyBorder="1" applyAlignment="1">
      <alignment horizontal="center"/>
    </xf>
    <xf numFmtId="0" fontId="92" fillId="3" borderId="15" xfId="0" applyFont="1" applyFill="1" applyBorder="1" applyAlignment="1">
      <alignment horizontal="center"/>
    </xf>
    <xf numFmtId="2" fontId="90" fillId="3" borderId="4" xfId="0" applyNumberFormat="1" applyFont="1" applyFill="1" applyBorder="1" applyAlignment="1">
      <alignment horizontal="center"/>
    </xf>
    <xf numFmtId="0" fontId="91" fillId="3" borderId="4" xfId="0" applyFont="1" applyFill="1" applyBorder="1" applyAlignment="1">
      <alignment horizontal="center"/>
    </xf>
    <xf numFmtId="0" fontId="75" fillId="3" borderId="11" xfId="0" applyFont="1" applyFill="1" applyBorder="1" applyAlignment="1">
      <alignment horizontal="center"/>
    </xf>
    <xf numFmtId="164" fontId="81" fillId="3" borderId="4" xfId="0" applyNumberFormat="1" applyFont="1" applyFill="1" applyBorder="1" applyAlignment="1">
      <alignment horizontal="center"/>
    </xf>
    <xf numFmtId="2" fontId="83" fillId="3" borderId="4" xfId="0" applyNumberFormat="1" applyFont="1" applyFill="1" applyBorder="1" applyAlignment="1">
      <alignment horizontal="center"/>
    </xf>
    <xf numFmtId="0" fontId="83" fillId="3" borderId="4" xfId="0" applyFont="1" applyFill="1" applyBorder="1" applyAlignment="1">
      <alignment horizontal="center"/>
    </xf>
    <xf numFmtId="0" fontId="81" fillId="3" borderId="11" xfId="0" applyFont="1" applyFill="1" applyBorder="1"/>
    <xf numFmtId="0" fontId="79" fillId="3" borderId="0" xfId="0" applyFont="1" applyFill="1" applyAlignment="1">
      <alignment horizontal="center"/>
    </xf>
    <xf numFmtId="2" fontId="95" fillId="0" borderId="0" xfId="0" applyNumberFormat="1" applyFont="1" applyFill="1" applyAlignment="1">
      <alignment horizontal="left"/>
    </xf>
    <xf numFmtId="0" fontId="96" fillId="0" borderId="0" xfId="0" applyFont="1" applyAlignment="1">
      <alignment horizontal="center"/>
    </xf>
    <xf numFmtId="0" fontId="79" fillId="0" borderId="0" xfId="0" applyFont="1" applyFill="1" applyBorder="1" applyAlignment="1">
      <alignment horizontal="center" vertical="center" wrapText="1"/>
    </xf>
    <xf numFmtId="0" fontId="81" fillId="3" borderId="0" xfId="0" applyFont="1" applyFill="1" applyBorder="1" applyAlignment="1">
      <alignment horizontal="left"/>
    </xf>
    <xf numFmtId="0" fontId="81" fillId="0" borderId="12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4" xfId="0" applyFont="1" applyBorder="1"/>
    <xf numFmtId="0" fontId="81" fillId="2" borderId="4" xfId="0" applyFont="1" applyFill="1" applyBorder="1" applyAlignment="1">
      <alignment horizontal="center"/>
    </xf>
    <xf numFmtId="2" fontId="81" fillId="0" borderId="4" xfId="0" applyNumberFormat="1" applyFont="1" applyFill="1" applyBorder="1" applyAlignment="1">
      <alignment horizontal="center"/>
    </xf>
    <xf numFmtId="0" fontId="81" fillId="0" borderId="4" xfId="0" applyFont="1" applyFill="1" applyBorder="1" applyAlignment="1">
      <alignment horizontal="center"/>
    </xf>
    <xf numFmtId="0" fontId="83" fillId="0" borderId="4" xfId="0" applyFont="1" applyFill="1" applyBorder="1" applyAlignment="1">
      <alignment horizontal="center"/>
    </xf>
    <xf numFmtId="0" fontId="83" fillId="0" borderId="11" xfId="0" applyFont="1" applyFill="1" applyBorder="1" applyAlignment="1">
      <alignment horizontal="center"/>
    </xf>
    <xf numFmtId="0" fontId="83" fillId="2" borderId="0" xfId="0" applyFont="1" applyFill="1" applyBorder="1" applyAlignment="1">
      <alignment horizontal="center"/>
    </xf>
    <xf numFmtId="2" fontId="77" fillId="2" borderId="0" xfId="0" applyNumberFormat="1" applyFont="1" applyFill="1" applyAlignment="1">
      <alignment horizontal="left"/>
    </xf>
    <xf numFmtId="0" fontId="81" fillId="0" borderId="0" xfId="0" applyFont="1" applyBorder="1" applyAlignment="1">
      <alignment horizontal="center"/>
    </xf>
    <xf numFmtId="0" fontId="81" fillId="0" borderId="0" xfId="0" applyFont="1" applyBorder="1"/>
    <xf numFmtId="0" fontId="81" fillId="2" borderId="0" xfId="0" applyFont="1" applyFill="1" applyBorder="1" applyAlignment="1">
      <alignment horizontal="center"/>
    </xf>
    <xf numFmtId="2" fontId="81" fillId="0" borderId="0" xfId="0" applyNumberFormat="1" applyFont="1" applyFill="1" applyBorder="1" applyAlignment="1">
      <alignment horizontal="center"/>
    </xf>
    <xf numFmtId="0" fontId="81" fillId="0" borderId="0" xfId="0" applyFont="1" applyFill="1" applyBorder="1" applyAlignment="1">
      <alignment horizontal="center"/>
    </xf>
    <xf numFmtId="0" fontId="83" fillId="0" borderId="0" xfId="0" applyFont="1" applyFill="1" applyBorder="1" applyAlignment="1">
      <alignment horizontal="center"/>
    </xf>
    <xf numFmtId="0" fontId="81" fillId="0" borderId="0" xfId="0" applyFont="1" applyAlignment="1">
      <alignment horizontal="center"/>
    </xf>
    <xf numFmtId="0" fontId="76" fillId="3" borderId="16" xfId="0" applyFont="1" applyFill="1" applyBorder="1"/>
    <xf numFmtId="0" fontId="81" fillId="3" borderId="16" xfId="0" applyFont="1" applyFill="1" applyBorder="1"/>
    <xf numFmtId="1" fontId="81" fillId="3" borderId="4" xfId="0" applyNumberFormat="1" applyFont="1" applyFill="1" applyBorder="1" applyAlignment="1">
      <alignment horizontal="center"/>
    </xf>
    <xf numFmtId="2" fontId="81" fillId="3" borderId="4" xfId="0" applyNumberFormat="1" applyFont="1" applyFill="1" applyBorder="1" applyAlignment="1">
      <alignment horizontal="center"/>
    </xf>
    <xf numFmtId="0" fontId="81" fillId="3" borderId="11" xfId="0" applyFont="1" applyFill="1" applyBorder="1" applyAlignment="1">
      <alignment horizontal="center"/>
    </xf>
    <xf numFmtId="0" fontId="92" fillId="3" borderId="0" xfId="0" applyFont="1" applyFill="1" applyAlignment="1">
      <alignment horizontal="center"/>
    </xf>
    <xf numFmtId="0" fontId="76" fillId="3" borderId="0" xfId="0" applyFont="1" applyFill="1" applyBorder="1"/>
    <xf numFmtId="0" fontId="81" fillId="3" borderId="0" xfId="0" applyFont="1" applyFill="1" applyBorder="1"/>
    <xf numFmtId="0" fontId="90" fillId="3" borderId="0" xfId="0" applyFont="1" applyFill="1" applyBorder="1"/>
    <xf numFmtId="0" fontId="79" fillId="2" borderId="0" xfId="0" applyFont="1" applyFill="1" applyAlignment="1">
      <alignment horizontal="center"/>
    </xf>
    <xf numFmtId="0" fontId="77" fillId="3" borderId="6" xfId="0" applyFont="1" applyFill="1" applyBorder="1" applyAlignment="1">
      <alignment horizontal="left" vertical="center"/>
    </xf>
    <xf numFmtId="0" fontId="90" fillId="2" borderId="0" xfId="0" applyFont="1" applyFill="1"/>
    <xf numFmtId="0" fontId="93" fillId="0" borderId="0" xfId="0" applyFont="1" applyFill="1"/>
    <xf numFmtId="0" fontId="81" fillId="3" borderId="4" xfId="0" quotePrefix="1" applyFont="1" applyFill="1" applyBorder="1" applyAlignment="1">
      <alignment horizontal="center"/>
    </xf>
    <xf numFmtId="164" fontId="83" fillId="3" borderId="4" xfId="0" applyNumberFormat="1" applyFont="1" applyFill="1" applyBorder="1" applyAlignment="1">
      <alignment horizontal="center"/>
    </xf>
    <xf numFmtId="0" fontId="91" fillId="2" borderId="0" xfId="0" applyFont="1" applyFill="1" applyAlignment="1">
      <alignment horizontal="center"/>
    </xf>
    <xf numFmtId="2" fontId="84" fillId="3" borderId="4" xfId="0" applyNumberFormat="1" applyFont="1" applyFill="1" applyBorder="1" applyAlignment="1">
      <alignment horizontal="center"/>
    </xf>
    <xf numFmtId="164" fontId="84" fillId="3" borderId="4" xfId="0" applyNumberFormat="1" applyFont="1" applyFill="1" applyBorder="1" applyAlignment="1">
      <alignment horizontal="center"/>
    </xf>
    <xf numFmtId="0" fontId="84" fillId="3" borderId="4" xfId="0" applyFont="1" applyFill="1" applyBorder="1" applyAlignment="1">
      <alignment horizontal="center"/>
    </xf>
    <xf numFmtId="0" fontId="77" fillId="0" borderId="0" xfId="0" applyFont="1" applyFill="1" applyAlignment="1">
      <alignment horizontal="center"/>
    </xf>
    <xf numFmtId="0" fontId="91" fillId="0" borderId="0" xfId="0" applyFont="1" applyAlignment="1"/>
    <xf numFmtId="0" fontId="97" fillId="0" borderId="0" xfId="0" applyFont="1" applyAlignment="1"/>
    <xf numFmtId="0" fontId="77" fillId="0" borderId="0" xfId="0" applyFont="1" applyAlignment="1">
      <alignment horizontal="center"/>
    </xf>
    <xf numFmtId="0" fontId="84" fillId="0" borderId="22" xfId="0" applyFont="1" applyFill="1" applyBorder="1" applyAlignment="1">
      <alignment horizontal="center" vertical="center"/>
    </xf>
    <xf numFmtId="0" fontId="77" fillId="0" borderId="3" xfId="0" applyFont="1" applyBorder="1" applyAlignment="1">
      <alignment horizontal="center" vertical="center"/>
    </xf>
    <xf numFmtId="0" fontId="77" fillId="0" borderId="23" xfId="0" applyFont="1" applyFill="1" applyBorder="1" applyAlignment="1">
      <alignment horizontal="center" vertical="center"/>
    </xf>
    <xf numFmtId="0" fontId="77" fillId="0" borderId="24" xfId="0" applyFont="1" applyFill="1" applyBorder="1" applyAlignment="1">
      <alignment horizontal="center" vertical="center"/>
    </xf>
    <xf numFmtId="0" fontId="84" fillId="0" borderId="25" xfId="0" applyFont="1" applyFill="1" applyBorder="1" applyAlignment="1">
      <alignment horizontal="center" vertical="center"/>
    </xf>
    <xf numFmtId="0" fontId="77" fillId="0" borderId="5" xfId="0" applyFont="1" applyBorder="1" applyAlignment="1">
      <alignment horizontal="center" vertical="center"/>
    </xf>
    <xf numFmtId="0" fontId="77" fillId="0" borderId="5" xfId="0" applyFont="1" applyFill="1" applyBorder="1" applyAlignment="1">
      <alignment horizontal="center" vertical="center"/>
    </xf>
    <xf numFmtId="0" fontId="77" fillId="0" borderId="26" xfId="0" applyFont="1" applyFill="1" applyBorder="1" applyAlignment="1">
      <alignment horizontal="center" vertical="center"/>
    </xf>
    <xf numFmtId="0" fontId="77" fillId="0" borderId="27" xfId="0" applyFont="1" applyFill="1" applyBorder="1" applyAlignment="1">
      <alignment horizontal="center" vertical="center"/>
    </xf>
    <xf numFmtId="0" fontId="98" fillId="0" borderId="17" xfId="0" applyFont="1" applyFill="1" applyBorder="1" applyAlignment="1">
      <alignment horizontal="center"/>
    </xf>
    <xf numFmtId="0" fontId="98" fillId="0" borderId="6" xfId="0" applyFont="1" applyFill="1" applyBorder="1" applyAlignment="1">
      <alignment horizontal="center"/>
    </xf>
    <xf numFmtId="0" fontId="99" fillId="0" borderId="6" xfId="0" applyFont="1" applyFill="1" applyBorder="1" applyAlignment="1">
      <alignment horizontal="center"/>
    </xf>
    <xf numFmtId="0" fontId="98" fillId="0" borderId="9" xfId="0" applyFont="1" applyFill="1" applyBorder="1" applyAlignment="1">
      <alignment horizontal="center"/>
    </xf>
    <xf numFmtId="2" fontId="98" fillId="0" borderId="9" xfId="0" applyNumberFormat="1" applyFont="1" applyFill="1" applyBorder="1" applyAlignment="1">
      <alignment horizontal="center"/>
    </xf>
    <xf numFmtId="2" fontId="98" fillId="0" borderId="28" xfId="0" applyNumberFormat="1" applyFont="1" applyFill="1" applyBorder="1" applyAlignment="1">
      <alignment horizontal="center"/>
    </xf>
    <xf numFmtId="0" fontId="98" fillId="0" borderId="31" xfId="0" applyFont="1" applyFill="1" applyBorder="1" applyAlignment="1">
      <alignment horizontal="center"/>
    </xf>
    <xf numFmtId="2" fontId="98" fillId="0" borderId="23" xfId="0" applyNumberFormat="1" applyFont="1" applyFill="1" applyBorder="1" applyAlignment="1">
      <alignment horizontal="center"/>
    </xf>
    <xf numFmtId="0" fontId="98" fillId="0" borderId="37" xfId="0" applyFont="1" applyFill="1" applyBorder="1" applyAlignment="1"/>
    <xf numFmtId="0" fontId="98" fillId="0" borderId="32" xfId="0" applyFont="1" applyFill="1" applyBorder="1" applyAlignment="1">
      <alignment horizontal="center"/>
    </xf>
    <xf numFmtId="0" fontId="100" fillId="0" borderId="17" xfId="0" applyFont="1" applyFill="1" applyBorder="1" applyAlignment="1">
      <alignment horizontal="center"/>
    </xf>
    <xf numFmtId="0" fontId="100" fillId="0" borderId="6" xfId="0" applyFont="1" applyFill="1" applyBorder="1" applyAlignment="1">
      <alignment horizontal="center"/>
    </xf>
    <xf numFmtId="0" fontId="101" fillId="0" borderId="59" xfId="0" applyFont="1" applyFill="1" applyBorder="1" applyAlignment="1">
      <alignment horizontal="center"/>
    </xf>
    <xf numFmtId="0" fontId="100" fillId="0" borderId="23" xfId="0" applyFont="1" applyFill="1" applyBorder="1" applyAlignment="1">
      <alignment horizontal="center"/>
    </xf>
    <xf numFmtId="0" fontId="100" fillId="0" borderId="59" xfId="0" applyFont="1" applyFill="1" applyBorder="1" applyAlignment="1">
      <alignment horizontal="center"/>
    </xf>
    <xf numFmtId="0" fontId="100" fillId="0" borderId="7" xfId="0" applyFont="1" applyFill="1" applyBorder="1" applyAlignment="1"/>
    <xf numFmtId="0" fontId="100" fillId="0" borderId="25" xfId="0" applyFont="1" applyFill="1" applyBorder="1" applyAlignment="1">
      <alignment horizontal="center"/>
    </xf>
    <xf numFmtId="0" fontId="102" fillId="0" borderId="0" xfId="0" applyFont="1" applyFill="1"/>
    <xf numFmtId="0" fontId="99" fillId="0" borderId="60" xfId="0" applyFont="1" applyFill="1" applyBorder="1" applyAlignment="1">
      <alignment horizontal="center"/>
    </xf>
    <xf numFmtId="0" fontId="79" fillId="0" borderId="14" xfId="0" applyFont="1" applyFill="1" applyBorder="1" applyAlignment="1">
      <alignment horizontal="center"/>
    </xf>
    <xf numFmtId="2" fontId="79" fillId="0" borderId="14" xfId="0" applyNumberFormat="1" applyFont="1" applyFill="1" applyBorder="1" applyAlignment="1">
      <alignment horizontal="center"/>
    </xf>
    <xf numFmtId="2" fontId="79" fillId="0" borderId="33" xfId="0" applyNumberFormat="1" applyFont="1" applyFill="1" applyBorder="1" applyAlignment="1">
      <alignment horizontal="center"/>
    </xf>
    <xf numFmtId="2" fontId="84" fillId="0" borderId="14" xfId="0" applyNumberFormat="1" applyFont="1" applyFill="1" applyBorder="1" applyAlignment="1">
      <alignment horizontal="center"/>
    </xf>
    <xf numFmtId="0" fontId="79" fillId="0" borderId="45" xfId="0" applyFont="1" applyFill="1" applyBorder="1" applyAlignment="1">
      <alignment horizontal="center"/>
    </xf>
    <xf numFmtId="0" fontId="103" fillId="0" borderId="0" xfId="0" applyFont="1" applyFill="1"/>
    <xf numFmtId="0" fontId="99" fillId="0" borderId="9" xfId="0" applyFont="1" applyFill="1" applyBorder="1" applyAlignment="1">
      <alignment horizontal="center"/>
    </xf>
    <xf numFmtId="0" fontId="98" fillId="0" borderId="29" xfId="0" applyFont="1" applyFill="1" applyBorder="1" applyAlignment="1">
      <alignment horizontal="center"/>
    </xf>
    <xf numFmtId="0" fontId="98" fillId="0" borderId="30" xfId="0" applyFont="1" applyFill="1" applyBorder="1" applyAlignment="1">
      <alignment horizontal="center"/>
    </xf>
    <xf numFmtId="2" fontId="98" fillId="0" borderId="5" xfId="0" applyNumberFormat="1" applyFont="1" applyFill="1" applyBorder="1" applyAlignment="1">
      <alignment horizontal="center"/>
    </xf>
    <xf numFmtId="0" fontId="98" fillId="0" borderId="7" xfId="0" applyFont="1" applyFill="1" applyBorder="1" applyAlignment="1">
      <alignment horizontal="center"/>
    </xf>
    <xf numFmtId="0" fontId="99" fillId="0" borderId="7" xfId="0" applyFont="1" applyFill="1" applyBorder="1" applyAlignment="1">
      <alignment horizontal="center"/>
    </xf>
    <xf numFmtId="2" fontId="98" fillId="0" borderId="7" xfId="0" applyNumberFormat="1" applyFont="1" applyFill="1" applyBorder="1" applyAlignment="1">
      <alignment horizontal="center"/>
    </xf>
    <xf numFmtId="2" fontId="98" fillId="0" borderId="34" xfId="0" applyNumberFormat="1" applyFont="1" applyFill="1" applyBorder="1" applyAlignment="1">
      <alignment horizontal="center"/>
    </xf>
    <xf numFmtId="0" fontId="98" fillId="0" borderId="35" xfId="0" applyFont="1" applyFill="1" applyBorder="1" applyAlignment="1">
      <alignment horizontal="center"/>
    </xf>
    <xf numFmtId="0" fontId="98" fillId="0" borderId="23" xfId="0" applyFont="1" applyFill="1" applyBorder="1" applyAlignment="1">
      <alignment horizontal="center"/>
    </xf>
    <xf numFmtId="0" fontId="98" fillId="0" borderId="36" xfId="0" applyFont="1" applyFill="1" applyBorder="1" applyAlignment="1">
      <alignment horizontal="center"/>
    </xf>
    <xf numFmtId="2" fontId="98" fillId="0" borderId="37" xfId="0" applyNumberFormat="1" applyFont="1" applyFill="1" applyBorder="1" applyAlignment="1">
      <alignment horizontal="center"/>
    </xf>
    <xf numFmtId="0" fontId="98" fillId="0" borderId="37" xfId="0" applyFont="1" applyFill="1" applyBorder="1" applyAlignment="1">
      <alignment horizontal="center"/>
    </xf>
    <xf numFmtId="0" fontId="99" fillId="0" borderId="37" xfId="0" applyFont="1" applyFill="1" applyBorder="1" applyAlignment="1">
      <alignment horizontal="center"/>
    </xf>
    <xf numFmtId="0" fontId="98" fillId="0" borderId="25" xfId="0" applyFont="1" applyFill="1" applyBorder="1" applyAlignment="1">
      <alignment horizontal="center"/>
    </xf>
    <xf numFmtId="2" fontId="77" fillId="0" borderId="14" xfId="0" applyNumberFormat="1" applyFont="1" applyFill="1" applyBorder="1" applyAlignment="1">
      <alignment horizontal="center"/>
    </xf>
    <xf numFmtId="0" fontId="105" fillId="0" borderId="61" xfId="0" applyFont="1" applyFill="1" applyBorder="1" applyAlignment="1">
      <alignment horizontal="center" vertical="center"/>
    </xf>
    <xf numFmtId="0" fontId="106" fillId="0" borderId="48" xfId="0" applyFont="1" applyFill="1" applyBorder="1" applyAlignment="1">
      <alignment horizontal="center" vertical="center"/>
    </xf>
    <xf numFmtId="2" fontId="106" fillId="0" borderId="48" xfId="0" applyNumberFormat="1" applyFont="1" applyFill="1" applyBorder="1" applyAlignment="1">
      <alignment horizontal="center" vertical="center"/>
    </xf>
    <xf numFmtId="2" fontId="106" fillId="0" borderId="49" xfId="0" applyNumberFormat="1" applyFont="1" applyFill="1" applyBorder="1" applyAlignment="1">
      <alignment horizontal="center" vertical="center"/>
    </xf>
    <xf numFmtId="2" fontId="106" fillId="0" borderId="50" xfId="0" applyNumberFormat="1" applyFont="1" applyFill="1" applyBorder="1" applyAlignment="1">
      <alignment horizontal="center" vertical="center"/>
    </xf>
    <xf numFmtId="0" fontId="106" fillId="0" borderId="51" xfId="0" applyFont="1" applyFill="1" applyBorder="1" applyAlignment="1">
      <alignment horizontal="center" vertical="center"/>
    </xf>
    <xf numFmtId="0" fontId="91" fillId="0" borderId="0" xfId="0" applyFont="1" applyFill="1" applyAlignment="1">
      <alignment vertical="center"/>
    </xf>
    <xf numFmtId="0" fontId="98" fillId="0" borderId="46" xfId="0" applyFont="1" applyFill="1" applyBorder="1" applyAlignment="1">
      <alignment horizontal="center"/>
    </xf>
    <xf numFmtId="2" fontId="98" fillId="0" borderId="6" xfId="0" applyNumberFormat="1" applyFont="1" applyFill="1" applyBorder="1" applyAlignment="1">
      <alignment horizontal="center"/>
    </xf>
    <xf numFmtId="2" fontId="98" fillId="0" borderId="38" xfId="0" applyNumberFormat="1" applyFont="1" applyFill="1" applyBorder="1" applyAlignment="1">
      <alignment horizontal="center"/>
    </xf>
    <xf numFmtId="0" fontId="103" fillId="0" borderId="0" xfId="0" applyFont="1" applyFill="1" applyAlignment="1"/>
    <xf numFmtId="0" fontId="98" fillId="0" borderId="78" xfId="0" applyFont="1" applyFill="1" applyBorder="1" applyAlignment="1">
      <alignment horizontal="center"/>
    </xf>
    <xf numFmtId="2" fontId="84" fillId="0" borderId="9" xfId="0" applyNumberFormat="1" applyFont="1" applyFill="1" applyBorder="1" applyAlignment="1">
      <alignment horizontal="center"/>
    </xf>
    <xf numFmtId="0" fontId="98" fillId="0" borderId="39" xfId="0" applyFont="1" applyFill="1" applyBorder="1" applyAlignment="1">
      <alignment horizontal="center"/>
    </xf>
    <xf numFmtId="2" fontId="98" fillId="0" borderId="40" xfId="0" applyNumberFormat="1" applyFont="1" applyFill="1" applyBorder="1" applyAlignment="1">
      <alignment horizontal="center"/>
    </xf>
    <xf numFmtId="0" fontId="99" fillId="0" borderId="27" xfId="0" applyFont="1" applyFill="1" applyBorder="1" applyAlignment="1">
      <alignment horizontal="center"/>
    </xf>
    <xf numFmtId="0" fontId="79" fillId="0" borderId="5" xfId="0" applyFont="1" applyFill="1" applyBorder="1" applyAlignment="1">
      <alignment horizontal="center"/>
    </xf>
    <xf numFmtId="2" fontId="79" fillId="0" borderId="5" xfId="0" applyNumberFormat="1" applyFont="1" applyFill="1" applyBorder="1" applyAlignment="1">
      <alignment horizontal="center"/>
    </xf>
    <xf numFmtId="2" fontId="84" fillId="0" borderId="23" xfId="0" applyNumberFormat="1" applyFont="1" applyFill="1" applyBorder="1" applyAlignment="1">
      <alignment horizontal="center"/>
    </xf>
    <xf numFmtId="0" fontId="79" fillId="0" borderId="47" xfId="0" applyFont="1" applyFill="1" applyBorder="1" applyAlignment="1">
      <alignment horizontal="center"/>
    </xf>
    <xf numFmtId="0" fontId="98" fillId="0" borderId="8" xfId="0" applyFont="1" applyFill="1" applyBorder="1" applyAlignment="1">
      <alignment horizontal="center"/>
    </xf>
    <xf numFmtId="0" fontId="99" fillId="0" borderId="8" xfId="0" applyFont="1" applyFill="1" applyBorder="1" applyAlignment="1">
      <alignment horizontal="center"/>
    </xf>
    <xf numFmtId="0" fontId="98" fillId="0" borderId="41" xfId="0" applyFont="1" applyFill="1" applyBorder="1" applyAlignment="1">
      <alignment horizontal="center"/>
    </xf>
    <xf numFmtId="2" fontId="98" fillId="0" borderId="8" xfId="0" applyNumberFormat="1" applyFont="1" applyFill="1" applyBorder="1" applyAlignment="1">
      <alignment horizontal="center"/>
    </xf>
    <xf numFmtId="0" fontId="98" fillId="0" borderId="44" xfId="0" applyFont="1" applyFill="1" applyBorder="1" applyAlignment="1">
      <alignment horizontal="center"/>
    </xf>
    <xf numFmtId="2" fontId="84" fillId="0" borderId="5" xfId="0" applyNumberFormat="1" applyFont="1" applyFill="1" applyBorder="1" applyAlignment="1">
      <alignment horizontal="center"/>
    </xf>
    <xf numFmtId="0" fontId="84" fillId="0" borderId="27" xfId="0" applyFont="1" applyFill="1" applyBorder="1" applyAlignment="1">
      <alignment horizontal="center"/>
    </xf>
    <xf numFmtId="2" fontId="79" fillId="0" borderId="26" xfId="0" applyNumberFormat="1" applyFont="1" applyFill="1" applyBorder="1" applyAlignment="1">
      <alignment horizontal="center"/>
    </xf>
    <xf numFmtId="2" fontId="99" fillId="0" borderId="7" xfId="0" applyNumberFormat="1" applyFont="1" applyFill="1" applyBorder="1" applyAlignment="1">
      <alignment horizontal="center"/>
    </xf>
    <xf numFmtId="0" fontId="106" fillId="0" borderId="14" xfId="0" applyFont="1" applyFill="1" applyBorder="1" applyAlignment="1">
      <alignment horizontal="center" vertical="center"/>
    </xf>
    <xf numFmtId="2" fontId="106" fillId="0" borderId="14" xfId="0" applyNumberFormat="1" applyFont="1" applyFill="1" applyBorder="1" applyAlignment="1">
      <alignment horizontal="center" vertical="center"/>
    </xf>
    <xf numFmtId="2" fontId="107" fillId="0" borderId="14" xfId="0" applyNumberFormat="1" applyFont="1" applyFill="1" applyBorder="1" applyAlignment="1">
      <alignment horizontal="center" vertical="center"/>
    </xf>
    <xf numFmtId="2" fontId="84" fillId="0" borderId="26" xfId="0" applyNumberFormat="1" applyFont="1" applyFill="1" applyBorder="1" applyAlignment="1">
      <alignment horizontal="center" vertical="center"/>
    </xf>
    <xf numFmtId="2" fontId="108" fillId="0" borderId="7" xfId="0" applyNumberFormat="1" applyFont="1" applyFill="1" applyBorder="1" applyAlignment="1">
      <alignment horizontal="center" vertical="center"/>
    </xf>
    <xf numFmtId="0" fontId="106" fillId="0" borderId="45" xfId="0" applyFont="1" applyFill="1" applyBorder="1" applyAlignment="1">
      <alignment horizontal="center" vertical="center"/>
    </xf>
    <xf numFmtId="0" fontId="104" fillId="0" borderId="43" xfId="0" applyFont="1" applyFill="1" applyBorder="1" applyAlignment="1">
      <alignment horizontal="center" vertical="center"/>
    </xf>
    <xf numFmtId="0" fontId="107" fillId="0" borderId="43" xfId="0" applyFont="1" applyFill="1" applyBorder="1" applyAlignment="1">
      <alignment horizontal="center" vertical="center"/>
    </xf>
    <xf numFmtId="2" fontId="104" fillId="0" borderId="43" xfId="0" applyNumberFormat="1" applyFont="1" applyFill="1" applyBorder="1" applyAlignment="1">
      <alignment horizontal="center" vertical="center"/>
    </xf>
    <xf numFmtId="2" fontId="109" fillId="0" borderId="43" xfId="0" applyNumberFormat="1" applyFont="1" applyFill="1" applyBorder="1" applyAlignment="1">
      <alignment horizontal="center" vertical="center"/>
    </xf>
    <xf numFmtId="0" fontId="104" fillId="0" borderId="52" xfId="0" applyFont="1" applyFill="1" applyBorder="1" applyAlignment="1">
      <alignment horizontal="center" vertical="center"/>
    </xf>
    <xf numFmtId="0" fontId="104" fillId="0" borderId="0" xfId="0" applyFont="1" applyAlignment="1"/>
    <xf numFmtId="0" fontId="91" fillId="3" borderId="0" xfId="0" applyFont="1" applyFill="1" applyAlignment="1">
      <alignment horizontal="center"/>
    </xf>
    <xf numFmtId="0" fontId="91" fillId="3" borderId="0" xfId="0" applyFont="1" applyFill="1" applyAlignment="1">
      <alignment horizontal="center"/>
    </xf>
    <xf numFmtId="0" fontId="110" fillId="3" borderId="0" xfId="0" applyFont="1" applyFill="1"/>
    <xf numFmtId="0" fontId="79" fillId="3" borderId="0" xfId="0" applyFont="1" applyFill="1" applyAlignment="1"/>
    <xf numFmtId="0" fontId="87" fillId="3" borderId="0" xfId="0" applyFont="1" applyFill="1" applyAlignment="1"/>
    <xf numFmtId="0" fontId="19" fillId="3" borderId="15" xfId="0" applyFont="1" applyFill="1" applyBorder="1" applyAlignment="1">
      <alignment horizontal="center"/>
    </xf>
    <xf numFmtId="0" fontId="76" fillId="3" borderId="1" xfId="0" applyFont="1" applyFill="1" applyBorder="1" applyAlignment="1">
      <alignment horizontal="center" textRotation="90" wrapText="1"/>
    </xf>
    <xf numFmtId="0" fontId="76" fillId="3" borderId="23" xfId="0" applyFont="1" applyFill="1" applyBorder="1" applyAlignment="1">
      <alignment horizontal="center" textRotation="90" wrapText="1"/>
    </xf>
    <xf numFmtId="0" fontId="76" fillId="3" borderId="23" xfId="0" applyFont="1" applyFill="1" applyBorder="1" applyAlignment="1">
      <alignment horizontal="center" textRotation="90"/>
    </xf>
    <xf numFmtId="0" fontId="76" fillId="3" borderId="1" xfId="0" applyFont="1" applyFill="1" applyBorder="1" applyAlignment="1">
      <alignment horizontal="center" textRotation="90"/>
    </xf>
    <xf numFmtId="0" fontId="85" fillId="3" borderId="63" xfId="0" applyFont="1" applyFill="1" applyBorder="1" applyAlignment="1">
      <alignment horizontal="center"/>
    </xf>
    <xf numFmtId="0" fontId="85" fillId="3" borderId="8" xfId="0" applyFont="1" applyFill="1" applyBorder="1" applyAlignment="1">
      <alignment horizontal="center" vertical="center" wrapText="1"/>
    </xf>
    <xf numFmtId="0" fontId="111" fillId="3" borderId="8" xfId="0" applyFont="1" applyFill="1" applyBorder="1"/>
    <xf numFmtId="0" fontId="111" fillId="3" borderId="8" xfId="0" applyFont="1" applyFill="1" applyBorder="1" applyAlignment="1">
      <alignment horizontal="center"/>
    </xf>
    <xf numFmtId="164" fontId="85" fillId="3" borderId="8" xfId="0" applyNumberFormat="1" applyFont="1" applyFill="1" applyBorder="1" applyAlignment="1">
      <alignment horizontal="center"/>
    </xf>
    <xf numFmtId="2" fontId="112" fillId="3" borderId="8" xfId="0" applyNumberFormat="1" applyFont="1" applyFill="1" applyBorder="1" applyAlignment="1">
      <alignment horizontal="center"/>
    </xf>
    <xf numFmtId="164" fontId="112" fillId="3" borderId="8" xfId="0" applyNumberFormat="1" applyFont="1" applyFill="1" applyBorder="1" applyAlignment="1">
      <alignment horizontal="center"/>
    </xf>
    <xf numFmtId="0" fontId="112" fillId="3" borderId="8" xfId="0" applyFont="1" applyFill="1" applyBorder="1" applyAlignment="1">
      <alignment horizontal="center"/>
    </xf>
    <xf numFmtId="0" fontId="111" fillId="3" borderId="30" xfId="0" applyFont="1" applyFill="1" applyBorder="1"/>
    <xf numFmtId="0" fontId="113" fillId="3" borderId="0" xfId="0" applyFont="1" applyFill="1"/>
    <xf numFmtId="2" fontId="85" fillId="3" borderId="0" xfId="0" applyNumberFormat="1" applyFont="1" applyFill="1" applyAlignment="1">
      <alignment horizontal="left"/>
    </xf>
    <xf numFmtId="0" fontId="85" fillId="3" borderId="17" xfId="0" applyFont="1" applyFill="1" applyBorder="1" applyAlignment="1">
      <alignment horizontal="center"/>
    </xf>
    <xf numFmtId="0" fontId="85" fillId="3" borderId="6" xfId="0" quotePrefix="1" applyFont="1" applyFill="1" applyBorder="1" applyAlignment="1">
      <alignment horizontal="center" vertical="center" wrapText="1"/>
    </xf>
    <xf numFmtId="0" fontId="85" fillId="3" borderId="6" xfId="0" applyFont="1" applyFill="1" applyBorder="1" applyAlignment="1">
      <alignment horizontal="center" vertical="center" wrapText="1"/>
    </xf>
    <xf numFmtId="0" fontId="111" fillId="3" borderId="6" xfId="0" applyFont="1" applyFill="1" applyBorder="1"/>
    <xf numFmtId="0" fontId="111" fillId="3" borderId="6" xfId="0" applyFont="1" applyFill="1" applyBorder="1" applyAlignment="1">
      <alignment horizontal="center"/>
    </xf>
    <xf numFmtId="164" fontId="85" fillId="3" borderId="6" xfId="0" applyNumberFormat="1" applyFont="1" applyFill="1" applyBorder="1" applyAlignment="1">
      <alignment horizontal="center"/>
    </xf>
    <xf numFmtId="2" fontId="112" fillId="3" borderId="6" xfId="0" applyNumberFormat="1" applyFont="1" applyFill="1" applyBorder="1" applyAlignment="1">
      <alignment horizontal="center"/>
    </xf>
    <xf numFmtId="164" fontId="112" fillId="3" borderId="6" xfId="0" applyNumberFormat="1" applyFont="1" applyFill="1" applyBorder="1" applyAlignment="1">
      <alignment horizontal="center"/>
    </xf>
    <xf numFmtId="0" fontId="112" fillId="3" borderId="6" xfId="0" applyFont="1" applyFill="1" applyBorder="1" applyAlignment="1">
      <alignment horizontal="center"/>
    </xf>
    <xf numFmtId="0" fontId="111" fillId="3" borderId="32" xfId="0" applyFont="1" applyFill="1" applyBorder="1"/>
    <xf numFmtId="0" fontId="114" fillId="3" borderId="12" xfId="0" applyFont="1" applyFill="1" applyBorder="1" applyAlignment="1">
      <alignment horizontal="center"/>
    </xf>
    <xf numFmtId="0" fontId="114" fillId="3" borderId="4" xfId="0" applyFont="1" applyFill="1" applyBorder="1" applyAlignment="1">
      <alignment horizontal="center"/>
    </xf>
    <xf numFmtId="0" fontId="114" fillId="3" borderId="4" xfId="0" applyFont="1" applyFill="1" applyBorder="1"/>
    <xf numFmtId="0" fontId="115" fillId="3" borderId="4" xfId="0" applyFont="1" applyFill="1" applyBorder="1" applyAlignment="1"/>
    <xf numFmtId="0" fontId="115" fillId="3" borderId="11" xfId="0" applyFont="1" applyFill="1" applyBorder="1" applyAlignment="1"/>
    <xf numFmtId="0" fontId="114" fillId="3" borderId="0" xfId="0" applyFont="1" applyFill="1"/>
    <xf numFmtId="0" fontId="114" fillId="3" borderId="0" xfId="0" applyFont="1" applyFill="1" applyAlignment="1">
      <alignment horizontal="center"/>
    </xf>
    <xf numFmtId="0" fontId="111" fillId="3" borderId="0" xfId="0" applyFont="1" applyFill="1" applyAlignment="1"/>
    <xf numFmtId="0" fontId="115" fillId="3" borderId="0" xfId="0" applyFont="1" applyFill="1" applyAlignment="1">
      <alignment horizontal="center"/>
    </xf>
    <xf numFmtId="0" fontId="116" fillId="3" borderId="0" xfId="0" applyFont="1" applyFill="1" applyAlignment="1">
      <alignment horizontal="center"/>
    </xf>
    <xf numFmtId="0" fontId="111" fillId="3" borderId="0" xfId="0" applyFont="1" applyFill="1"/>
    <xf numFmtId="0" fontId="111" fillId="3" borderId="0" xfId="0" applyFont="1" applyFill="1" applyAlignment="1">
      <alignment horizontal="center"/>
    </xf>
    <xf numFmtId="0" fontId="116" fillId="3" borderId="0" xfId="0" applyFont="1" applyFill="1" applyAlignment="1">
      <alignment horizontal="center"/>
    </xf>
    <xf numFmtId="2" fontId="114" fillId="3" borderId="0" xfId="0" applyNumberFormat="1" applyFont="1" applyFill="1" applyAlignment="1">
      <alignment horizontal="center"/>
    </xf>
    <xf numFmtId="0" fontId="76" fillId="3" borderId="3" xfId="0" applyFont="1" applyFill="1" applyBorder="1"/>
    <xf numFmtId="164" fontId="77" fillId="3" borderId="3" xfId="0" applyNumberFormat="1" applyFont="1" applyFill="1" applyBorder="1" applyAlignment="1">
      <alignment horizontal="center"/>
    </xf>
    <xf numFmtId="0" fontId="76" fillId="0" borderId="30" xfId="0" applyFont="1" applyBorder="1"/>
    <xf numFmtId="0" fontId="76" fillId="0" borderId="32" xfId="0" applyFont="1" applyBorder="1"/>
    <xf numFmtId="0" fontId="85" fillId="3" borderId="8" xfId="0" quotePrefix="1" applyFont="1" applyFill="1" applyBorder="1" applyAlignment="1">
      <alignment horizontal="center" vertical="center" wrapText="1"/>
    </xf>
    <xf numFmtId="2" fontId="112" fillId="3" borderId="3" xfId="0" applyNumberFormat="1" applyFont="1" applyFill="1" applyBorder="1" applyAlignment="1">
      <alignment horizontal="center"/>
    </xf>
    <xf numFmtId="0" fontId="113" fillId="3" borderId="12" xfId="0" applyFont="1" applyFill="1" applyBorder="1" applyAlignment="1">
      <alignment horizontal="center"/>
    </xf>
    <xf numFmtId="0" fontId="113" fillId="3" borderId="4" xfId="0" applyFont="1" applyFill="1" applyBorder="1" applyAlignment="1">
      <alignment horizontal="center"/>
    </xf>
    <xf numFmtId="0" fontId="113" fillId="3" borderId="4" xfId="0" applyFont="1" applyFill="1" applyBorder="1"/>
    <xf numFmtId="164" fontId="113" fillId="3" borderId="4" xfId="0" applyNumberFormat="1" applyFont="1" applyFill="1" applyBorder="1" applyAlignment="1">
      <alignment horizontal="center"/>
    </xf>
    <xf numFmtId="2" fontId="117" fillId="3" borderId="4" xfId="0" applyNumberFormat="1" applyFont="1" applyFill="1" applyBorder="1" applyAlignment="1">
      <alignment horizontal="center"/>
    </xf>
    <xf numFmtId="0" fontId="117" fillId="3" borderId="4" xfId="0" applyFont="1" applyFill="1" applyBorder="1" applyAlignment="1">
      <alignment horizontal="center"/>
    </xf>
    <xf numFmtId="0" fontId="113" fillId="3" borderId="11" xfId="0" applyFont="1" applyFill="1" applyBorder="1"/>
    <xf numFmtId="0" fontId="79" fillId="0" borderId="0" xfId="0" applyFont="1" applyFill="1" applyAlignment="1">
      <alignment horizontal="center"/>
    </xf>
    <xf numFmtId="0" fontId="87" fillId="0" borderId="0" xfId="0" applyFont="1" applyFill="1" applyAlignment="1">
      <alignment horizontal="center"/>
    </xf>
    <xf numFmtId="0" fontId="79" fillId="3" borderId="109" xfId="0" applyFont="1" applyFill="1" applyBorder="1" applyAlignment="1">
      <alignment horizontal="center" textRotation="90"/>
    </xf>
    <xf numFmtId="0" fontId="79" fillId="3" borderId="5" xfId="0" applyFont="1" applyFill="1" applyBorder="1" applyAlignment="1">
      <alignment horizontal="center" textRotation="90"/>
    </xf>
    <xf numFmtId="0" fontId="10" fillId="3" borderId="109" xfId="0" applyFont="1" applyFill="1" applyBorder="1" applyAlignment="1">
      <alignment horizontal="center" textRotation="90"/>
    </xf>
    <xf numFmtId="0" fontId="10" fillId="3" borderId="5" xfId="0" applyFont="1" applyFill="1" applyBorder="1" applyAlignment="1">
      <alignment horizontal="center" textRotation="90"/>
    </xf>
    <xf numFmtId="0" fontId="79" fillId="0" borderId="0" xfId="0" applyFont="1" applyFill="1" applyAlignment="1">
      <alignment horizontal="left"/>
    </xf>
    <xf numFmtId="0" fontId="79" fillId="3" borderId="108" xfId="0" applyFont="1" applyFill="1" applyBorder="1" applyAlignment="1">
      <alignment horizontal="center" vertical="center"/>
    </xf>
    <xf numFmtId="0" fontId="79" fillId="3" borderId="58" xfId="0" applyFont="1" applyFill="1" applyBorder="1" applyAlignment="1">
      <alignment horizontal="center" vertical="center"/>
    </xf>
    <xf numFmtId="0" fontId="79" fillId="3" borderId="56" xfId="0" applyFont="1" applyFill="1" applyBorder="1" applyAlignment="1">
      <alignment horizontal="center" vertical="center"/>
    </xf>
    <xf numFmtId="0" fontId="79" fillId="3" borderId="112" xfId="0" applyFont="1" applyFill="1" applyBorder="1" applyAlignment="1">
      <alignment horizontal="center" vertical="center" wrapText="1"/>
    </xf>
    <xf numFmtId="0" fontId="79" fillId="3" borderId="113" xfId="0" applyFont="1" applyFill="1" applyBorder="1" applyAlignment="1">
      <alignment horizontal="center" vertical="center" wrapText="1"/>
    </xf>
    <xf numFmtId="0" fontId="79" fillId="3" borderId="109" xfId="0" applyFont="1" applyFill="1" applyBorder="1" applyAlignment="1">
      <alignment horizontal="center" vertical="center" wrapText="1"/>
    </xf>
    <xf numFmtId="0" fontId="79" fillId="3" borderId="5" xfId="0" applyFont="1" applyFill="1" applyBorder="1" applyAlignment="1">
      <alignment horizontal="center" vertical="center" wrapText="1"/>
    </xf>
    <xf numFmtId="0" fontId="79" fillId="3" borderId="111" xfId="0" applyFont="1" applyFill="1" applyBorder="1" applyAlignment="1">
      <alignment horizontal="center" vertical="center" wrapText="1"/>
    </xf>
    <xf numFmtId="0" fontId="79" fillId="3" borderId="110" xfId="0" applyFont="1" applyFill="1" applyBorder="1" applyAlignment="1">
      <alignment horizontal="center" vertical="center" wrapText="1"/>
    </xf>
    <xf numFmtId="0" fontId="79" fillId="3" borderId="13" xfId="0" applyFont="1" applyFill="1" applyBorder="1" applyAlignment="1">
      <alignment horizontal="center" vertical="center" wrapText="1"/>
    </xf>
    <xf numFmtId="0" fontId="79" fillId="3" borderId="27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9" fillId="3" borderId="22" xfId="0" applyFont="1" applyFill="1" applyBorder="1" applyAlignment="1">
      <alignment horizontal="center" vertical="center" wrapText="1"/>
    </xf>
    <xf numFmtId="0" fontId="79" fillId="3" borderId="47" xfId="0" applyFont="1" applyFill="1" applyBorder="1" applyAlignment="1">
      <alignment horizontal="center" vertical="center" wrapText="1"/>
    </xf>
    <xf numFmtId="2" fontId="79" fillId="3" borderId="109" xfId="0" applyNumberFormat="1" applyFont="1" applyFill="1" applyBorder="1" applyAlignment="1">
      <alignment horizontal="center" textRotation="90" wrapText="1"/>
    </xf>
    <xf numFmtId="2" fontId="79" fillId="3" borderId="5" xfId="0" applyNumberFormat="1" applyFont="1" applyFill="1" applyBorder="1" applyAlignment="1">
      <alignment horizontal="center" textRotation="90" wrapText="1"/>
    </xf>
    <xf numFmtId="0" fontId="79" fillId="3" borderId="0" xfId="0" applyFont="1" applyFill="1" applyAlignment="1">
      <alignment horizontal="center"/>
    </xf>
    <xf numFmtId="0" fontId="91" fillId="3" borderId="0" xfId="0" applyFont="1" applyFill="1" applyAlignment="1">
      <alignment horizontal="center"/>
    </xf>
    <xf numFmtId="0" fontId="79" fillId="3" borderId="23" xfId="0" applyFont="1" applyFill="1" applyBorder="1" applyAlignment="1">
      <alignment horizontal="center" textRotation="90"/>
    </xf>
    <xf numFmtId="2" fontId="79" fillId="3" borderId="23" xfId="0" applyNumberFormat="1" applyFont="1" applyFill="1" applyBorder="1" applyAlignment="1">
      <alignment horizontal="center" textRotation="90" wrapText="1"/>
    </xf>
    <xf numFmtId="0" fontId="84" fillId="3" borderId="0" xfId="0" applyFont="1" applyFill="1" applyAlignment="1">
      <alignment horizontal="center"/>
    </xf>
    <xf numFmtId="0" fontId="87" fillId="3" borderId="0" xfId="0" applyFont="1" applyFill="1" applyAlignment="1">
      <alignment horizontal="center"/>
    </xf>
    <xf numFmtId="0" fontId="79" fillId="3" borderId="1" xfId="0" applyFont="1" applyFill="1" applyBorder="1" applyAlignment="1">
      <alignment horizontal="center" textRotation="90"/>
    </xf>
    <xf numFmtId="0" fontId="79" fillId="0" borderId="109" xfId="0" applyFont="1" applyFill="1" applyBorder="1" applyAlignment="1">
      <alignment horizontal="center" textRotation="90"/>
    </xf>
    <xf numFmtId="0" fontId="79" fillId="0" borderId="23" xfId="0" applyFont="1" applyFill="1" applyBorder="1" applyAlignment="1">
      <alignment horizontal="center" textRotation="90"/>
    </xf>
    <xf numFmtId="0" fontId="79" fillId="0" borderId="22" xfId="0" applyFont="1" applyFill="1" applyBorder="1" applyAlignment="1">
      <alignment horizontal="center" vertical="center" wrapText="1"/>
    </xf>
    <xf numFmtId="0" fontId="79" fillId="0" borderId="47" xfId="0" applyFont="1" applyFill="1" applyBorder="1" applyAlignment="1">
      <alignment horizontal="center" vertical="center" wrapText="1"/>
    </xf>
    <xf numFmtId="0" fontId="79" fillId="2" borderId="0" xfId="0" applyFont="1" applyFill="1" applyAlignment="1">
      <alignment horizontal="center"/>
    </xf>
    <xf numFmtId="0" fontId="79" fillId="2" borderId="109" xfId="0" applyFont="1" applyFill="1" applyBorder="1" applyAlignment="1">
      <alignment horizontal="center" textRotation="90"/>
    </xf>
    <xf numFmtId="0" fontId="79" fillId="2" borderId="23" xfId="0" applyFont="1" applyFill="1" applyBorder="1" applyAlignment="1">
      <alignment horizontal="center" textRotation="90"/>
    </xf>
    <xf numFmtId="0" fontId="79" fillId="0" borderId="111" xfId="0" applyFont="1" applyFill="1" applyBorder="1" applyAlignment="1">
      <alignment horizontal="center" textRotation="90"/>
    </xf>
    <xf numFmtId="0" fontId="79" fillId="0" borderId="1" xfId="0" applyFont="1" applyFill="1" applyBorder="1" applyAlignment="1">
      <alignment horizontal="center" textRotation="90"/>
    </xf>
    <xf numFmtId="0" fontId="79" fillId="0" borderId="112" xfId="0" applyFont="1" applyFill="1" applyBorder="1" applyAlignment="1">
      <alignment horizontal="center" vertical="center" wrapText="1"/>
    </xf>
    <xf numFmtId="0" fontId="79" fillId="0" borderId="113" xfId="0" applyFont="1" applyFill="1" applyBorder="1" applyAlignment="1">
      <alignment horizontal="center" vertical="center" wrapText="1"/>
    </xf>
    <xf numFmtId="0" fontId="79" fillId="0" borderId="108" xfId="0" applyFont="1" applyFill="1" applyBorder="1" applyAlignment="1">
      <alignment horizontal="center" vertical="center"/>
    </xf>
    <xf numFmtId="0" fontId="79" fillId="0" borderId="58" xfId="0" applyFont="1" applyFill="1" applyBorder="1" applyAlignment="1">
      <alignment horizontal="center" vertical="center"/>
    </xf>
    <xf numFmtId="0" fontId="79" fillId="0" borderId="56" xfId="0" applyFont="1" applyFill="1" applyBorder="1" applyAlignment="1">
      <alignment horizontal="center" vertical="center"/>
    </xf>
    <xf numFmtId="2" fontId="79" fillId="2" borderId="109" xfId="0" applyNumberFormat="1" applyFont="1" applyFill="1" applyBorder="1" applyAlignment="1">
      <alignment horizontal="center" textRotation="90" wrapText="1"/>
    </xf>
    <xf numFmtId="2" fontId="79" fillId="2" borderId="23" xfId="0" applyNumberFormat="1" applyFont="1" applyFill="1" applyBorder="1" applyAlignment="1">
      <alignment horizontal="center" textRotation="90" wrapText="1"/>
    </xf>
    <xf numFmtId="0" fontId="79" fillId="3" borderId="0" xfId="0" applyFont="1" applyFill="1" applyAlignment="1">
      <alignment horizontal="left"/>
    </xf>
    <xf numFmtId="0" fontId="84" fillId="3" borderId="108" xfId="0" applyFont="1" applyFill="1" applyBorder="1" applyAlignment="1">
      <alignment horizontal="center" vertical="center"/>
    </xf>
    <xf numFmtId="0" fontId="84" fillId="3" borderId="58" xfId="0" applyFont="1" applyFill="1" applyBorder="1" applyAlignment="1">
      <alignment horizontal="center" vertical="center"/>
    </xf>
    <xf numFmtId="0" fontId="84" fillId="3" borderId="56" xfId="0" applyFont="1" applyFill="1" applyBorder="1" applyAlignment="1">
      <alignment horizontal="center" vertical="center"/>
    </xf>
    <xf numFmtId="0" fontId="115" fillId="3" borderId="0" xfId="0" applyFont="1" applyFill="1" applyAlignment="1">
      <alignment horizontal="center"/>
    </xf>
    <xf numFmtId="0" fontId="116" fillId="3" borderId="0" xfId="0" applyFont="1" applyFill="1" applyAlignment="1">
      <alignment horizontal="center"/>
    </xf>
    <xf numFmtId="164" fontId="75" fillId="3" borderId="75" xfId="0" applyNumberFormat="1" applyFont="1" applyFill="1" applyBorder="1" applyAlignment="1">
      <alignment horizontal="center"/>
    </xf>
    <xf numFmtId="164" fontId="75" fillId="3" borderId="81" xfId="0" applyNumberFormat="1" applyFont="1" applyFill="1" applyBorder="1" applyAlignment="1">
      <alignment horizontal="center"/>
    </xf>
    <xf numFmtId="164" fontId="75" fillId="3" borderId="31" xfId="0" applyNumberFormat="1" applyFont="1" applyFill="1" applyBorder="1" applyAlignment="1">
      <alignment horizontal="center"/>
    </xf>
    <xf numFmtId="0" fontId="83" fillId="0" borderId="108" xfId="0" applyFont="1" applyFill="1" applyBorder="1" applyAlignment="1">
      <alignment horizontal="center" vertical="center"/>
    </xf>
    <xf numFmtId="0" fontId="83" fillId="0" borderId="58" xfId="0" applyFont="1" applyFill="1" applyBorder="1" applyAlignment="1">
      <alignment horizontal="center" vertical="center"/>
    </xf>
    <xf numFmtId="0" fontId="83" fillId="0" borderId="56" xfId="0" applyFont="1" applyFill="1" applyBorder="1" applyAlignment="1">
      <alignment horizontal="center" vertical="center"/>
    </xf>
    <xf numFmtId="0" fontId="79" fillId="3" borderId="117" xfId="0" applyFont="1" applyFill="1" applyBorder="1" applyAlignment="1">
      <alignment horizontal="center" vertical="center" wrapText="1"/>
    </xf>
    <xf numFmtId="0" fontId="79" fillId="3" borderId="111" xfId="0" applyFont="1" applyFill="1" applyBorder="1" applyAlignment="1">
      <alignment horizontal="center" vertical="center"/>
    </xf>
    <xf numFmtId="0" fontId="79" fillId="3" borderId="55" xfId="0" applyFont="1" applyFill="1" applyBorder="1" applyAlignment="1">
      <alignment horizontal="center" vertical="center"/>
    </xf>
    <xf numFmtId="0" fontId="79" fillId="3" borderId="110" xfId="0" applyFont="1" applyFill="1" applyBorder="1" applyAlignment="1">
      <alignment horizontal="center" vertical="center"/>
    </xf>
    <xf numFmtId="0" fontId="79" fillId="2" borderId="108" xfId="0" applyFont="1" applyFill="1" applyBorder="1" applyAlignment="1">
      <alignment horizontal="center" vertical="center"/>
    </xf>
    <xf numFmtId="0" fontId="79" fillId="2" borderId="58" xfId="0" applyFont="1" applyFill="1" applyBorder="1" applyAlignment="1">
      <alignment horizontal="center" vertical="center"/>
    </xf>
    <xf numFmtId="0" fontId="79" fillId="2" borderId="56" xfId="0" applyFont="1" applyFill="1" applyBorder="1" applyAlignment="1">
      <alignment horizontal="center" vertical="center"/>
    </xf>
    <xf numFmtId="0" fontId="79" fillId="2" borderId="112" xfId="0" applyFont="1" applyFill="1" applyBorder="1" applyAlignment="1">
      <alignment horizontal="center" vertical="center" wrapText="1"/>
    </xf>
    <xf numFmtId="0" fontId="79" fillId="2" borderId="113" xfId="0" applyFont="1" applyFill="1" applyBorder="1" applyAlignment="1">
      <alignment horizontal="center" vertical="center" wrapText="1"/>
    </xf>
    <xf numFmtId="0" fontId="104" fillId="0" borderId="66" xfId="0" applyFont="1" applyFill="1" applyBorder="1" applyAlignment="1">
      <alignment horizontal="center" vertical="center"/>
    </xf>
    <xf numFmtId="0" fontId="104" fillId="0" borderId="43" xfId="0" applyFont="1" applyFill="1" applyBorder="1" applyAlignment="1">
      <alignment horizontal="center" vertical="center"/>
    </xf>
    <xf numFmtId="0" fontId="84" fillId="0" borderId="118" xfId="0" applyFont="1" applyFill="1" applyBorder="1" applyAlignment="1">
      <alignment horizontal="center"/>
    </xf>
    <xf numFmtId="0" fontId="84" fillId="0" borderId="60" xfId="0" applyFont="1" applyFill="1" applyBorder="1" applyAlignment="1">
      <alignment horizontal="center"/>
    </xf>
    <xf numFmtId="0" fontId="98" fillId="0" borderId="120" xfId="0" applyFont="1" applyFill="1" applyBorder="1" applyAlignment="1">
      <alignment horizontal="center" vertical="center"/>
    </xf>
    <xf numFmtId="0" fontId="98" fillId="0" borderId="113" xfId="0" applyFont="1" applyFill="1" applyBorder="1" applyAlignment="1">
      <alignment horizontal="center" vertical="center"/>
    </xf>
    <xf numFmtId="0" fontId="98" fillId="0" borderId="117" xfId="0" applyFont="1" applyFill="1" applyBorder="1" applyAlignment="1">
      <alignment horizontal="center" vertical="center"/>
    </xf>
    <xf numFmtId="0" fontId="106" fillId="0" borderId="124" xfId="0" applyFont="1" applyFill="1" applyBorder="1" applyAlignment="1">
      <alignment horizontal="center" vertical="center"/>
    </xf>
    <xf numFmtId="0" fontId="106" fillId="0" borderId="14" xfId="0" applyFont="1" applyFill="1" applyBorder="1" applyAlignment="1">
      <alignment horizontal="center" vertical="center"/>
    </xf>
    <xf numFmtId="0" fontId="98" fillId="0" borderId="16" xfId="0" applyFont="1" applyFill="1" applyBorder="1" applyAlignment="1">
      <alignment horizontal="center" vertical="center"/>
    </xf>
    <xf numFmtId="0" fontId="98" fillId="0" borderId="121" xfId="0" applyFont="1" applyFill="1" applyBorder="1" applyAlignment="1">
      <alignment horizontal="center" vertical="center"/>
    </xf>
    <xf numFmtId="0" fontId="104" fillId="0" borderId="122" xfId="0" applyFont="1" applyFill="1" applyBorder="1" applyAlignment="1">
      <alignment horizontal="center" vertical="center"/>
    </xf>
    <xf numFmtId="0" fontId="104" fillId="0" borderId="61" xfId="0" applyFont="1" applyFill="1" applyBorder="1" applyAlignment="1">
      <alignment horizontal="center" vertical="center"/>
    </xf>
    <xf numFmtId="0" fontId="98" fillId="0" borderId="123" xfId="0" applyFont="1" applyFill="1" applyBorder="1" applyAlignment="1">
      <alignment horizontal="center" vertical="center"/>
    </xf>
    <xf numFmtId="0" fontId="84" fillId="0" borderId="108" xfId="0" applyFont="1" applyFill="1" applyBorder="1" applyAlignment="1">
      <alignment horizontal="center" vertical="center"/>
    </xf>
    <xf numFmtId="0" fontId="84" fillId="0" borderId="58" xfId="0" applyFont="1" applyFill="1" applyBorder="1" applyAlignment="1">
      <alignment horizontal="center" vertical="center"/>
    </xf>
    <xf numFmtId="0" fontId="84" fillId="0" borderId="119" xfId="0" applyFont="1" applyFill="1" applyBorder="1" applyAlignment="1">
      <alignment horizontal="center" vertical="center"/>
    </xf>
    <xf numFmtId="0" fontId="84" fillId="0" borderId="56" xfId="0" applyFont="1" applyFill="1" applyBorder="1" applyAlignment="1">
      <alignment horizontal="center" vertical="center"/>
    </xf>
    <xf numFmtId="0" fontId="77" fillId="0" borderId="5" xfId="0" applyFont="1" applyFill="1" applyBorder="1" applyAlignment="1">
      <alignment horizontal="center" vertical="center"/>
    </xf>
    <xf numFmtId="0" fontId="77" fillId="0" borderId="60" xfId="0" applyFont="1" applyFill="1" applyBorder="1" applyAlignment="1">
      <alignment horizontal="center" vertical="center"/>
    </xf>
    <xf numFmtId="0" fontId="77" fillId="0" borderId="14" xfId="0" applyFont="1" applyFill="1" applyBorder="1" applyAlignment="1">
      <alignment horizontal="center" vertical="center"/>
    </xf>
    <xf numFmtId="0" fontId="97" fillId="0" borderId="0" xfId="0" applyFont="1" applyAlignment="1">
      <alignment horizontal="center"/>
    </xf>
    <xf numFmtId="0" fontId="84" fillId="0" borderId="112" xfId="0" applyFont="1" applyBorder="1" applyAlignment="1">
      <alignment horizontal="center" vertical="center"/>
    </xf>
    <xf numFmtId="0" fontId="84" fillId="0" borderId="113" xfId="0" applyFont="1" applyBorder="1" applyAlignment="1">
      <alignment horizontal="center" vertical="center"/>
    </xf>
    <xf numFmtId="0" fontId="84" fillId="0" borderId="117" xfId="0" applyFont="1" applyBorder="1" applyAlignment="1">
      <alignment horizontal="center" vertical="center"/>
    </xf>
    <xf numFmtId="0" fontId="84" fillId="0" borderId="109" xfId="0" applyFont="1" applyBorder="1" applyAlignment="1">
      <alignment horizontal="center" vertical="center"/>
    </xf>
    <xf numFmtId="0" fontId="84" fillId="0" borderId="23" xfId="0" applyFont="1" applyBorder="1" applyAlignment="1">
      <alignment horizontal="center" vertical="center"/>
    </xf>
    <xf numFmtId="0" fontId="84" fillId="0" borderId="5" xfId="0" applyFont="1" applyBorder="1" applyAlignment="1">
      <alignment horizontal="center" vertical="center"/>
    </xf>
    <xf numFmtId="0" fontId="84" fillId="0" borderId="115" xfId="0" applyFont="1" applyBorder="1" applyAlignment="1">
      <alignment horizontal="center" vertical="center"/>
    </xf>
    <xf numFmtId="0" fontId="91" fillId="0" borderId="0" xfId="0" applyFont="1" applyAlignment="1">
      <alignment horizontal="center"/>
    </xf>
    <xf numFmtId="0" fontId="3" fillId="0" borderId="1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0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4" fillId="0" borderId="112" xfId="0" applyFont="1" applyBorder="1" applyAlignment="1">
      <alignment horizontal="center" vertical="center"/>
    </xf>
    <xf numFmtId="0" fontId="25" fillId="0" borderId="113" xfId="0" applyFont="1" applyBorder="1" applyAlignment="1">
      <alignment horizontal="center" vertical="center"/>
    </xf>
    <xf numFmtId="0" fontId="25" fillId="0" borderId="117" xfId="0" applyFont="1" applyBorder="1" applyAlignment="1">
      <alignment horizontal="center" vertical="center"/>
    </xf>
    <xf numFmtId="0" fontId="24" fillId="0" borderId="109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115" xfId="0" applyFont="1" applyBorder="1" applyAlignment="1">
      <alignment horizontal="center" vertical="center"/>
    </xf>
    <xf numFmtId="0" fontId="24" fillId="0" borderId="108" xfId="0" applyFont="1" applyFill="1" applyBorder="1" applyAlignment="1">
      <alignment horizontal="center" vertical="center"/>
    </xf>
    <xf numFmtId="0" fontId="24" fillId="0" borderId="58" xfId="0" applyFont="1" applyFill="1" applyBorder="1" applyAlignment="1">
      <alignment horizontal="center" vertical="center"/>
    </xf>
    <xf numFmtId="0" fontId="24" fillId="0" borderId="119" xfId="0" applyFont="1" applyFill="1" applyBorder="1" applyAlignment="1">
      <alignment horizontal="center" vertical="center"/>
    </xf>
    <xf numFmtId="0" fontId="24" fillId="0" borderId="56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37" fillId="0" borderId="118" xfId="0" applyFont="1" applyFill="1" applyBorder="1" applyAlignment="1">
      <alignment horizontal="center"/>
    </xf>
    <xf numFmtId="0" fontId="37" fillId="0" borderId="60" xfId="0" applyFont="1" applyFill="1" applyBorder="1" applyAlignment="1">
      <alignment horizontal="center"/>
    </xf>
    <xf numFmtId="0" fontId="69" fillId="0" borderId="0" xfId="0" applyFont="1" applyAlignment="1">
      <alignment horizontal="center"/>
    </xf>
    <xf numFmtId="0" fontId="70" fillId="0" borderId="0" xfId="0" applyFont="1" applyAlignment="1">
      <alignment horizontal="center"/>
    </xf>
    <xf numFmtId="0" fontId="6" fillId="0" borderId="112" xfId="0" applyFont="1" applyBorder="1" applyAlignment="1">
      <alignment horizontal="center" vertical="center"/>
    </xf>
    <xf numFmtId="0" fontId="10" fillId="0" borderId="113" xfId="0" applyFont="1" applyBorder="1" applyAlignment="1">
      <alignment horizontal="center" vertical="center"/>
    </xf>
    <xf numFmtId="0" fontId="10" fillId="0" borderId="117" xfId="0" applyFont="1" applyBorder="1" applyAlignment="1">
      <alignment horizontal="center" vertical="center"/>
    </xf>
    <xf numFmtId="0" fontId="6" fillId="0" borderId="109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5" xfId="0" applyFont="1" applyBorder="1" applyAlignment="1">
      <alignment horizontal="center" vertical="center"/>
    </xf>
    <xf numFmtId="0" fontId="6" fillId="0" borderId="108" xfId="0" applyFont="1" applyFill="1" applyBorder="1" applyAlignment="1">
      <alignment horizontal="center" vertical="center"/>
    </xf>
    <xf numFmtId="0" fontId="6" fillId="0" borderId="58" xfId="0" applyFont="1" applyFill="1" applyBorder="1" applyAlignment="1">
      <alignment horizontal="center" vertical="center"/>
    </xf>
    <xf numFmtId="0" fontId="6" fillId="0" borderId="119" xfId="0" applyFont="1" applyFill="1" applyBorder="1" applyAlignment="1">
      <alignment horizontal="center" vertical="center"/>
    </xf>
    <xf numFmtId="0" fontId="6" fillId="0" borderId="5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62" fillId="0" borderId="120" xfId="0" applyFont="1" applyFill="1" applyBorder="1" applyAlignment="1">
      <alignment horizontal="center" vertical="center"/>
    </xf>
    <xf numFmtId="0" fontId="62" fillId="0" borderId="113" xfId="0" applyFont="1" applyFill="1" applyBorder="1" applyAlignment="1">
      <alignment horizontal="center" vertical="center"/>
    </xf>
    <xf numFmtId="0" fontId="62" fillId="0" borderId="117" xfId="0" applyFont="1" applyFill="1" applyBorder="1" applyAlignment="1">
      <alignment horizontal="center" vertical="center"/>
    </xf>
    <xf numFmtId="0" fontId="30" fillId="0" borderId="122" xfId="0" applyFont="1" applyFill="1" applyBorder="1" applyAlignment="1">
      <alignment horizontal="center" vertical="center"/>
    </xf>
    <xf numFmtId="0" fontId="30" fillId="0" borderId="61" xfId="0" applyFont="1" applyFill="1" applyBorder="1" applyAlignment="1">
      <alignment horizontal="center" vertical="center"/>
    </xf>
    <xf numFmtId="0" fontId="4" fillId="0" borderId="60" xfId="0" applyFont="1" applyFill="1" applyBorder="1" applyAlignment="1">
      <alignment horizontal="center" vertical="center"/>
    </xf>
    <xf numFmtId="0" fontId="48" fillId="0" borderId="14" xfId="0" applyFont="1" applyFill="1" applyBorder="1" applyAlignment="1">
      <alignment horizontal="center" vertical="center"/>
    </xf>
    <xf numFmtId="0" fontId="37" fillId="0" borderId="109" xfId="0" applyFont="1" applyBorder="1" applyAlignment="1">
      <alignment horizontal="center" vertical="center"/>
    </xf>
    <xf numFmtId="0" fontId="60" fillId="0" borderId="23" xfId="0" applyFont="1" applyBorder="1" applyAlignment="1">
      <alignment horizontal="center" vertical="center"/>
    </xf>
    <xf numFmtId="0" fontId="60" fillId="0" borderId="5" xfId="0" applyFont="1" applyBorder="1" applyAlignment="1">
      <alignment horizontal="center" vertical="center"/>
    </xf>
    <xf numFmtId="0" fontId="37" fillId="0" borderId="115" xfId="0" applyFont="1" applyBorder="1" applyAlignment="1">
      <alignment horizontal="center" vertical="center"/>
    </xf>
    <xf numFmtId="0" fontId="37" fillId="0" borderId="108" xfId="0" applyFont="1" applyFill="1" applyBorder="1" applyAlignment="1">
      <alignment horizontal="center" vertical="center"/>
    </xf>
    <xf numFmtId="0" fontId="37" fillId="0" borderId="58" xfId="0" applyFont="1" applyFill="1" applyBorder="1" applyAlignment="1">
      <alignment horizontal="center" vertical="center"/>
    </xf>
    <xf numFmtId="0" fontId="37" fillId="0" borderId="119" xfId="0" applyFont="1" applyFill="1" applyBorder="1" applyAlignment="1">
      <alignment horizontal="center" vertical="center"/>
    </xf>
    <xf numFmtId="0" fontId="37" fillId="0" borderId="56" xfId="0" applyFont="1" applyFill="1" applyBorder="1" applyAlignment="1">
      <alignment horizontal="center" vertical="center"/>
    </xf>
    <xf numFmtId="0" fontId="48" fillId="0" borderId="5" xfId="0" applyFont="1" applyFill="1" applyBorder="1" applyAlignment="1">
      <alignment horizontal="center" vertical="center"/>
    </xf>
    <xf numFmtId="0" fontId="36" fillId="0" borderId="122" xfId="0" applyFont="1" applyFill="1" applyBorder="1" applyAlignment="1">
      <alignment horizontal="center" vertical="center"/>
    </xf>
    <xf numFmtId="0" fontId="36" fillId="0" borderId="61" xfId="0" applyFont="1" applyFill="1" applyBorder="1" applyAlignment="1">
      <alignment horizontal="center" vertical="center"/>
    </xf>
    <xf numFmtId="0" fontId="48" fillId="0" borderId="6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0" fillId="0" borderId="0" xfId="0" applyFont="1" applyFill="1" applyAlignment="1">
      <alignment horizontal="left"/>
    </xf>
    <xf numFmtId="0" fontId="6" fillId="0" borderId="112" xfId="0" applyFont="1" applyFill="1" applyBorder="1" applyAlignment="1">
      <alignment horizontal="center" vertical="center" wrapText="1"/>
    </xf>
    <xf numFmtId="0" fontId="6" fillId="0" borderId="113" xfId="0" applyFont="1" applyFill="1" applyBorder="1" applyAlignment="1">
      <alignment horizontal="center" vertical="center" wrapText="1"/>
    </xf>
    <xf numFmtId="0" fontId="6" fillId="0" borderId="111" xfId="0" applyFont="1" applyFill="1" applyBorder="1" applyAlignment="1">
      <alignment horizontal="center" vertical="center" wrapText="1"/>
    </xf>
    <xf numFmtId="0" fontId="6" fillId="0" borderId="110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6" fillId="0" borderId="109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13" fillId="0" borderId="108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2" fontId="6" fillId="0" borderId="109" xfId="0" applyNumberFormat="1" applyFont="1" applyFill="1" applyBorder="1" applyAlignment="1">
      <alignment horizontal="center" textRotation="90" wrapText="1"/>
    </xf>
    <xf numFmtId="2" fontId="6" fillId="0" borderId="23" xfId="0" applyNumberFormat="1" applyFont="1" applyFill="1" applyBorder="1" applyAlignment="1">
      <alignment horizontal="center" textRotation="90" wrapText="1"/>
    </xf>
    <xf numFmtId="0" fontId="6" fillId="0" borderId="109" xfId="0" applyFont="1" applyFill="1" applyBorder="1" applyAlignment="1">
      <alignment horizontal="center" textRotation="90"/>
    </xf>
    <xf numFmtId="0" fontId="6" fillId="0" borderId="23" xfId="0" applyFont="1" applyFill="1" applyBorder="1" applyAlignment="1">
      <alignment horizontal="center" textRotation="90"/>
    </xf>
    <xf numFmtId="0" fontId="10" fillId="0" borderId="109" xfId="0" applyFont="1" applyFill="1" applyBorder="1" applyAlignment="1">
      <alignment horizontal="center" textRotation="90"/>
    </xf>
    <xf numFmtId="0" fontId="10" fillId="0" borderId="23" xfId="0" applyFont="1" applyFill="1" applyBorder="1" applyAlignment="1">
      <alignment horizontal="center" textRotation="90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6" fillId="2" borderId="109" xfId="0" applyNumberFormat="1" applyFont="1" applyFill="1" applyBorder="1" applyAlignment="1">
      <alignment horizontal="center" textRotation="90" wrapText="1"/>
    </xf>
    <xf numFmtId="2" fontId="6" fillId="2" borderId="9" xfId="0" applyNumberFormat="1" applyFont="1" applyFill="1" applyBorder="1" applyAlignment="1">
      <alignment horizontal="center" textRotation="90" wrapText="1"/>
    </xf>
    <xf numFmtId="0" fontId="6" fillId="0" borderId="13" xfId="0" applyFont="1" applyFill="1" applyBorder="1" applyAlignment="1">
      <alignment horizontal="center" vertical="center"/>
    </xf>
    <xf numFmtId="0" fontId="6" fillId="0" borderId="114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textRotation="90"/>
    </xf>
    <xf numFmtId="0" fontId="6" fillId="2" borderId="23" xfId="0" applyFont="1" applyFill="1" applyBorder="1" applyAlignment="1">
      <alignment horizontal="center" textRotation="90"/>
    </xf>
    <xf numFmtId="0" fontId="6" fillId="2" borderId="5" xfId="0" applyFont="1" applyFill="1" applyBorder="1" applyAlignment="1">
      <alignment horizontal="center" textRotation="90"/>
    </xf>
    <xf numFmtId="0" fontId="10" fillId="0" borderId="1" xfId="0" applyFont="1" applyFill="1" applyBorder="1" applyAlignment="1">
      <alignment horizontal="center" textRotation="90"/>
    </xf>
    <xf numFmtId="0" fontId="10" fillId="0" borderId="13" xfId="0" applyFont="1" applyFill="1" applyBorder="1" applyAlignment="1">
      <alignment horizontal="center" textRotation="90"/>
    </xf>
    <xf numFmtId="0" fontId="10" fillId="0" borderId="47" xfId="0" applyFont="1" applyFill="1" applyBorder="1" applyAlignment="1">
      <alignment horizontal="center" vertical="center" wrapText="1"/>
    </xf>
    <xf numFmtId="0" fontId="38" fillId="0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6" fillId="0" borderId="57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2" borderId="109" xfId="0" applyFont="1" applyFill="1" applyBorder="1" applyAlignment="1">
      <alignment horizontal="center" textRotation="90"/>
    </xf>
    <xf numFmtId="0" fontId="10" fillId="0" borderId="111" xfId="0" applyFont="1" applyFill="1" applyBorder="1" applyAlignment="1">
      <alignment horizontal="center" textRotation="90"/>
    </xf>
    <xf numFmtId="0" fontId="6" fillId="2" borderId="108" xfId="0" applyFont="1" applyFill="1" applyBorder="1" applyAlignment="1">
      <alignment horizontal="center" vertical="center"/>
    </xf>
    <xf numFmtId="0" fontId="6" fillId="2" borderId="58" xfId="0" applyFont="1" applyFill="1" applyBorder="1" applyAlignment="1">
      <alignment horizontal="center" vertical="center"/>
    </xf>
    <xf numFmtId="0" fontId="6" fillId="2" borderId="56" xfId="0" applyFont="1" applyFill="1" applyBorder="1" applyAlignment="1">
      <alignment horizontal="center" vertical="center"/>
    </xf>
    <xf numFmtId="0" fontId="10" fillId="2" borderId="109" xfId="0" applyFont="1" applyFill="1" applyBorder="1" applyAlignment="1">
      <alignment horizontal="center" textRotation="90"/>
    </xf>
    <xf numFmtId="0" fontId="10" fillId="2" borderId="23" xfId="0" applyFont="1" applyFill="1" applyBorder="1" applyAlignment="1">
      <alignment horizontal="center" textRotation="90"/>
    </xf>
    <xf numFmtId="0" fontId="10" fillId="2" borderId="22" xfId="0" applyFont="1" applyFill="1" applyBorder="1" applyAlignment="1">
      <alignment horizontal="center" vertical="center" wrapText="1"/>
    </xf>
    <xf numFmtId="0" fontId="10" fillId="2" borderId="47" xfId="0" applyFont="1" applyFill="1" applyBorder="1" applyAlignment="1">
      <alignment horizontal="center" vertical="center" wrapText="1"/>
    </xf>
    <xf numFmtId="0" fontId="6" fillId="2" borderId="112" xfId="0" applyFont="1" applyFill="1" applyBorder="1" applyAlignment="1">
      <alignment horizontal="center" vertical="center" wrapText="1"/>
    </xf>
    <xf numFmtId="0" fontId="6" fillId="2" borderId="113" xfId="0" applyFont="1" applyFill="1" applyBorder="1" applyAlignment="1">
      <alignment horizontal="center" vertical="center" wrapText="1"/>
    </xf>
    <xf numFmtId="0" fontId="6" fillId="2" borderId="111" xfId="0" applyFont="1" applyFill="1" applyBorder="1" applyAlignment="1">
      <alignment horizontal="center" vertical="center" wrapText="1"/>
    </xf>
    <xf numFmtId="0" fontId="6" fillId="2" borderId="110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109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2" fontId="6" fillId="2" borderId="23" xfId="0" applyNumberFormat="1" applyFont="1" applyFill="1" applyBorder="1" applyAlignment="1">
      <alignment horizontal="center" textRotation="90" wrapText="1"/>
    </xf>
    <xf numFmtId="0" fontId="10" fillId="0" borderId="5" xfId="0" applyFont="1" applyFill="1" applyBorder="1" applyAlignment="1">
      <alignment horizontal="center" textRotation="90"/>
    </xf>
    <xf numFmtId="0" fontId="6" fillId="0" borderId="59" xfId="0" applyFont="1" applyFill="1" applyBorder="1" applyAlignment="1">
      <alignment horizontal="center" vertical="center" wrapText="1"/>
    </xf>
    <xf numFmtId="0" fontId="6" fillId="2" borderId="55" xfId="0" applyFont="1" applyFill="1" applyBorder="1" applyAlignment="1">
      <alignment horizontal="center" vertical="center"/>
    </xf>
    <xf numFmtId="2" fontId="6" fillId="0" borderId="9" xfId="0" applyNumberFormat="1" applyFont="1" applyFill="1" applyBorder="1" applyAlignment="1">
      <alignment horizontal="center" textRotation="90" wrapText="1"/>
    </xf>
    <xf numFmtId="0" fontId="6" fillId="3" borderId="108" xfId="0" applyFont="1" applyFill="1" applyBorder="1" applyAlignment="1">
      <alignment horizontal="center" vertical="center"/>
    </xf>
    <xf numFmtId="0" fontId="6" fillId="3" borderId="58" xfId="0" applyFont="1" applyFill="1" applyBorder="1" applyAlignment="1">
      <alignment horizontal="center" vertical="center"/>
    </xf>
    <xf numFmtId="0" fontId="6" fillId="3" borderId="56" xfId="0" applyFont="1" applyFill="1" applyBorder="1" applyAlignment="1">
      <alignment horizontal="center" vertical="center"/>
    </xf>
    <xf numFmtId="0" fontId="6" fillId="3" borderId="109" xfId="0" applyFont="1" applyFill="1" applyBorder="1" applyAlignment="1">
      <alignment horizontal="center" textRotation="90"/>
    </xf>
    <xf numFmtId="0" fontId="6" fillId="3" borderId="5" xfId="0" applyFont="1" applyFill="1" applyBorder="1" applyAlignment="1">
      <alignment horizontal="center" textRotation="90"/>
    </xf>
    <xf numFmtId="0" fontId="10" fillId="3" borderId="22" xfId="0" applyFont="1" applyFill="1" applyBorder="1" applyAlignment="1">
      <alignment horizontal="center" vertical="center" wrapText="1"/>
    </xf>
    <xf numFmtId="0" fontId="10" fillId="3" borderId="47" xfId="0" applyFont="1" applyFill="1" applyBorder="1" applyAlignment="1">
      <alignment horizontal="center" vertical="center" wrapText="1"/>
    </xf>
    <xf numFmtId="0" fontId="6" fillId="3" borderId="112" xfId="0" applyFont="1" applyFill="1" applyBorder="1" applyAlignment="1">
      <alignment horizontal="center" vertical="center" wrapText="1"/>
    </xf>
    <xf numFmtId="0" fontId="6" fillId="3" borderId="113" xfId="0" applyFont="1" applyFill="1" applyBorder="1" applyAlignment="1">
      <alignment horizontal="center" vertical="center" wrapText="1"/>
    </xf>
    <xf numFmtId="0" fontId="6" fillId="3" borderId="111" xfId="0" applyFont="1" applyFill="1" applyBorder="1" applyAlignment="1">
      <alignment horizontal="center" vertical="center" wrapText="1"/>
    </xf>
    <xf numFmtId="0" fontId="6" fillId="3" borderId="110" xfId="0" applyFont="1" applyFill="1" applyBorder="1" applyAlignment="1">
      <alignment horizontal="center" vertical="center" wrapText="1"/>
    </xf>
    <xf numFmtId="0" fontId="6" fillId="3" borderId="57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109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55" xfId="0" applyFont="1" applyFill="1" applyBorder="1" applyAlignment="1">
      <alignment horizontal="center" vertical="center"/>
    </xf>
    <xf numFmtId="2" fontId="6" fillId="3" borderId="109" xfId="0" applyNumberFormat="1" applyFont="1" applyFill="1" applyBorder="1" applyAlignment="1">
      <alignment horizontal="center" textRotation="90" wrapText="1"/>
    </xf>
    <xf numFmtId="2" fontId="6" fillId="3" borderId="9" xfId="0" applyNumberFormat="1" applyFont="1" applyFill="1" applyBorder="1" applyAlignment="1">
      <alignment horizontal="center" textRotation="90" wrapText="1"/>
    </xf>
    <xf numFmtId="0" fontId="6" fillId="3" borderId="115" xfId="0" applyFont="1" applyFill="1" applyBorder="1" applyAlignment="1">
      <alignment horizontal="center" vertical="center"/>
    </xf>
    <xf numFmtId="0" fontId="6" fillId="3" borderId="115" xfId="0" applyFont="1" applyFill="1" applyBorder="1" applyAlignment="1">
      <alignment horizontal="center" textRotation="90"/>
    </xf>
    <xf numFmtId="0" fontId="6" fillId="3" borderId="3" xfId="0" applyFont="1" applyFill="1" applyBorder="1" applyAlignment="1">
      <alignment horizontal="center" textRotation="90"/>
    </xf>
    <xf numFmtId="0" fontId="6" fillId="3" borderId="14" xfId="0" applyFont="1" applyFill="1" applyBorder="1" applyAlignment="1">
      <alignment horizontal="center" textRotation="90"/>
    </xf>
    <xf numFmtId="0" fontId="10" fillId="3" borderId="115" xfId="0" applyFont="1" applyFill="1" applyBorder="1" applyAlignment="1">
      <alignment horizontal="center" textRotation="90"/>
    </xf>
    <xf numFmtId="0" fontId="10" fillId="3" borderId="14" xfId="0" applyFont="1" applyFill="1" applyBorder="1" applyAlignment="1">
      <alignment horizontal="center" textRotation="90"/>
    </xf>
    <xf numFmtId="0" fontId="10" fillId="3" borderId="116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>
      <alignment horizontal="center" vertical="center" wrapText="1"/>
    </xf>
    <xf numFmtId="0" fontId="6" fillId="3" borderId="115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textRotation="90"/>
    </xf>
    <xf numFmtId="0" fontId="10" fillId="3" borderId="23" xfId="0" applyFont="1" applyFill="1" applyBorder="1" applyAlignment="1">
      <alignment horizontal="center" textRotation="90"/>
    </xf>
    <xf numFmtId="2" fontId="6" fillId="3" borderId="5" xfId="0" applyNumberFormat="1" applyFont="1" applyFill="1" applyBorder="1" applyAlignment="1">
      <alignment horizontal="center" textRotation="90" wrapText="1"/>
    </xf>
    <xf numFmtId="0" fontId="10" fillId="3" borderId="3" xfId="0" applyFont="1" applyFill="1" applyBorder="1" applyAlignment="1">
      <alignment horizontal="center" textRotation="90"/>
    </xf>
    <xf numFmtId="0" fontId="7" fillId="2" borderId="0" xfId="0" applyFont="1" applyFill="1" applyAlignment="1">
      <alignment horizontal="center"/>
    </xf>
    <xf numFmtId="0" fontId="6" fillId="3" borderId="9" xfId="0" applyFont="1" applyFill="1" applyBorder="1" applyAlignment="1">
      <alignment horizontal="center" textRotation="90"/>
    </xf>
    <xf numFmtId="0" fontId="8" fillId="2" borderId="0" xfId="0" applyFont="1" applyFill="1" applyAlignment="1">
      <alignment horizontal="center"/>
    </xf>
    <xf numFmtId="0" fontId="6" fillId="3" borderId="27" xfId="0" applyFont="1" applyFill="1" applyBorder="1" applyAlignment="1">
      <alignment horizontal="center" vertical="center" wrapText="1"/>
    </xf>
    <xf numFmtId="0" fontId="6" fillId="3" borderId="117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11" xfId="0" applyFont="1" applyFill="1" applyBorder="1" applyAlignment="1">
      <alignment horizontal="center" vertical="center"/>
    </xf>
    <xf numFmtId="2" fontId="6" fillId="3" borderId="23" xfId="0" applyNumberFormat="1" applyFont="1" applyFill="1" applyBorder="1" applyAlignment="1">
      <alignment horizontal="center" textRotation="90" wrapText="1"/>
    </xf>
    <xf numFmtId="0" fontId="11" fillId="3" borderId="0" xfId="0" applyFont="1" applyFill="1" applyAlignment="1">
      <alignment horizontal="center"/>
    </xf>
    <xf numFmtId="0" fontId="10" fillId="3" borderId="0" xfId="0" applyFont="1" applyFill="1" applyAlignment="1">
      <alignment horizontal="left"/>
    </xf>
    <xf numFmtId="0" fontId="6" fillId="3" borderId="0" xfId="0" applyFont="1" applyFill="1" applyBorder="1" applyAlignment="1">
      <alignment horizontal="center" vertical="center" wrapText="1"/>
    </xf>
    <xf numFmtId="0" fontId="24" fillId="0" borderId="118" xfId="0" applyFont="1" applyFill="1" applyBorder="1" applyAlignment="1">
      <alignment horizontal="center"/>
    </xf>
    <xf numFmtId="0" fontId="24" fillId="0" borderId="60" xfId="0" applyFont="1" applyFill="1" applyBorder="1" applyAlignment="1">
      <alignment horizontal="center"/>
    </xf>
    <xf numFmtId="0" fontId="36" fillId="0" borderId="124" xfId="0" applyFont="1" applyFill="1" applyBorder="1" applyAlignment="1">
      <alignment horizontal="center" vertical="center"/>
    </xf>
    <xf numFmtId="0" fontId="36" fillId="0" borderId="14" xfId="0" applyFont="1" applyFill="1" applyBorder="1" applyAlignment="1">
      <alignment horizontal="center" vertical="center"/>
    </xf>
    <xf numFmtId="0" fontId="30" fillId="0" borderId="66" xfId="0" applyFont="1" applyFill="1" applyBorder="1" applyAlignment="1">
      <alignment horizontal="center" vertical="center"/>
    </xf>
    <xf numFmtId="0" fontId="30" fillId="0" borderId="43" xfId="0" applyFont="1" applyFill="1" applyBorder="1" applyAlignment="1">
      <alignment horizontal="center" vertical="center"/>
    </xf>
    <xf numFmtId="0" fontId="26" fillId="0" borderId="16" xfId="0" applyFont="1" applyFill="1" applyBorder="1" applyAlignment="1">
      <alignment horizontal="center" vertical="center"/>
    </xf>
    <xf numFmtId="0" fontId="26" fillId="0" borderId="121" xfId="0" applyFont="1" applyFill="1" applyBorder="1" applyAlignment="1">
      <alignment horizontal="center" vertical="center"/>
    </xf>
    <xf numFmtId="0" fontId="26" fillId="0" borderId="120" xfId="0" applyFont="1" applyFill="1" applyBorder="1" applyAlignment="1">
      <alignment horizontal="center" vertical="center"/>
    </xf>
    <xf numFmtId="0" fontId="26" fillId="0" borderId="113" xfId="0" applyFont="1" applyFill="1" applyBorder="1" applyAlignment="1">
      <alignment horizontal="center" vertical="center"/>
    </xf>
    <xf numFmtId="0" fontId="26" fillId="0" borderId="117" xfId="0" applyFont="1" applyFill="1" applyBorder="1" applyAlignment="1">
      <alignment horizontal="center" vertical="center"/>
    </xf>
    <xf numFmtId="0" fontId="26" fillId="0" borderId="123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0</xdr:rowOff>
    </xdr:from>
    <xdr:to>
      <xdr:col>5</xdr:col>
      <xdr:colOff>9525</xdr:colOff>
      <xdr:row>3</xdr:row>
      <xdr:rowOff>123825</xdr:rowOff>
    </xdr:to>
    <xdr:sp macro="" textlink="">
      <xdr:nvSpPr>
        <xdr:cNvPr id="25609" name="Text Box 9">
          <a:extLst>
            <a:ext uri="{FF2B5EF4-FFF2-40B4-BE49-F238E27FC236}">
              <a16:creationId xmlns:a16="http://schemas.microsoft.com/office/drawing/2014/main" xmlns="" id="{2A5CBE0E-001E-4358-BE5C-A4067999CAB8}"/>
            </a:ext>
          </a:extLst>
        </xdr:cNvPr>
        <xdr:cNvSpPr txBox="1">
          <a:spLocks noChangeArrowheads="1"/>
        </xdr:cNvSpPr>
      </xdr:nvSpPr>
      <xdr:spPr bwMode="auto">
        <a:xfrm>
          <a:off x="95250" y="0"/>
          <a:ext cx="2962275" cy="542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300" b="0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QUÂN KHU 3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0</xdr:rowOff>
    </xdr:from>
    <xdr:to>
      <xdr:col>5</xdr:col>
      <xdr:colOff>9525</xdr:colOff>
      <xdr:row>3</xdr:row>
      <xdr:rowOff>123825</xdr:rowOff>
    </xdr:to>
    <xdr:sp macro="" textlink="">
      <xdr:nvSpPr>
        <xdr:cNvPr id="26635" name="Text Box 11">
          <a:extLst>
            <a:ext uri="{FF2B5EF4-FFF2-40B4-BE49-F238E27FC236}">
              <a16:creationId xmlns:a16="http://schemas.microsoft.com/office/drawing/2014/main" xmlns="" id="{75CD35C6-38BA-479B-8E46-2A31B5650F6B}"/>
            </a:ext>
          </a:extLst>
        </xdr:cNvPr>
        <xdr:cNvSpPr txBox="1">
          <a:spLocks noChangeArrowheads="1"/>
        </xdr:cNvSpPr>
      </xdr:nvSpPr>
      <xdr:spPr bwMode="auto">
        <a:xfrm>
          <a:off x="95250" y="0"/>
          <a:ext cx="3200400" cy="542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TR¦êNG QU¢N Sù</a:t>
          </a:r>
        </a:p>
      </xdr:txBody>
    </xdr:sp>
    <xdr:clientData/>
  </xdr:twoCellAnchor>
  <xdr:twoCellAnchor>
    <xdr:from>
      <xdr:col>0</xdr:col>
      <xdr:colOff>95250</xdr:colOff>
      <xdr:row>0</xdr:row>
      <xdr:rowOff>0</xdr:rowOff>
    </xdr:from>
    <xdr:to>
      <xdr:col>5</xdr:col>
      <xdr:colOff>9525</xdr:colOff>
      <xdr:row>3</xdr:row>
      <xdr:rowOff>123825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xmlns="" id="{2A5CBE0E-001E-4358-BE5C-A4067999CAB8}"/>
            </a:ext>
          </a:extLst>
        </xdr:cNvPr>
        <xdr:cNvSpPr txBox="1">
          <a:spLocks noChangeArrowheads="1"/>
        </xdr:cNvSpPr>
      </xdr:nvSpPr>
      <xdr:spPr bwMode="auto">
        <a:xfrm>
          <a:off x="95250" y="0"/>
          <a:ext cx="3305175" cy="5238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300" b="0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QUÂN KHU 3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47625</xdr:rowOff>
    </xdr:from>
    <xdr:to>
      <xdr:col>5</xdr:col>
      <xdr:colOff>47625</xdr:colOff>
      <xdr:row>4</xdr:row>
      <xdr:rowOff>152400</xdr:rowOff>
    </xdr:to>
    <xdr:sp macro="" textlink="">
      <xdr:nvSpPr>
        <xdr:cNvPr id="49162" name="Text Box 10">
          <a:extLst>
            <a:ext uri="{FF2B5EF4-FFF2-40B4-BE49-F238E27FC236}">
              <a16:creationId xmlns:a16="http://schemas.microsoft.com/office/drawing/2014/main" xmlns="" id="{358E496F-67A9-4250-A66F-77FDEFFC16A1}"/>
            </a:ext>
          </a:extLst>
        </xdr:cNvPr>
        <xdr:cNvSpPr txBox="1">
          <a:spLocks noChangeArrowheads="1"/>
        </xdr:cNvSpPr>
      </xdr:nvSpPr>
      <xdr:spPr bwMode="auto">
        <a:xfrm>
          <a:off x="200025" y="47625"/>
          <a:ext cx="2952750" cy="5238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0</xdr:rowOff>
    </xdr:from>
    <xdr:to>
      <xdr:col>5</xdr:col>
      <xdr:colOff>47625</xdr:colOff>
      <xdr:row>3</xdr:row>
      <xdr:rowOff>0</xdr:rowOff>
    </xdr:to>
    <xdr:sp macro="" textlink="">
      <xdr:nvSpPr>
        <xdr:cNvPr id="59400" name="Text Box 8">
          <a:extLst>
            <a:ext uri="{FF2B5EF4-FFF2-40B4-BE49-F238E27FC236}">
              <a16:creationId xmlns:a16="http://schemas.microsoft.com/office/drawing/2014/main" xmlns="" id="{0B1D6AD2-5061-4DC2-A756-F31B2BB0D2B2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3076575" cy="5238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0</xdr:rowOff>
    </xdr:from>
    <xdr:to>
      <xdr:col>5</xdr:col>
      <xdr:colOff>19050</xdr:colOff>
      <xdr:row>4</xdr:row>
      <xdr:rowOff>142875</xdr:rowOff>
    </xdr:to>
    <xdr:sp macro="" textlink="">
      <xdr:nvSpPr>
        <xdr:cNvPr id="23561" name="Text Box 9">
          <a:extLst>
            <a:ext uri="{FF2B5EF4-FFF2-40B4-BE49-F238E27FC236}">
              <a16:creationId xmlns:a16="http://schemas.microsoft.com/office/drawing/2014/main" xmlns="" id="{577508DD-8DD3-453D-A6CF-52BA38F23C2D}"/>
            </a:ext>
          </a:extLst>
        </xdr:cNvPr>
        <xdr:cNvSpPr txBox="1">
          <a:spLocks noChangeArrowheads="1"/>
        </xdr:cNvSpPr>
      </xdr:nvSpPr>
      <xdr:spPr bwMode="auto">
        <a:xfrm>
          <a:off x="95250" y="238125"/>
          <a:ext cx="2838450" cy="5619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  <xdr:twoCellAnchor>
    <xdr:from>
      <xdr:col>3</xdr:col>
      <xdr:colOff>357187</xdr:colOff>
      <xdr:row>4</xdr:row>
      <xdr:rowOff>23812</xdr:rowOff>
    </xdr:from>
    <xdr:to>
      <xdr:col>3</xdr:col>
      <xdr:colOff>976312</xdr:colOff>
      <xdr:row>4</xdr:row>
      <xdr:rowOff>31750</xdr:rowOff>
    </xdr:to>
    <xdr:cxnSp macro="">
      <xdr:nvCxnSpPr>
        <xdr:cNvPr id="3" name="Straight Connector 2"/>
        <xdr:cNvCxnSpPr/>
      </xdr:nvCxnSpPr>
      <xdr:spPr>
        <a:xfrm>
          <a:off x="1428750" y="523875"/>
          <a:ext cx="619125" cy="793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5</xdr:col>
      <xdr:colOff>161925</xdr:colOff>
      <xdr:row>4</xdr:row>
      <xdr:rowOff>104775</xdr:rowOff>
    </xdr:to>
    <xdr:sp macro="" textlink="">
      <xdr:nvSpPr>
        <xdr:cNvPr id="24589" name="Text Box 13">
          <a:extLst>
            <a:ext uri="{FF2B5EF4-FFF2-40B4-BE49-F238E27FC236}">
              <a16:creationId xmlns:a16="http://schemas.microsoft.com/office/drawing/2014/main" xmlns="" id="{20BF30B8-2D31-4982-9925-9D7E5698400D}"/>
            </a:ext>
          </a:extLst>
        </xdr:cNvPr>
        <xdr:cNvSpPr txBox="1">
          <a:spLocks noChangeArrowheads="1"/>
        </xdr:cNvSpPr>
      </xdr:nvSpPr>
      <xdr:spPr bwMode="auto">
        <a:xfrm>
          <a:off x="95250" y="76200"/>
          <a:ext cx="2962275" cy="5619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  <xdr:twoCellAnchor>
    <xdr:from>
      <xdr:col>3</xdr:col>
      <xdr:colOff>436563</xdr:colOff>
      <xdr:row>2</xdr:row>
      <xdr:rowOff>190501</xdr:rowOff>
    </xdr:from>
    <xdr:to>
      <xdr:col>3</xdr:col>
      <xdr:colOff>1047750</xdr:colOff>
      <xdr:row>3</xdr:row>
      <xdr:rowOff>1</xdr:rowOff>
    </xdr:to>
    <xdr:cxnSp macro="">
      <xdr:nvCxnSpPr>
        <xdr:cNvPr id="3" name="Straight Connector 2"/>
        <xdr:cNvCxnSpPr/>
      </xdr:nvCxnSpPr>
      <xdr:spPr>
        <a:xfrm flipV="1">
          <a:off x="1563688" y="500064"/>
          <a:ext cx="611187" cy="79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180975</xdr:rowOff>
    </xdr:from>
    <xdr:to>
      <xdr:col>4</xdr:col>
      <xdr:colOff>266700</xdr:colOff>
      <xdr:row>4</xdr:row>
      <xdr:rowOff>85725</xdr:rowOff>
    </xdr:to>
    <xdr:sp macro="" textlink="">
      <xdr:nvSpPr>
        <xdr:cNvPr id="39947" name="Text Box 11">
          <a:extLst>
            <a:ext uri="{FF2B5EF4-FFF2-40B4-BE49-F238E27FC236}">
              <a16:creationId xmlns:a16="http://schemas.microsoft.com/office/drawing/2014/main" xmlns="" id="{CAC2F47C-86A2-4D50-9302-A1B7F0514C49}"/>
            </a:ext>
          </a:extLst>
        </xdr:cNvPr>
        <xdr:cNvSpPr txBox="1">
          <a:spLocks noChangeArrowheads="1"/>
        </xdr:cNvSpPr>
      </xdr:nvSpPr>
      <xdr:spPr bwMode="auto">
        <a:xfrm>
          <a:off x="95250" y="85725"/>
          <a:ext cx="2771775" cy="5048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  <xdr:twoCellAnchor>
    <xdr:from>
      <xdr:col>2</xdr:col>
      <xdr:colOff>388945</xdr:colOff>
      <xdr:row>4</xdr:row>
      <xdr:rowOff>31743</xdr:rowOff>
    </xdr:from>
    <xdr:to>
      <xdr:col>3</xdr:col>
      <xdr:colOff>722320</xdr:colOff>
      <xdr:row>4</xdr:row>
      <xdr:rowOff>31743</xdr:rowOff>
    </xdr:to>
    <xdr:cxnSp macro="">
      <xdr:nvCxnSpPr>
        <xdr:cNvPr id="5" name="Straight Connector 4"/>
        <xdr:cNvCxnSpPr/>
      </xdr:nvCxnSpPr>
      <xdr:spPr>
        <a:xfrm>
          <a:off x="1103320" y="515931"/>
          <a:ext cx="762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180975</xdr:rowOff>
    </xdr:from>
    <xdr:to>
      <xdr:col>4</xdr:col>
      <xdr:colOff>266700</xdr:colOff>
      <xdr:row>4</xdr:row>
      <xdr:rowOff>85725</xdr:rowOff>
    </xdr:to>
    <xdr:sp macro="" textlink="">
      <xdr:nvSpPr>
        <xdr:cNvPr id="2" name="Text Box 11">
          <a:extLst>
            <a:ext uri="{FF2B5EF4-FFF2-40B4-BE49-F238E27FC236}">
              <a16:creationId xmlns:a16="http://schemas.microsoft.com/office/drawing/2014/main" xmlns="" id="{CAC2F47C-86A2-4D50-9302-A1B7F0514C49}"/>
            </a:ext>
          </a:extLst>
        </xdr:cNvPr>
        <xdr:cNvSpPr txBox="1">
          <a:spLocks noChangeArrowheads="1"/>
        </xdr:cNvSpPr>
      </xdr:nvSpPr>
      <xdr:spPr bwMode="auto">
        <a:xfrm>
          <a:off x="95250" y="85725"/>
          <a:ext cx="2771775" cy="5048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0</xdr:rowOff>
    </xdr:from>
    <xdr:to>
      <xdr:col>5</xdr:col>
      <xdr:colOff>9525</xdr:colOff>
      <xdr:row>3</xdr:row>
      <xdr:rowOff>123825</xdr:rowOff>
    </xdr:to>
    <xdr:sp macro="" textlink="">
      <xdr:nvSpPr>
        <xdr:cNvPr id="55304" name="Text Box 8">
          <a:extLst>
            <a:ext uri="{FF2B5EF4-FFF2-40B4-BE49-F238E27FC236}">
              <a16:creationId xmlns:a16="http://schemas.microsoft.com/office/drawing/2014/main" xmlns="" id="{369B354A-F49D-4A5A-AB16-D8BB000ECDBC}"/>
            </a:ext>
          </a:extLst>
        </xdr:cNvPr>
        <xdr:cNvSpPr txBox="1">
          <a:spLocks noChangeArrowheads="1"/>
        </xdr:cNvSpPr>
      </xdr:nvSpPr>
      <xdr:spPr bwMode="auto">
        <a:xfrm>
          <a:off x="95250" y="0"/>
          <a:ext cx="2981325" cy="542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n-US" sz="1300" b="0" i="0" u="none" strike="noStrike" baseline="0">
              <a:solidFill>
                <a:srgbClr val="000000"/>
              </a:solidFill>
              <a:latin typeface=".VnTimeH"/>
            </a:rPr>
            <a:t>qu©n khu 3</a:t>
          </a:r>
          <a:endParaRPr lang="en-US" sz="1300" b="1" i="0" u="none" strike="noStrike" baseline="0">
            <a:solidFill>
              <a:srgbClr val="000000"/>
            </a:solidFill>
            <a:latin typeface=".VnTimeH"/>
          </a:endParaRPr>
        </a:p>
        <a:p>
          <a:pPr marL="0" marR="0" lvl="0" indent="0" algn="ctr" defTabSz="914400" rtl="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TR¦êNG QU¢N Sù</a:t>
          </a:r>
        </a:p>
      </xdr:txBody>
    </xdr:sp>
    <xdr:clientData/>
  </xdr:twoCellAnchor>
  <xdr:twoCellAnchor>
    <xdr:from>
      <xdr:col>0</xdr:col>
      <xdr:colOff>95250</xdr:colOff>
      <xdr:row>0</xdr:row>
      <xdr:rowOff>0</xdr:rowOff>
    </xdr:from>
    <xdr:to>
      <xdr:col>5</xdr:col>
      <xdr:colOff>9525</xdr:colOff>
      <xdr:row>3</xdr:row>
      <xdr:rowOff>123825</xdr:rowOff>
    </xdr:to>
    <xdr:sp macro="" textlink="">
      <xdr:nvSpPr>
        <xdr:cNvPr id="4" name="Text Box 9">
          <a:extLst>
            <a:ext uri="{FF2B5EF4-FFF2-40B4-BE49-F238E27FC236}">
              <a16:creationId xmlns:a16="http://schemas.microsoft.com/office/drawing/2014/main" xmlns="" id="{2A5CBE0E-001E-4358-BE5C-A4067999CAB8}"/>
            </a:ext>
          </a:extLst>
        </xdr:cNvPr>
        <xdr:cNvSpPr txBox="1">
          <a:spLocks noChangeArrowheads="1"/>
        </xdr:cNvSpPr>
      </xdr:nvSpPr>
      <xdr:spPr bwMode="auto">
        <a:xfrm>
          <a:off x="95250" y="0"/>
          <a:ext cx="3305175" cy="5238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300" b="0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QUÂN KHU 3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171450</xdr:rowOff>
    </xdr:from>
    <xdr:to>
      <xdr:col>4</xdr:col>
      <xdr:colOff>533400</xdr:colOff>
      <xdr:row>4</xdr:row>
      <xdr:rowOff>76146</xdr:rowOff>
    </xdr:to>
    <xdr:sp macro="" textlink="">
      <xdr:nvSpPr>
        <xdr:cNvPr id="37897" name="Text Box 9">
          <a:extLst>
            <a:ext uri="{FF2B5EF4-FFF2-40B4-BE49-F238E27FC236}">
              <a16:creationId xmlns:a16="http://schemas.microsoft.com/office/drawing/2014/main" xmlns="" id="{F14C30FF-8BF5-419B-B3C1-A5CD08CAF0F0}"/>
            </a:ext>
          </a:extLst>
        </xdr:cNvPr>
        <xdr:cNvSpPr txBox="1">
          <a:spLocks noChangeArrowheads="1"/>
        </xdr:cNvSpPr>
      </xdr:nvSpPr>
      <xdr:spPr bwMode="auto">
        <a:xfrm>
          <a:off x="95250" y="171450"/>
          <a:ext cx="2771775" cy="5619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228600</xdr:rowOff>
    </xdr:from>
    <xdr:to>
      <xdr:col>4</xdr:col>
      <xdr:colOff>647700</xdr:colOff>
      <xdr:row>4</xdr:row>
      <xdr:rowOff>114300</xdr:rowOff>
    </xdr:to>
    <xdr:sp macro="" textlink="">
      <xdr:nvSpPr>
        <xdr:cNvPr id="32777" name="Text Box 9">
          <a:extLst>
            <a:ext uri="{FF2B5EF4-FFF2-40B4-BE49-F238E27FC236}">
              <a16:creationId xmlns:a16="http://schemas.microsoft.com/office/drawing/2014/main" xmlns="" id="{642FA517-A882-4C18-B5AC-585A982B6889}"/>
            </a:ext>
          </a:extLst>
        </xdr:cNvPr>
        <xdr:cNvSpPr txBox="1">
          <a:spLocks noChangeArrowheads="1"/>
        </xdr:cNvSpPr>
      </xdr:nvSpPr>
      <xdr:spPr bwMode="auto">
        <a:xfrm>
          <a:off x="95250" y="95250"/>
          <a:ext cx="3105150" cy="5334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 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219075</xdr:rowOff>
    </xdr:from>
    <xdr:to>
      <xdr:col>5</xdr:col>
      <xdr:colOff>47625</xdr:colOff>
      <xdr:row>5</xdr:row>
      <xdr:rowOff>104719</xdr:rowOff>
    </xdr:to>
    <xdr:sp macro="" textlink="">
      <xdr:nvSpPr>
        <xdr:cNvPr id="28681" name="Text Box 9">
          <a:extLst>
            <a:ext uri="{FF2B5EF4-FFF2-40B4-BE49-F238E27FC236}">
              <a16:creationId xmlns:a16="http://schemas.microsoft.com/office/drawing/2014/main" xmlns="" id="{DF47EAD1-7DB1-4720-95B6-1E66F2293290}"/>
            </a:ext>
          </a:extLst>
        </xdr:cNvPr>
        <xdr:cNvSpPr txBox="1">
          <a:spLocks noChangeArrowheads="1"/>
        </xdr:cNvSpPr>
      </xdr:nvSpPr>
      <xdr:spPr bwMode="auto">
        <a:xfrm>
          <a:off x="95250" y="457200"/>
          <a:ext cx="3200400" cy="542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209550</xdr:rowOff>
    </xdr:from>
    <xdr:to>
      <xdr:col>4</xdr:col>
      <xdr:colOff>485775</xdr:colOff>
      <xdr:row>3</xdr:row>
      <xdr:rowOff>95250</xdr:rowOff>
    </xdr:to>
    <xdr:sp macro="" textlink="">
      <xdr:nvSpPr>
        <xdr:cNvPr id="33801" name="Text Box 9">
          <a:extLst>
            <a:ext uri="{FF2B5EF4-FFF2-40B4-BE49-F238E27FC236}">
              <a16:creationId xmlns:a16="http://schemas.microsoft.com/office/drawing/2014/main" xmlns="" id="{6ED5A778-FEB8-492D-8267-6E3E76C8FB92}"/>
            </a:ext>
          </a:extLst>
        </xdr:cNvPr>
        <xdr:cNvSpPr txBox="1">
          <a:spLocks noChangeArrowheads="1"/>
        </xdr:cNvSpPr>
      </xdr:nvSpPr>
      <xdr:spPr bwMode="auto">
        <a:xfrm>
          <a:off x="95250" y="85725"/>
          <a:ext cx="3000375" cy="5143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0</xdr:rowOff>
    </xdr:from>
    <xdr:to>
      <xdr:col>5</xdr:col>
      <xdr:colOff>47625</xdr:colOff>
      <xdr:row>4</xdr:row>
      <xdr:rowOff>123825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2CFE064E-689C-425C-85A4-8803A35CBB65}"/>
            </a:ext>
          </a:extLst>
        </xdr:cNvPr>
        <xdr:cNvSpPr txBox="1">
          <a:spLocks noChangeArrowheads="1"/>
        </xdr:cNvSpPr>
      </xdr:nvSpPr>
      <xdr:spPr bwMode="auto">
        <a:xfrm>
          <a:off x="95250" y="476250"/>
          <a:ext cx="3200400" cy="542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0</xdr:rowOff>
    </xdr:from>
    <xdr:to>
      <xdr:col>5</xdr:col>
      <xdr:colOff>47625</xdr:colOff>
      <xdr:row>4</xdr:row>
      <xdr:rowOff>123825</xdr:rowOff>
    </xdr:to>
    <xdr:sp macro="" textlink="">
      <xdr:nvSpPr>
        <xdr:cNvPr id="35849" name="Text Box 9">
          <a:extLst>
            <a:ext uri="{FF2B5EF4-FFF2-40B4-BE49-F238E27FC236}">
              <a16:creationId xmlns:a16="http://schemas.microsoft.com/office/drawing/2014/main" xmlns="" id="{2CFE064E-689C-425C-85A4-8803A35CBB65}"/>
            </a:ext>
          </a:extLst>
        </xdr:cNvPr>
        <xdr:cNvSpPr txBox="1">
          <a:spLocks noChangeArrowheads="1"/>
        </xdr:cNvSpPr>
      </xdr:nvSpPr>
      <xdr:spPr bwMode="auto">
        <a:xfrm>
          <a:off x="95250" y="476250"/>
          <a:ext cx="3200400" cy="542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0</xdr:rowOff>
    </xdr:from>
    <xdr:to>
      <xdr:col>5</xdr:col>
      <xdr:colOff>142875</xdr:colOff>
      <xdr:row>3</xdr:row>
      <xdr:rowOff>123825</xdr:rowOff>
    </xdr:to>
    <xdr:sp macro="" textlink="">
      <xdr:nvSpPr>
        <xdr:cNvPr id="29705" name="Text Box 9">
          <a:extLst>
            <a:ext uri="{FF2B5EF4-FFF2-40B4-BE49-F238E27FC236}">
              <a16:creationId xmlns:a16="http://schemas.microsoft.com/office/drawing/2014/main" xmlns="" id="{4F8E7113-94E2-4396-8E08-A2621E2C041B}"/>
            </a:ext>
          </a:extLst>
        </xdr:cNvPr>
        <xdr:cNvSpPr txBox="1">
          <a:spLocks noChangeArrowheads="1"/>
        </xdr:cNvSpPr>
      </xdr:nvSpPr>
      <xdr:spPr bwMode="auto">
        <a:xfrm>
          <a:off x="95250" y="0"/>
          <a:ext cx="3200400" cy="542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180975</xdr:rowOff>
    </xdr:from>
    <xdr:to>
      <xdr:col>4</xdr:col>
      <xdr:colOff>266700</xdr:colOff>
      <xdr:row>4</xdr:row>
      <xdr:rowOff>85725</xdr:rowOff>
    </xdr:to>
    <xdr:sp macro="" textlink="">
      <xdr:nvSpPr>
        <xdr:cNvPr id="2" name="Text Box 11">
          <a:extLst>
            <a:ext uri="{FF2B5EF4-FFF2-40B4-BE49-F238E27FC236}">
              <a16:creationId xmlns:a16="http://schemas.microsoft.com/office/drawing/2014/main" xmlns="" id="{CAC2F47C-86A2-4D50-9302-A1B7F0514C49}"/>
            </a:ext>
          </a:extLst>
        </xdr:cNvPr>
        <xdr:cNvSpPr txBox="1">
          <a:spLocks noChangeArrowheads="1"/>
        </xdr:cNvSpPr>
      </xdr:nvSpPr>
      <xdr:spPr bwMode="auto">
        <a:xfrm>
          <a:off x="95250" y="85725"/>
          <a:ext cx="2771775" cy="5048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200025</xdr:rowOff>
    </xdr:from>
    <xdr:to>
      <xdr:col>4</xdr:col>
      <xdr:colOff>457200</xdr:colOff>
      <xdr:row>5</xdr:row>
      <xdr:rowOff>104721</xdr:rowOff>
    </xdr:to>
    <xdr:sp macro="" textlink="">
      <xdr:nvSpPr>
        <xdr:cNvPr id="38921" name="Text Box 9">
          <a:extLst>
            <a:ext uri="{FF2B5EF4-FFF2-40B4-BE49-F238E27FC236}">
              <a16:creationId xmlns:a16="http://schemas.microsoft.com/office/drawing/2014/main" xmlns="" id="{A40842FC-2E94-45E8-8033-BA0716B8A1FB}"/>
            </a:ext>
          </a:extLst>
        </xdr:cNvPr>
        <xdr:cNvSpPr txBox="1">
          <a:spLocks noChangeArrowheads="1"/>
        </xdr:cNvSpPr>
      </xdr:nvSpPr>
      <xdr:spPr bwMode="auto">
        <a:xfrm>
          <a:off x="95250" y="314325"/>
          <a:ext cx="2771775" cy="5619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</xdr:row>
      <xdr:rowOff>0</xdr:rowOff>
    </xdr:from>
    <xdr:to>
      <xdr:col>4</xdr:col>
      <xdr:colOff>628650</xdr:colOff>
      <xdr:row>4</xdr:row>
      <xdr:rowOff>104775</xdr:rowOff>
    </xdr:to>
    <xdr:sp macro="" textlink="">
      <xdr:nvSpPr>
        <xdr:cNvPr id="22537" name="Text Box 9">
          <a:extLst>
            <a:ext uri="{FF2B5EF4-FFF2-40B4-BE49-F238E27FC236}">
              <a16:creationId xmlns:a16="http://schemas.microsoft.com/office/drawing/2014/main" xmlns="" id="{EEA73E21-69C5-4910-A7BF-13F6E67BF759}"/>
            </a:ext>
          </a:extLst>
        </xdr:cNvPr>
        <xdr:cNvSpPr txBox="1">
          <a:spLocks noChangeArrowheads="1"/>
        </xdr:cNvSpPr>
      </xdr:nvSpPr>
      <xdr:spPr bwMode="auto">
        <a:xfrm>
          <a:off x="200025" y="95250"/>
          <a:ext cx="2857500" cy="5619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219075</xdr:rowOff>
    </xdr:from>
    <xdr:to>
      <xdr:col>5</xdr:col>
      <xdr:colOff>47625</xdr:colOff>
      <xdr:row>5</xdr:row>
      <xdr:rowOff>104719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DF47EAD1-7DB1-4720-95B6-1E66F2293290}"/>
            </a:ext>
          </a:extLst>
        </xdr:cNvPr>
        <xdr:cNvSpPr txBox="1">
          <a:spLocks noChangeArrowheads="1"/>
        </xdr:cNvSpPr>
      </xdr:nvSpPr>
      <xdr:spPr bwMode="auto">
        <a:xfrm>
          <a:off x="95250" y="457200"/>
          <a:ext cx="3495675" cy="54286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QUÂN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Times New Roman" pitchFamily="18" charset="0"/>
            <a:ea typeface="+mn-ea"/>
            <a:cs typeface="Times New Roman" pitchFamily="18" charset="0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 QUÂN SỰ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0</xdr:rowOff>
    </xdr:from>
    <xdr:to>
      <xdr:col>4</xdr:col>
      <xdr:colOff>561975</xdr:colOff>
      <xdr:row>0</xdr:row>
      <xdr:rowOff>0</xdr:rowOff>
    </xdr:to>
    <xdr:sp macro="" textlink="">
      <xdr:nvSpPr>
        <xdr:cNvPr id="40961" name="Text Box 1">
          <a:extLst>
            <a:ext uri="{FF2B5EF4-FFF2-40B4-BE49-F238E27FC236}">
              <a16:creationId xmlns:a16="http://schemas.microsoft.com/office/drawing/2014/main" xmlns="" id="{90935A9F-03E6-484E-97B9-036F9ACEDB62}"/>
            </a:ext>
          </a:extLst>
        </xdr:cNvPr>
        <xdr:cNvSpPr txBox="1">
          <a:spLocks noChangeArrowheads="1"/>
        </xdr:cNvSpPr>
      </xdr:nvSpPr>
      <xdr:spPr bwMode="auto">
        <a:xfrm>
          <a:off x="180975" y="0"/>
          <a:ext cx="24955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Phª DuyÖt</a:t>
          </a:r>
          <a:endParaRPr lang="en-US" sz="1400" b="0" i="0" u="none" strike="noStrike" baseline="0">
            <a:solidFill>
              <a:srgbClr val="000000"/>
            </a:solidFill>
            <a:latin typeface=".VnTime"/>
          </a:endParaRP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Ngµy      th¸ng     n¨m 2013</a:t>
          </a: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HiÖu tr­ëng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0</xdr:rowOff>
    </xdr:from>
    <xdr:to>
      <xdr:col>3</xdr:col>
      <xdr:colOff>561975</xdr:colOff>
      <xdr:row>0</xdr:row>
      <xdr:rowOff>0</xdr:rowOff>
    </xdr:to>
    <xdr:sp macro="" textlink="">
      <xdr:nvSpPr>
        <xdr:cNvPr id="54273" name="Text Box 1">
          <a:extLst>
            <a:ext uri="{FF2B5EF4-FFF2-40B4-BE49-F238E27FC236}">
              <a16:creationId xmlns:a16="http://schemas.microsoft.com/office/drawing/2014/main" xmlns="" id="{CA29D4A8-0C40-4B02-AB47-87C11F0A0248}"/>
            </a:ext>
          </a:extLst>
        </xdr:cNvPr>
        <xdr:cNvSpPr txBox="1">
          <a:spLocks noChangeArrowheads="1"/>
        </xdr:cNvSpPr>
      </xdr:nvSpPr>
      <xdr:spPr bwMode="auto">
        <a:xfrm>
          <a:off x="180975" y="0"/>
          <a:ext cx="1257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Phª DuyÖt</a:t>
          </a:r>
          <a:endParaRPr lang="en-US" sz="1400" b="0" i="0" u="none" strike="noStrike" baseline="0">
            <a:solidFill>
              <a:srgbClr val="000000"/>
            </a:solidFill>
            <a:latin typeface=".VnTime"/>
          </a:endParaRP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Ngµy      th¸ng     n¨m 2013</a:t>
          </a: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HiÖu tr­ëng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0</xdr:rowOff>
    </xdr:from>
    <xdr:to>
      <xdr:col>4</xdr:col>
      <xdr:colOff>561975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90935A9F-03E6-484E-97B9-036F9ACEDB62}"/>
            </a:ext>
          </a:extLst>
        </xdr:cNvPr>
        <xdr:cNvSpPr txBox="1">
          <a:spLocks noChangeArrowheads="1"/>
        </xdr:cNvSpPr>
      </xdr:nvSpPr>
      <xdr:spPr bwMode="auto">
        <a:xfrm>
          <a:off x="180975" y="0"/>
          <a:ext cx="24955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Phª DuyÖt</a:t>
          </a:r>
          <a:endParaRPr lang="en-US" sz="1400" b="0" i="0" u="none" strike="noStrike" baseline="0">
            <a:solidFill>
              <a:srgbClr val="000000"/>
            </a:solidFill>
            <a:latin typeface=".VnTime"/>
          </a:endParaRP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Ngµy      th¸ng     n¨m 2013</a:t>
          </a: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HiÖu tr­ëng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0</xdr:rowOff>
    </xdr:from>
    <xdr:to>
      <xdr:col>4</xdr:col>
      <xdr:colOff>561975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90935A9F-03E6-484E-97B9-036F9ACEDB62}"/>
            </a:ext>
          </a:extLst>
        </xdr:cNvPr>
        <xdr:cNvSpPr txBox="1">
          <a:spLocks noChangeArrowheads="1"/>
        </xdr:cNvSpPr>
      </xdr:nvSpPr>
      <xdr:spPr bwMode="auto">
        <a:xfrm>
          <a:off x="180975" y="0"/>
          <a:ext cx="24955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Phª DuyÖt</a:t>
          </a:r>
          <a:endParaRPr lang="en-US" sz="1400" b="0" i="0" u="none" strike="noStrike" baseline="0">
            <a:solidFill>
              <a:srgbClr val="000000"/>
            </a:solidFill>
            <a:latin typeface=".VnTime"/>
          </a:endParaRP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Ngµy      th¸ng     n¨m 2013</a:t>
          </a: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HiÖu tr­ëng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0</xdr:rowOff>
    </xdr:from>
    <xdr:to>
      <xdr:col>5</xdr:col>
      <xdr:colOff>9525</xdr:colOff>
      <xdr:row>3</xdr:row>
      <xdr:rowOff>123825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xmlns="" id="{369B354A-F49D-4A5A-AB16-D8BB000ECDBC}"/>
            </a:ext>
          </a:extLst>
        </xdr:cNvPr>
        <xdr:cNvSpPr txBox="1">
          <a:spLocks noChangeArrowheads="1"/>
        </xdr:cNvSpPr>
      </xdr:nvSpPr>
      <xdr:spPr bwMode="auto">
        <a:xfrm>
          <a:off x="95250" y="0"/>
          <a:ext cx="2981325" cy="542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n-US" sz="1300" b="0" i="0" u="none" strike="noStrike" baseline="0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TRƯỜNG</a:t>
          </a:r>
          <a:r>
            <a:rPr lang="en-US" sz="1300" b="0" i="0" u="none" strike="noStrike" baseline="0">
              <a:solidFill>
                <a:srgbClr val="000000"/>
              </a:solidFill>
              <a:latin typeface=".VnTimeH"/>
            </a:rPr>
            <a:t> qu©n sù qu©n khu 3</a:t>
          </a:r>
          <a:endParaRPr lang="en-US" sz="1300" b="1" i="0" u="none" strike="noStrike" baseline="0">
            <a:solidFill>
              <a:srgbClr val="000000"/>
            </a:solidFill>
            <a:latin typeface=".VnTimeH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47625</xdr:rowOff>
    </xdr:from>
    <xdr:to>
      <xdr:col>5</xdr:col>
      <xdr:colOff>47625</xdr:colOff>
      <xdr:row>4</xdr:row>
      <xdr:rowOff>152400</xdr:rowOff>
    </xdr:to>
    <xdr:sp macro="" textlink="">
      <xdr:nvSpPr>
        <xdr:cNvPr id="2" name="Text Box 10">
          <a:extLst>
            <a:ext uri="{FF2B5EF4-FFF2-40B4-BE49-F238E27FC236}">
              <a16:creationId xmlns:a16="http://schemas.microsoft.com/office/drawing/2014/main" xmlns="" id="{358E496F-67A9-4250-A66F-77FDEFFC16A1}"/>
            </a:ext>
          </a:extLst>
        </xdr:cNvPr>
        <xdr:cNvSpPr txBox="1">
          <a:spLocks noChangeArrowheads="1"/>
        </xdr:cNvSpPr>
      </xdr:nvSpPr>
      <xdr:spPr bwMode="auto">
        <a:xfrm>
          <a:off x="200025" y="47625"/>
          <a:ext cx="2952750" cy="5238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0</xdr:rowOff>
    </xdr:from>
    <xdr:to>
      <xdr:col>5</xdr:col>
      <xdr:colOff>47625</xdr:colOff>
      <xdr:row>4</xdr:row>
      <xdr:rowOff>104775</xdr:rowOff>
    </xdr:to>
    <xdr:sp macro="" textlink="">
      <xdr:nvSpPr>
        <xdr:cNvPr id="2" name="Text Box 10">
          <a:extLst>
            <a:ext uri="{FF2B5EF4-FFF2-40B4-BE49-F238E27FC236}">
              <a16:creationId xmlns:a16="http://schemas.microsoft.com/office/drawing/2014/main" xmlns="" id="{A52FD3AA-5BD8-4533-B38D-75545C75E296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3076575" cy="5238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0</xdr:rowOff>
    </xdr:from>
    <xdr:to>
      <xdr:col>5</xdr:col>
      <xdr:colOff>47625</xdr:colOff>
      <xdr:row>4</xdr:row>
      <xdr:rowOff>104775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xmlns="" id="{0B1D6AD2-5061-4DC2-A756-F31B2BB0D2B2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3076575" cy="5238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0</xdr:rowOff>
    </xdr:from>
    <xdr:to>
      <xdr:col>5</xdr:col>
      <xdr:colOff>47625</xdr:colOff>
      <xdr:row>4</xdr:row>
      <xdr:rowOff>104775</xdr:rowOff>
    </xdr:to>
    <xdr:sp macro="" textlink="">
      <xdr:nvSpPr>
        <xdr:cNvPr id="2" name="Text Box 8">
          <a:extLst>
            <a:ext uri="{FF2B5EF4-FFF2-40B4-BE49-F238E27FC236}">
              <a16:creationId xmlns:a16="http://schemas.microsoft.com/office/drawing/2014/main" xmlns="" id="{244F5A7E-8974-4659-AAD5-D4BED874F5FD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3076575" cy="5238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</xdr:row>
      <xdr:rowOff>0</xdr:rowOff>
    </xdr:from>
    <xdr:to>
      <xdr:col>4</xdr:col>
      <xdr:colOff>628650</xdr:colOff>
      <xdr:row>4</xdr:row>
      <xdr:rowOff>104775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EEA73E21-69C5-4910-A7BF-13F6E67BF759}"/>
            </a:ext>
          </a:extLst>
        </xdr:cNvPr>
        <xdr:cNvSpPr txBox="1">
          <a:spLocks noChangeArrowheads="1"/>
        </xdr:cNvSpPr>
      </xdr:nvSpPr>
      <xdr:spPr bwMode="auto">
        <a:xfrm>
          <a:off x="200025" y="95250"/>
          <a:ext cx="2857500" cy="5619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0</xdr:rowOff>
    </xdr:from>
    <xdr:to>
      <xdr:col>5</xdr:col>
      <xdr:colOff>19050</xdr:colOff>
      <xdr:row>4</xdr:row>
      <xdr:rowOff>142875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577508DD-8DD3-453D-A6CF-52BA38F23C2D}"/>
            </a:ext>
          </a:extLst>
        </xdr:cNvPr>
        <xdr:cNvSpPr txBox="1">
          <a:spLocks noChangeArrowheads="1"/>
        </xdr:cNvSpPr>
      </xdr:nvSpPr>
      <xdr:spPr bwMode="auto">
        <a:xfrm>
          <a:off x="95250" y="238125"/>
          <a:ext cx="3286125" cy="5619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5</xdr:col>
      <xdr:colOff>161925</xdr:colOff>
      <xdr:row>4</xdr:row>
      <xdr:rowOff>104775</xdr:rowOff>
    </xdr:to>
    <xdr:sp macro="" textlink="">
      <xdr:nvSpPr>
        <xdr:cNvPr id="2" name="Text Box 13">
          <a:extLst>
            <a:ext uri="{FF2B5EF4-FFF2-40B4-BE49-F238E27FC236}">
              <a16:creationId xmlns:a16="http://schemas.microsoft.com/office/drawing/2014/main" xmlns="" id="{20BF30B8-2D31-4982-9925-9D7E5698400D}"/>
            </a:ext>
          </a:extLst>
        </xdr:cNvPr>
        <xdr:cNvSpPr txBox="1">
          <a:spLocks noChangeArrowheads="1"/>
        </xdr:cNvSpPr>
      </xdr:nvSpPr>
      <xdr:spPr bwMode="auto">
        <a:xfrm>
          <a:off x="95250" y="76200"/>
          <a:ext cx="3286125" cy="5619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0</xdr:rowOff>
    </xdr:from>
    <xdr:to>
      <xdr:col>5</xdr:col>
      <xdr:colOff>9525</xdr:colOff>
      <xdr:row>3</xdr:row>
      <xdr:rowOff>123825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2A5CBE0E-001E-4358-BE5C-A4067999CAB8}"/>
            </a:ext>
          </a:extLst>
        </xdr:cNvPr>
        <xdr:cNvSpPr txBox="1">
          <a:spLocks noChangeArrowheads="1"/>
        </xdr:cNvSpPr>
      </xdr:nvSpPr>
      <xdr:spPr bwMode="auto">
        <a:xfrm>
          <a:off x="95250" y="0"/>
          <a:ext cx="2962275" cy="542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0</xdr:rowOff>
    </xdr:from>
    <xdr:to>
      <xdr:col>5</xdr:col>
      <xdr:colOff>9525</xdr:colOff>
      <xdr:row>3</xdr:row>
      <xdr:rowOff>123825</xdr:rowOff>
    </xdr:to>
    <xdr:sp macro="" textlink="">
      <xdr:nvSpPr>
        <xdr:cNvPr id="2" name="Text Box 11">
          <a:extLst>
            <a:ext uri="{FF2B5EF4-FFF2-40B4-BE49-F238E27FC236}">
              <a16:creationId xmlns:a16="http://schemas.microsoft.com/office/drawing/2014/main" xmlns="" id="{75CD35C6-38BA-479B-8E46-2A31B5650F6B}"/>
            </a:ext>
          </a:extLst>
        </xdr:cNvPr>
        <xdr:cNvSpPr txBox="1">
          <a:spLocks noChangeArrowheads="1"/>
        </xdr:cNvSpPr>
      </xdr:nvSpPr>
      <xdr:spPr bwMode="auto">
        <a:xfrm>
          <a:off x="95250" y="0"/>
          <a:ext cx="3571875" cy="542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219075</xdr:rowOff>
    </xdr:from>
    <xdr:to>
      <xdr:col>5</xdr:col>
      <xdr:colOff>47625</xdr:colOff>
      <xdr:row>5</xdr:row>
      <xdr:rowOff>104719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DF47EAD1-7DB1-4720-95B6-1E66F2293290}"/>
            </a:ext>
          </a:extLst>
        </xdr:cNvPr>
        <xdr:cNvSpPr txBox="1">
          <a:spLocks noChangeArrowheads="1"/>
        </xdr:cNvSpPr>
      </xdr:nvSpPr>
      <xdr:spPr bwMode="auto">
        <a:xfrm>
          <a:off x="95250" y="457200"/>
          <a:ext cx="3200400" cy="54286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209550</xdr:rowOff>
    </xdr:from>
    <xdr:to>
      <xdr:col>4</xdr:col>
      <xdr:colOff>485775</xdr:colOff>
      <xdr:row>3</xdr:row>
      <xdr:rowOff>95250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6ED5A778-FEB8-492D-8267-6E3E76C8FB92}"/>
            </a:ext>
          </a:extLst>
        </xdr:cNvPr>
        <xdr:cNvSpPr txBox="1">
          <a:spLocks noChangeArrowheads="1"/>
        </xdr:cNvSpPr>
      </xdr:nvSpPr>
      <xdr:spPr bwMode="auto">
        <a:xfrm>
          <a:off x="95250" y="85725"/>
          <a:ext cx="3000375" cy="5143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171450</xdr:rowOff>
    </xdr:from>
    <xdr:to>
      <xdr:col>4</xdr:col>
      <xdr:colOff>533400</xdr:colOff>
      <xdr:row>4</xdr:row>
      <xdr:rowOff>76146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F14C30FF-8BF5-419B-B3C1-A5CD08CAF0F0}"/>
            </a:ext>
          </a:extLst>
        </xdr:cNvPr>
        <xdr:cNvSpPr txBox="1">
          <a:spLocks noChangeArrowheads="1"/>
        </xdr:cNvSpPr>
      </xdr:nvSpPr>
      <xdr:spPr bwMode="auto">
        <a:xfrm>
          <a:off x="95250" y="171450"/>
          <a:ext cx="2771775" cy="561921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228600</xdr:rowOff>
    </xdr:from>
    <xdr:to>
      <xdr:col>4</xdr:col>
      <xdr:colOff>647700</xdr:colOff>
      <xdr:row>4</xdr:row>
      <xdr:rowOff>114300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642FA517-A882-4C18-B5AC-585A982B6889}"/>
            </a:ext>
          </a:extLst>
        </xdr:cNvPr>
        <xdr:cNvSpPr txBox="1">
          <a:spLocks noChangeArrowheads="1"/>
        </xdr:cNvSpPr>
      </xdr:nvSpPr>
      <xdr:spPr bwMode="auto">
        <a:xfrm>
          <a:off x="95250" y="95250"/>
          <a:ext cx="3257550" cy="5334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228600</xdr:rowOff>
    </xdr:from>
    <xdr:to>
      <xdr:col>5</xdr:col>
      <xdr:colOff>28575</xdr:colOff>
      <xdr:row>4</xdr:row>
      <xdr:rowOff>114244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4C16F8F4-4818-483C-9E93-C1ABDD3551D5}"/>
            </a:ext>
          </a:extLst>
        </xdr:cNvPr>
        <xdr:cNvSpPr txBox="1">
          <a:spLocks noChangeArrowheads="1"/>
        </xdr:cNvSpPr>
      </xdr:nvSpPr>
      <xdr:spPr bwMode="auto">
        <a:xfrm>
          <a:off x="95250" y="228600"/>
          <a:ext cx="3305175" cy="542869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</xdr:row>
      <xdr:rowOff>0</xdr:rowOff>
    </xdr:from>
    <xdr:to>
      <xdr:col>5</xdr:col>
      <xdr:colOff>47625</xdr:colOff>
      <xdr:row>5</xdr:row>
      <xdr:rowOff>123825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2CFE064E-689C-425C-85A4-8803A35CBB65}"/>
            </a:ext>
          </a:extLst>
        </xdr:cNvPr>
        <xdr:cNvSpPr txBox="1">
          <a:spLocks noChangeArrowheads="1"/>
        </xdr:cNvSpPr>
      </xdr:nvSpPr>
      <xdr:spPr bwMode="auto">
        <a:xfrm>
          <a:off x="95250" y="476250"/>
          <a:ext cx="3200400" cy="542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0</xdr:rowOff>
    </xdr:from>
    <xdr:to>
      <xdr:col>5</xdr:col>
      <xdr:colOff>142875</xdr:colOff>
      <xdr:row>3</xdr:row>
      <xdr:rowOff>123825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4F8E7113-94E2-4396-8E08-A2621E2C041B}"/>
            </a:ext>
          </a:extLst>
        </xdr:cNvPr>
        <xdr:cNvSpPr txBox="1">
          <a:spLocks noChangeArrowheads="1"/>
        </xdr:cNvSpPr>
      </xdr:nvSpPr>
      <xdr:spPr bwMode="auto">
        <a:xfrm>
          <a:off x="95250" y="0"/>
          <a:ext cx="3324225" cy="542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171450</xdr:rowOff>
    </xdr:from>
    <xdr:to>
      <xdr:col>4</xdr:col>
      <xdr:colOff>352425</xdr:colOff>
      <xdr:row>4</xdr:row>
      <xdr:rowOff>76146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CD962FFE-FD49-4BE4-A01B-14169256EA7B}"/>
            </a:ext>
          </a:extLst>
        </xdr:cNvPr>
        <xdr:cNvSpPr txBox="1">
          <a:spLocks noChangeArrowheads="1"/>
        </xdr:cNvSpPr>
      </xdr:nvSpPr>
      <xdr:spPr bwMode="auto">
        <a:xfrm>
          <a:off x="95250" y="171450"/>
          <a:ext cx="2771775" cy="561921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200025</xdr:rowOff>
    </xdr:from>
    <xdr:to>
      <xdr:col>4</xdr:col>
      <xdr:colOff>457200</xdr:colOff>
      <xdr:row>5</xdr:row>
      <xdr:rowOff>104721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A40842FC-2E94-45E8-8033-BA0716B8A1FB}"/>
            </a:ext>
          </a:extLst>
        </xdr:cNvPr>
        <xdr:cNvSpPr txBox="1">
          <a:spLocks noChangeArrowheads="1"/>
        </xdr:cNvSpPr>
      </xdr:nvSpPr>
      <xdr:spPr bwMode="auto">
        <a:xfrm>
          <a:off x="95250" y="314325"/>
          <a:ext cx="2771775" cy="561921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</xdr:row>
      <xdr:rowOff>9525</xdr:rowOff>
    </xdr:from>
    <xdr:to>
      <xdr:col>4</xdr:col>
      <xdr:colOff>523875</xdr:colOff>
      <xdr:row>4</xdr:row>
      <xdr:rowOff>152400</xdr:rowOff>
    </xdr:to>
    <xdr:sp macro="" textlink="">
      <xdr:nvSpPr>
        <xdr:cNvPr id="2" name="Text Box 9">
          <a:extLst>
            <a:ext uri="{FF2B5EF4-FFF2-40B4-BE49-F238E27FC236}">
              <a16:creationId xmlns:a16="http://schemas.microsoft.com/office/drawing/2014/main" xmlns="" id="{7F184B4A-2B49-4B8C-9CDA-04F1BA3ADCBB}"/>
            </a:ext>
          </a:extLst>
        </xdr:cNvPr>
        <xdr:cNvSpPr txBox="1">
          <a:spLocks noChangeArrowheads="1"/>
        </xdr:cNvSpPr>
      </xdr:nvSpPr>
      <xdr:spPr bwMode="auto">
        <a:xfrm>
          <a:off x="95250" y="200025"/>
          <a:ext cx="2990850" cy="5619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180975</xdr:rowOff>
    </xdr:from>
    <xdr:to>
      <xdr:col>4</xdr:col>
      <xdr:colOff>266700</xdr:colOff>
      <xdr:row>4</xdr:row>
      <xdr:rowOff>85725</xdr:rowOff>
    </xdr:to>
    <xdr:sp macro="" textlink="">
      <xdr:nvSpPr>
        <xdr:cNvPr id="2" name="Text Box 11">
          <a:extLst>
            <a:ext uri="{FF2B5EF4-FFF2-40B4-BE49-F238E27FC236}">
              <a16:creationId xmlns:a16="http://schemas.microsoft.com/office/drawing/2014/main" xmlns="" id="{CAC2F47C-86A2-4D50-9302-A1B7F0514C49}"/>
            </a:ext>
          </a:extLst>
        </xdr:cNvPr>
        <xdr:cNvSpPr txBox="1">
          <a:spLocks noChangeArrowheads="1"/>
        </xdr:cNvSpPr>
      </xdr:nvSpPr>
      <xdr:spPr bwMode="auto">
        <a:xfrm>
          <a:off x="95250" y="85725"/>
          <a:ext cx="2771775" cy="5048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 pitchFamily="18" charset="0"/>
              <a:ea typeface="+mn-ea"/>
              <a:cs typeface="Times New Roman" pitchFamily="18" charset="0"/>
            </a:rPr>
            <a:t>TRƯỜNG</a:t>
          </a:r>
          <a:r>
            <a:rPr kumimoji="0" lang="en-US" sz="13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.VnTimeH"/>
              <a:ea typeface="+mn-ea"/>
              <a:cs typeface="+mn-cs"/>
            </a:rPr>
            <a:t> qu©n sù qu©n khu 3</a:t>
          </a:r>
          <a:endParaRPr kumimoji="0" lang="en-US" sz="13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.VnTimeH"/>
            <a:ea typeface="+mn-ea"/>
            <a:cs typeface="+mn-cs"/>
          </a:endParaRPr>
        </a:p>
        <a:p>
          <a:pPr algn="ctr" rtl="0">
            <a:lnSpc>
              <a:spcPts val="1600"/>
            </a:lnSpc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phßng ®µo t¹o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0</xdr:rowOff>
    </xdr:from>
    <xdr:to>
      <xdr:col>4</xdr:col>
      <xdr:colOff>561975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90935A9F-03E6-484E-97B9-036F9ACEDB62}"/>
            </a:ext>
          </a:extLst>
        </xdr:cNvPr>
        <xdr:cNvSpPr txBox="1">
          <a:spLocks noChangeArrowheads="1"/>
        </xdr:cNvSpPr>
      </xdr:nvSpPr>
      <xdr:spPr bwMode="auto">
        <a:xfrm>
          <a:off x="180975" y="0"/>
          <a:ext cx="24955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Phª DuyÖt</a:t>
          </a:r>
          <a:endParaRPr lang="en-US" sz="1400" b="0" i="0" u="none" strike="noStrike" baseline="0">
            <a:solidFill>
              <a:srgbClr val="000000"/>
            </a:solidFill>
            <a:latin typeface=".VnTime"/>
          </a:endParaRP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Ngµy      th¸ng     n¨m 2013</a:t>
          </a: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HiÖu tr­ëng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0</xdr:rowOff>
    </xdr:from>
    <xdr:to>
      <xdr:col>4</xdr:col>
      <xdr:colOff>561975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90935A9F-03E6-484E-97B9-036F9ACEDB62}"/>
            </a:ext>
          </a:extLst>
        </xdr:cNvPr>
        <xdr:cNvSpPr txBox="1">
          <a:spLocks noChangeArrowheads="1"/>
        </xdr:cNvSpPr>
      </xdr:nvSpPr>
      <xdr:spPr bwMode="auto">
        <a:xfrm>
          <a:off x="180975" y="0"/>
          <a:ext cx="24955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Phª DuyÖt</a:t>
          </a:r>
          <a:endParaRPr lang="en-US" sz="1400" b="0" i="0" u="none" strike="noStrike" baseline="0">
            <a:solidFill>
              <a:srgbClr val="000000"/>
            </a:solidFill>
            <a:latin typeface=".VnTime"/>
          </a:endParaRP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Ngµy      th¸ng     n¨m 2013</a:t>
          </a: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HiÖu tr­ëng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0</xdr:rowOff>
    </xdr:from>
    <xdr:to>
      <xdr:col>4</xdr:col>
      <xdr:colOff>561975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90935A9F-03E6-484E-97B9-036F9ACEDB62}"/>
            </a:ext>
          </a:extLst>
        </xdr:cNvPr>
        <xdr:cNvSpPr txBox="1">
          <a:spLocks noChangeArrowheads="1"/>
        </xdr:cNvSpPr>
      </xdr:nvSpPr>
      <xdr:spPr bwMode="auto">
        <a:xfrm>
          <a:off x="180975" y="0"/>
          <a:ext cx="249555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Phª DuyÖt</a:t>
          </a:r>
          <a:endParaRPr lang="en-US" sz="1400" b="0" i="0" u="none" strike="noStrike" baseline="0">
            <a:solidFill>
              <a:srgbClr val="000000"/>
            </a:solidFill>
            <a:latin typeface=".VnTime"/>
          </a:endParaRP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Ngµy      th¸ng     n¨m 2013</a:t>
          </a: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HiÖu tr­ëng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0</xdr:rowOff>
    </xdr:from>
    <xdr:to>
      <xdr:col>3</xdr:col>
      <xdr:colOff>561975</xdr:colOff>
      <xdr:row>0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CA29D4A8-0C40-4B02-AB47-87C11F0A0248}"/>
            </a:ext>
          </a:extLst>
        </xdr:cNvPr>
        <xdr:cNvSpPr txBox="1">
          <a:spLocks noChangeArrowheads="1"/>
        </xdr:cNvSpPr>
      </xdr:nvSpPr>
      <xdr:spPr bwMode="auto">
        <a:xfrm>
          <a:off x="180975" y="0"/>
          <a:ext cx="1257300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n-US" sz="1300" b="1" i="0" u="none" strike="noStrike" baseline="0">
              <a:solidFill>
                <a:srgbClr val="000000"/>
              </a:solidFill>
              <a:latin typeface=".VnTimeH"/>
            </a:rPr>
            <a:t>Phª DuyÖt</a:t>
          </a:r>
          <a:endParaRPr lang="en-US" sz="1400" b="0" i="0" u="none" strike="noStrike" baseline="0">
            <a:solidFill>
              <a:srgbClr val="000000"/>
            </a:solidFill>
            <a:latin typeface=".VnTime"/>
          </a:endParaRP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Ngµy      th¸ng     n¨m 2013</a:t>
          </a:r>
        </a:p>
        <a:p>
          <a:pPr algn="ctr" rtl="0">
            <a:defRPr sz="1000"/>
          </a:pPr>
          <a:r>
            <a:rPr lang="en-US" sz="1300" b="0" i="1" u="none" strike="noStrike" baseline="0">
              <a:solidFill>
                <a:srgbClr val="000000"/>
              </a:solidFill>
              <a:latin typeface=".VnTime"/>
            </a:rPr>
            <a:t>HiÖu tr­ëng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2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rgb="FF00FF00"/>
  </sheetPr>
  <dimension ref="A1:AI94"/>
  <sheetViews>
    <sheetView topLeftCell="A31" zoomScale="120" zoomScaleNormal="120" workbookViewId="0">
      <selection activeCell="AC33" sqref="AC33"/>
    </sheetView>
  </sheetViews>
  <sheetFormatPr defaultRowHeight="18.75" x14ac:dyDescent="0.3"/>
  <cols>
    <col min="1" max="1" width="3.19921875" style="1" customWidth="1"/>
    <col min="2" max="2" width="3.8984375" style="1" customWidth="1"/>
    <col min="3" max="3" width="4.19921875" style="1" customWidth="1"/>
    <col min="4" max="4" width="15.796875" customWidth="1"/>
    <col min="5" max="5" width="8.5" style="1" customWidth="1"/>
    <col min="6" max="11" width="2.796875" style="1" customWidth="1"/>
    <col min="12" max="12" width="2.796875" style="237" customWidth="1"/>
    <col min="13" max="16" width="2.796875" style="1" customWidth="1"/>
    <col min="17" max="18" width="2.796875" style="40" customWidth="1"/>
    <col min="19" max="19" width="3.8984375" style="25" customWidth="1"/>
    <col min="20" max="22" width="2.19921875" style="20" hidden="1" customWidth="1"/>
    <col min="23" max="24" width="3.3984375" style="23" hidden="1" customWidth="1"/>
    <col min="25" max="25" width="4.19921875" style="23" customWidth="1"/>
    <col min="26" max="26" width="4.8984375" style="14" hidden="1" customWidth="1"/>
    <col min="27" max="27" width="21.59765625" style="23" customWidth="1"/>
    <col min="28" max="28" width="1.8984375" customWidth="1"/>
    <col min="29" max="29" width="4.5" style="461" customWidth="1"/>
  </cols>
  <sheetData>
    <row r="1" spans="1:35" s="761" customFormat="1" ht="15.75" x14ac:dyDescent="0.25">
      <c r="B1" s="763"/>
      <c r="C1" s="763"/>
      <c r="D1" s="763"/>
      <c r="E1" s="1046" t="s">
        <v>2237</v>
      </c>
      <c r="F1" s="1046"/>
      <c r="G1" s="1046"/>
      <c r="H1" s="1046"/>
      <c r="I1" s="1046"/>
      <c r="J1" s="1046"/>
      <c r="K1" s="1046"/>
      <c r="L1" s="1046"/>
      <c r="M1" s="1046"/>
      <c r="N1" s="1046"/>
      <c r="O1" s="1046"/>
      <c r="P1" s="1046"/>
      <c r="Q1" s="1046"/>
      <c r="R1" s="1046"/>
      <c r="S1" s="1046"/>
      <c r="T1" s="1046"/>
      <c r="U1" s="1046"/>
      <c r="V1" s="1046"/>
      <c r="W1" s="1046"/>
      <c r="X1" s="1046"/>
      <c r="Y1" s="1046"/>
      <c r="Z1" s="1046"/>
      <c r="AA1" s="1046"/>
      <c r="AB1" s="763"/>
      <c r="AC1" s="763"/>
      <c r="AD1" s="763"/>
      <c r="AE1" s="763"/>
      <c r="AF1" s="763"/>
      <c r="AG1" s="763"/>
    </row>
    <row r="2" spans="1:35" s="761" customFormat="1" ht="15.75" x14ac:dyDescent="0.25">
      <c r="B2" s="763"/>
      <c r="C2" s="763"/>
      <c r="D2" s="763"/>
      <c r="E2" s="1046" t="s">
        <v>2297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  <c r="X2" s="1046"/>
      <c r="Y2" s="1046"/>
      <c r="Z2" s="1046"/>
      <c r="AA2" s="1046"/>
    </row>
    <row r="3" spans="1:35" s="761" customFormat="1" ht="15.75" hidden="1" customHeight="1" x14ac:dyDescent="0.25">
      <c r="B3" s="762"/>
      <c r="C3" s="762"/>
      <c r="D3" s="762"/>
      <c r="E3" s="1047" t="s">
        <v>34</v>
      </c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47"/>
      <c r="W3" s="1047"/>
      <c r="X3" s="1047"/>
      <c r="Y3" s="1047"/>
      <c r="Z3" s="1047"/>
      <c r="AA3" s="1047"/>
      <c r="AB3" s="762"/>
      <c r="AC3" s="762"/>
    </row>
    <row r="4" spans="1:35" s="761" customFormat="1" ht="15.75" customHeight="1" x14ac:dyDescent="0.25">
      <c r="B4" s="763"/>
      <c r="C4" s="763"/>
      <c r="D4" s="763"/>
      <c r="E4" s="1052" t="s">
        <v>2295</v>
      </c>
      <c r="F4" s="1052"/>
      <c r="G4" s="1052"/>
      <c r="H4" s="1052"/>
      <c r="I4" s="1052"/>
      <c r="J4" s="1052"/>
      <c r="K4" s="1052"/>
      <c r="L4" s="1052"/>
      <c r="M4" s="1052"/>
      <c r="N4" s="1052"/>
      <c r="O4" s="1052"/>
      <c r="P4" s="1052"/>
      <c r="Q4" s="1052"/>
      <c r="R4" s="1052"/>
      <c r="S4" s="1052"/>
      <c r="T4" s="1052"/>
      <c r="U4" s="1052"/>
      <c r="V4" s="1052"/>
      <c r="W4" s="1052"/>
      <c r="X4" s="1052"/>
      <c r="Y4" s="1052"/>
      <c r="Z4" s="1052"/>
      <c r="AA4" s="1052"/>
      <c r="AB4" s="1052"/>
      <c r="AC4" s="1052"/>
      <c r="AD4" s="1052"/>
      <c r="AE4" s="1052"/>
      <c r="AF4" s="1052"/>
      <c r="AG4" s="1052"/>
      <c r="AH4" s="1052"/>
      <c r="AI4" s="1052"/>
    </row>
    <row r="5" spans="1:35" ht="2.2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34"/>
      <c r="M5" s="2"/>
      <c r="N5" s="2"/>
      <c r="O5" s="2"/>
      <c r="P5" s="2"/>
      <c r="Q5" s="38"/>
      <c r="R5" s="38"/>
      <c r="S5" s="13"/>
      <c r="T5" s="177"/>
      <c r="U5" s="177"/>
      <c r="V5" s="177"/>
      <c r="W5" s="13"/>
      <c r="X5" s="13"/>
      <c r="Y5" s="13"/>
      <c r="Z5" s="13"/>
      <c r="AA5" s="13"/>
      <c r="AB5" s="112">
        <v>12</v>
      </c>
    </row>
    <row r="6" spans="1:35" s="351" customFormat="1" ht="23.25" customHeight="1" thickTop="1" x14ac:dyDescent="0.2">
      <c r="A6" s="1056" t="s">
        <v>91</v>
      </c>
      <c r="B6" s="1060" t="s">
        <v>2118</v>
      </c>
      <c r="C6" s="1061"/>
      <c r="D6" s="1058" t="s">
        <v>2119</v>
      </c>
      <c r="E6" s="1058" t="s">
        <v>2120</v>
      </c>
      <c r="F6" s="1053" t="s">
        <v>2122</v>
      </c>
      <c r="G6" s="1054"/>
      <c r="H6" s="1054"/>
      <c r="I6" s="1054"/>
      <c r="J6" s="1054"/>
      <c r="K6" s="1054"/>
      <c r="L6" s="1054"/>
      <c r="M6" s="1054"/>
      <c r="N6" s="1054"/>
      <c r="O6" s="1054"/>
      <c r="P6" s="1054"/>
      <c r="Q6" s="1054"/>
      <c r="R6" s="1055"/>
      <c r="S6" s="1069" t="s">
        <v>2107</v>
      </c>
      <c r="T6" s="1053" t="s">
        <v>104</v>
      </c>
      <c r="U6" s="1054"/>
      <c r="V6" s="1054"/>
      <c r="W6" s="1055"/>
      <c r="X6" s="1048" t="s">
        <v>99</v>
      </c>
      <c r="Y6" s="1048" t="s">
        <v>2108</v>
      </c>
      <c r="Z6" s="1050" t="s">
        <v>103</v>
      </c>
      <c r="AA6" s="1067" t="s">
        <v>2121</v>
      </c>
      <c r="AB6" s="351">
        <v>12</v>
      </c>
    </row>
    <row r="7" spans="1:35" s="351" customFormat="1" ht="194.25" customHeight="1" x14ac:dyDescent="0.2">
      <c r="A7" s="1057"/>
      <c r="B7" s="1062"/>
      <c r="C7" s="1063"/>
      <c r="D7" s="1059"/>
      <c r="E7" s="1059"/>
      <c r="F7" s="714" t="s">
        <v>2128</v>
      </c>
      <c r="G7" s="727" t="s">
        <v>2151</v>
      </c>
      <c r="H7" s="727" t="s">
        <v>2152</v>
      </c>
      <c r="I7" s="727" t="s">
        <v>2153</v>
      </c>
      <c r="J7" s="727" t="s">
        <v>2222</v>
      </c>
      <c r="K7" s="727" t="s">
        <v>2253</v>
      </c>
      <c r="L7" s="727" t="s">
        <v>2097</v>
      </c>
      <c r="M7" s="725" t="s">
        <v>2154</v>
      </c>
      <c r="N7" s="727" t="s">
        <v>2155</v>
      </c>
      <c r="O7" s="714" t="s">
        <v>2158</v>
      </c>
      <c r="P7" s="714" t="s">
        <v>2113</v>
      </c>
      <c r="Q7" s="728" t="s">
        <v>2156</v>
      </c>
      <c r="R7" s="727" t="s">
        <v>2157</v>
      </c>
      <c r="S7" s="1070"/>
      <c r="T7" s="718" t="s">
        <v>108</v>
      </c>
      <c r="U7" s="718" t="s">
        <v>97</v>
      </c>
      <c r="V7" s="718" t="s">
        <v>96</v>
      </c>
      <c r="W7" s="719" t="s">
        <v>98</v>
      </c>
      <c r="X7" s="1049"/>
      <c r="Y7" s="1049"/>
      <c r="Z7" s="1051"/>
      <c r="AA7" s="1068"/>
      <c r="AB7" s="544" t="s">
        <v>94</v>
      </c>
    </row>
    <row r="8" spans="1:35" s="256" customFormat="1" ht="16.5" customHeight="1" x14ac:dyDescent="0.25">
      <c r="A8" s="741">
        <v>1</v>
      </c>
      <c r="B8" s="753"/>
      <c r="C8" s="748">
        <v>2026</v>
      </c>
      <c r="D8" s="691" t="s">
        <v>2329</v>
      </c>
      <c r="E8" s="690" t="s">
        <v>2330</v>
      </c>
      <c r="F8" s="705"/>
      <c r="G8" s="705"/>
      <c r="H8" s="705"/>
      <c r="I8" s="705"/>
      <c r="J8" s="705"/>
      <c r="K8" s="705"/>
      <c r="L8" s="705"/>
      <c r="M8" s="705"/>
      <c r="N8" s="705"/>
      <c r="O8" s="705"/>
      <c r="P8" s="705"/>
      <c r="Q8" s="705"/>
      <c r="R8" s="711"/>
      <c r="S8" s="776">
        <f>SUM(F8:R8)/13</f>
        <v>0</v>
      </c>
      <c r="T8" s="266"/>
      <c r="U8" s="266"/>
      <c r="V8" s="266"/>
      <c r="W8" s="286">
        <f>SUM(T8:V8)/3</f>
        <v>0</v>
      </c>
      <c r="X8" s="286">
        <f>SUM(S8+W8)/2</f>
        <v>0</v>
      </c>
      <c r="Y8" s="257"/>
      <c r="Z8" s="271"/>
      <c r="AA8" s="693" t="s">
        <v>2476</v>
      </c>
      <c r="AB8" s="545"/>
      <c r="AC8" s="357" t="e">
        <f t="shared" ref="AC8:AC39" si="0">AVERAGE(F8:R8)</f>
        <v>#DIV/0!</v>
      </c>
    </row>
    <row r="9" spans="1:35" s="256" customFormat="1" ht="16.5" customHeight="1" x14ac:dyDescent="0.25">
      <c r="A9" s="744">
        <v>2</v>
      </c>
      <c r="B9" s="750"/>
      <c r="C9" s="751">
        <v>2026</v>
      </c>
      <c r="D9" s="688" t="s">
        <v>2331</v>
      </c>
      <c r="E9" s="685" t="s">
        <v>2332</v>
      </c>
      <c r="F9" s="707"/>
      <c r="G9" s="707"/>
      <c r="H9" s="707"/>
      <c r="I9" s="707"/>
      <c r="J9" s="707"/>
      <c r="K9" s="707"/>
      <c r="L9" s="707"/>
      <c r="M9" s="707"/>
      <c r="N9" s="707"/>
      <c r="O9" s="707"/>
      <c r="P9" s="707"/>
      <c r="Q9" s="707"/>
      <c r="R9" s="707"/>
      <c r="S9" s="782">
        <f t="shared" ref="S9:S85" si="1">SUM(F9:R9)/13</f>
        <v>0</v>
      </c>
      <c r="T9" s="242"/>
      <c r="U9" s="242"/>
      <c r="V9" s="242"/>
      <c r="W9" s="277">
        <f t="shared" ref="W9:W28" si="2">SUM(T9:V9)/3</f>
        <v>0</v>
      </c>
      <c r="X9" s="277">
        <f t="shared" ref="X9:X28" si="3">SUM(S9+W9)/2</f>
        <v>0</v>
      </c>
      <c r="Y9" s="379"/>
      <c r="Z9" s="273"/>
      <c r="AA9" s="692" t="s">
        <v>2477</v>
      </c>
      <c r="AB9" s="545"/>
      <c r="AC9" s="357" t="e">
        <f t="shared" si="0"/>
        <v>#DIV/0!</v>
      </c>
    </row>
    <row r="10" spans="1:35" s="256" customFormat="1" ht="16.5" customHeight="1" x14ac:dyDescent="0.25">
      <c r="A10" s="744">
        <v>3</v>
      </c>
      <c r="B10" s="750"/>
      <c r="C10" s="751">
        <v>2026</v>
      </c>
      <c r="D10" s="688" t="s">
        <v>2333</v>
      </c>
      <c r="E10" s="685" t="s">
        <v>2334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7"/>
      <c r="R10" s="707"/>
      <c r="S10" s="782">
        <f t="shared" si="1"/>
        <v>0</v>
      </c>
      <c r="T10" s="242"/>
      <c r="U10" s="242"/>
      <c r="V10" s="242"/>
      <c r="W10" s="277">
        <f t="shared" si="2"/>
        <v>0</v>
      </c>
      <c r="X10" s="277">
        <f t="shared" si="3"/>
        <v>0</v>
      </c>
      <c r="Y10" s="379"/>
      <c r="Z10" s="273"/>
      <c r="AA10" s="692" t="s">
        <v>2478</v>
      </c>
      <c r="AB10" s="545"/>
      <c r="AC10" s="357" t="e">
        <f t="shared" si="0"/>
        <v>#DIV/0!</v>
      </c>
    </row>
    <row r="11" spans="1:35" s="256" customFormat="1" ht="16.5" customHeight="1" x14ac:dyDescent="0.25">
      <c r="A11" s="744">
        <v>4</v>
      </c>
      <c r="B11" s="750"/>
      <c r="C11" s="751">
        <v>2026</v>
      </c>
      <c r="D11" s="688" t="s">
        <v>2335</v>
      </c>
      <c r="E11" s="685" t="s">
        <v>2336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07"/>
      <c r="R11" s="707"/>
      <c r="S11" s="782">
        <f t="shared" si="1"/>
        <v>0</v>
      </c>
      <c r="T11" s="242"/>
      <c r="U11" s="242"/>
      <c r="V11" s="242"/>
      <c r="W11" s="277">
        <f t="shared" si="2"/>
        <v>0</v>
      </c>
      <c r="X11" s="277">
        <f t="shared" si="3"/>
        <v>0</v>
      </c>
      <c r="Y11" s="379"/>
      <c r="Z11" s="273"/>
      <c r="AA11" s="692" t="s">
        <v>2479</v>
      </c>
      <c r="AB11" s="545"/>
      <c r="AC11" s="357" t="e">
        <f t="shared" si="0"/>
        <v>#DIV/0!</v>
      </c>
    </row>
    <row r="12" spans="1:35" s="256" customFormat="1" ht="16.5" customHeight="1" x14ac:dyDescent="0.25">
      <c r="A12" s="744">
        <v>5</v>
      </c>
      <c r="B12" s="750"/>
      <c r="C12" s="751">
        <v>2026</v>
      </c>
      <c r="D12" s="688" t="s">
        <v>2337</v>
      </c>
      <c r="E12" s="685" t="s">
        <v>2338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07"/>
      <c r="R12" s="707"/>
      <c r="S12" s="782">
        <f t="shared" si="1"/>
        <v>0</v>
      </c>
      <c r="T12" s="242"/>
      <c r="U12" s="242"/>
      <c r="V12" s="242"/>
      <c r="W12" s="277">
        <f t="shared" si="2"/>
        <v>0</v>
      </c>
      <c r="X12" s="277">
        <f t="shared" si="3"/>
        <v>0</v>
      </c>
      <c r="Y12" s="379"/>
      <c r="Z12" s="273"/>
      <c r="AA12" s="692" t="s">
        <v>2480</v>
      </c>
      <c r="AB12" s="545"/>
      <c r="AC12" s="357" t="e">
        <f t="shared" si="0"/>
        <v>#DIV/0!</v>
      </c>
    </row>
    <row r="13" spans="1:35" s="256" customFormat="1" ht="16.5" customHeight="1" x14ac:dyDescent="0.25">
      <c r="A13" s="744">
        <v>6</v>
      </c>
      <c r="B13" s="750"/>
      <c r="C13" s="751">
        <v>2026</v>
      </c>
      <c r="D13" s="688" t="s">
        <v>2339</v>
      </c>
      <c r="E13" s="685" t="s">
        <v>2340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07"/>
      <c r="R13" s="707"/>
      <c r="S13" s="782">
        <f t="shared" si="1"/>
        <v>0</v>
      </c>
      <c r="T13" s="242"/>
      <c r="U13" s="242"/>
      <c r="V13" s="242"/>
      <c r="W13" s="277">
        <f t="shared" si="2"/>
        <v>0</v>
      </c>
      <c r="X13" s="277">
        <f t="shared" si="3"/>
        <v>0</v>
      </c>
      <c r="Y13" s="379"/>
      <c r="Z13" s="273"/>
      <c r="AA13" s="692" t="s">
        <v>2481</v>
      </c>
      <c r="AB13" s="545"/>
      <c r="AC13" s="357" t="e">
        <f t="shared" si="0"/>
        <v>#DIV/0!</v>
      </c>
    </row>
    <row r="14" spans="1:35" s="256" customFormat="1" ht="16.5" customHeight="1" x14ac:dyDescent="0.25">
      <c r="A14" s="744">
        <v>7</v>
      </c>
      <c r="B14" s="750"/>
      <c r="C14" s="751">
        <v>2026</v>
      </c>
      <c r="D14" s="688" t="s">
        <v>2341</v>
      </c>
      <c r="E14" s="685" t="s">
        <v>2342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07"/>
      <c r="S14" s="782">
        <f t="shared" si="1"/>
        <v>0</v>
      </c>
      <c r="T14" s="242"/>
      <c r="U14" s="242"/>
      <c r="V14" s="242"/>
      <c r="W14" s="277">
        <f t="shared" si="2"/>
        <v>0</v>
      </c>
      <c r="X14" s="277">
        <f t="shared" si="3"/>
        <v>0</v>
      </c>
      <c r="Y14" s="379"/>
      <c r="Z14" s="273"/>
      <c r="AA14" s="692" t="s">
        <v>2482</v>
      </c>
      <c r="AB14" s="545"/>
      <c r="AC14" s="357" t="e">
        <f t="shared" si="0"/>
        <v>#DIV/0!</v>
      </c>
    </row>
    <row r="15" spans="1:35" s="256" customFormat="1" ht="16.5" customHeight="1" x14ac:dyDescent="0.25">
      <c r="A15" s="744">
        <v>8</v>
      </c>
      <c r="B15" s="750"/>
      <c r="C15" s="751">
        <v>2026</v>
      </c>
      <c r="D15" s="688" t="s">
        <v>2343</v>
      </c>
      <c r="E15" s="685" t="s">
        <v>1033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07"/>
      <c r="R15" s="707"/>
      <c r="S15" s="782">
        <f t="shared" si="1"/>
        <v>0</v>
      </c>
      <c r="T15" s="242"/>
      <c r="U15" s="242"/>
      <c r="V15" s="242"/>
      <c r="W15" s="277">
        <f t="shared" si="2"/>
        <v>0</v>
      </c>
      <c r="X15" s="277">
        <f t="shared" si="3"/>
        <v>0</v>
      </c>
      <c r="Y15" s="379"/>
      <c r="Z15" s="273"/>
      <c r="AA15" s="692" t="s">
        <v>2483</v>
      </c>
      <c r="AB15" s="545"/>
      <c r="AC15" s="357" t="e">
        <f t="shared" si="0"/>
        <v>#DIV/0!</v>
      </c>
    </row>
    <row r="16" spans="1:35" s="256" customFormat="1" ht="16.5" customHeight="1" x14ac:dyDescent="0.25">
      <c r="A16" s="744">
        <v>9</v>
      </c>
      <c r="B16" s="750"/>
      <c r="C16" s="751">
        <v>2026</v>
      </c>
      <c r="D16" s="688" t="s">
        <v>2344</v>
      </c>
      <c r="E16" s="685" t="s">
        <v>2345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07"/>
      <c r="R16" s="707"/>
      <c r="S16" s="782">
        <f t="shared" si="1"/>
        <v>0</v>
      </c>
      <c r="T16" s="242"/>
      <c r="U16" s="242"/>
      <c r="V16" s="242"/>
      <c r="W16" s="277">
        <f t="shared" si="2"/>
        <v>0</v>
      </c>
      <c r="X16" s="277">
        <f t="shared" si="3"/>
        <v>0</v>
      </c>
      <c r="Y16" s="379"/>
      <c r="Z16" s="273"/>
      <c r="AA16" s="692" t="s">
        <v>2484</v>
      </c>
      <c r="AB16" s="545"/>
      <c r="AC16" s="357" t="e">
        <f t="shared" si="0"/>
        <v>#DIV/0!</v>
      </c>
    </row>
    <row r="17" spans="1:29" s="256" customFormat="1" ht="16.5" customHeight="1" x14ac:dyDescent="0.25">
      <c r="A17" s="744">
        <v>10</v>
      </c>
      <c r="B17" s="750"/>
      <c r="C17" s="751">
        <v>2026</v>
      </c>
      <c r="D17" s="688" t="s">
        <v>2346</v>
      </c>
      <c r="E17" s="685" t="s">
        <v>2347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07"/>
      <c r="S17" s="782">
        <f t="shared" si="1"/>
        <v>0</v>
      </c>
      <c r="T17" s="242"/>
      <c r="U17" s="242"/>
      <c r="V17" s="242"/>
      <c r="W17" s="277">
        <f t="shared" si="2"/>
        <v>0</v>
      </c>
      <c r="X17" s="277">
        <f t="shared" si="3"/>
        <v>0</v>
      </c>
      <c r="Y17" s="379"/>
      <c r="Z17" s="273"/>
      <c r="AA17" s="692" t="s">
        <v>2485</v>
      </c>
      <c r="AB17" s="545"/>
      <c r="AC17" s="357" t="e">
        <f t="shared" si="0"/>
        <v>#DIV/0!</v>
      </c>
    </row>
    <row r="18" spans="1:29" s="256" customFormat="1" ht="16.5" customHeight="1" x14ac:dyDescent="0.25">
      <c r="A18" s="744">
        <v>11</v>
      </c>
      <c r="B18" s="750"/>
      <c r="C18" s="751">
        <v>2026</v>
      </c>
      <c r="D18" s="688" t="s">
        <v>2348</v>
      </c>
      <c r="E18" s="685" t="s">
        <v>2349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07"/>
      <c r="R18" s="707"/>
      <c r="S18" s="782">
        <f t="shared" si="1"/>
        <v>0</v>
      </c>
      <c r="T18" s="242"/>
      <c r="U18" s="242"/>
      <c r="V18" s="242"/>
      <c r="W18" s="277">
        <f t="shared" si="2"/>
        <v>0</v>
      </c>
      <c r="X18" s="277">
        <f t="shared" si="3"/>
        <v>0</v>
      </c>
      <c r="Y18" s="379"/>
      <c r="Z18" s="273"/>
      <c r="AA18" s="692" t="s">
        <v>2486</v>
      </c>
      <c r="AB18" s="545"/>
      <c r="AC18" s="357" t="e">
        <f t="shared" si="0"/>
        <v>#DIV/0!</v>
      </c>
    </row>
    <row r="19" spans="1:29" s="256" customFormat="1" ht="16.5" customHeight="1" x14ac:dyDescent="0.25">
      <c r="A19" s="744">
        <v>12</v>
      </c>
      <c r="B19" s="750"/>
      <c r="C19" s="751">
        <v>2026</v>
      </c>
      <c r="D19" s="688" t="s">
        <v>2350</v>
      </c>
      <c r="E19" s="685" t="s">
        <v>2351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07"/>
      <c r="S19" s="782">
        <f t="shared" si="1"/>
        <v>0</v>
      </c>
      <c r="T19" s="242"/>
      <c r="U19" s="242"/>
      <c r="V19" s="242"/>
      <c r="W19" s="277">
        <f t="shared" si="2"/>
        <v>0</v>
      </c>
      <c r="X19" s="277">
        <f t="shared" si="3"/>
        <v>0</v>
      </c>
      <c r="Y19" s="379"/>
      <c r="Z19" s="273"/>
      <c r="AA19" s="692" t="s">
        <v>2487</v>
      </c>
      <c r="AB19" s="545"/>
      <c r="AC19" s="357" t="e">
        <f t="shared" si="0"/>
        <v>#DIV/0!</v>
      </c>
    </row>
    <row r="20" spans="1:29" s="256" customFormat="1" ht="16.5" customHeight="1" x14ac:dyDescent="0.25">
      <c r="A20" s="744">
        <v>13</v>
      </c>
      <c r="B20" s="750"/>
      <c r="C20" s="751">
        <v>2026</v>
      </c>
      <c r="D20" s="688" t="s">
        <v>2352</v>
      </c>
      <c r="E20" s="685" t="s">
        <v>2353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82">
        <f t="shared" si="1"/>
        <v>0</v>
      </c>
      <c r="T20" s="242"/>
      <c r="U20" s="242"/>
      <c r="V20" s="242"/>
      <c r="W20" s="277">
        <f t="shared" si="2"/>
        <v>0</v>
      </c>
      <c r="X20" s="277">
        <f t="shared" si="3"/>
        <v>0</v>
      </c>
      <c r="Y20" s="379"/>
      <c r="Z20" s="273"/>
      <c r="AA20" s="692" t="s">
        <v>2488</v>
      </c>
      <c r="AB20" s="545"/>
      <c r="AC20" s="357" t="e">
        <f t="shared" si="0"/>
        <v>#DIV/0!</v>
      </c>
    </row>
    <row r="21" spans="1:29" s="256" customFormat="1" ht="16.5" customHeight="1" x14ac:dyDescent="0.25">
      <c r="A21" s="744">
        <v>14</v>
      </c>
      <c r="B21" s="750"/>
      <c r="C21" s="751">
        <v>2026</v>
      </c>
      <c r="D21" s="688" t="s">
        <v>2354</v>
      </c>
      <c r="E21" s="685" t="s">
        <v>2355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07"/>
      <c r="R21" s="707"/>
      <c r="S21" s="782">
        <f t="shared" si="1"/>
        <v>0</v>
      </c>
      <c r="T21" s="242"/>
      <c r="U21" s="242"/>
      <c r="V21" s="242"/>
      <c r="W21" s="277">
        <f t="shared" si="2"/>
        <v>0</v>
      </c>
      <c r="X21" s="277">
        <f t="shared" si="3"/>
        <v>0</v>
      </c>
      <c r="Y21" s="379"/>
      <c r="Z21" s="273"/>
      <c r="AA21" s="692" t="s">
        <v>2489</v>
      </c>
      <c r="AB21" s="545"/>
      <c r="AC21" s="357" t="e">
        <f t="shared" si="0"/>
        <v>#DIV/0!</v>
      </c>
    </row>
    <row r="22" spans="1:29" s="256" customFormat="1" ht="16.5" customHeight="1" x14ac:dyDescent="0.25">
      <c r="A22" s="744">
        <v>15</v>
      </c>
      <c r="B22" s="750"/>
      <c r="C22" s="751">
        <v>2026</v>
      </c>
      <c r="D22" s="688" t="s">
        <v>2356</v>
      </c>
      <c r="E22" s="685" t="s">
        <v>2357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07"/>
      <c r="R22" s="707"/>
      <c r="S22" s="782">
        <f t="shared" si="1"/>
        <v>0</v>
      </c>
      <c r="T22" s="242"/>
      <c r="U22" s="242"/>
      <c r="V22" s="242"/>
      <c r="W22" s="277">
        <f t="shared" si="2"/>
        <v>0</v>
      </c>
      <c r="X22" s="277">
        <f t="shared" si="3"/>
        <v>0</v>
      </c>
      <c r="Y22" s="379"/>
      <c r="Z22" s="273"/>
      <c r="AA22" s="692" t="s">
        <v>2490</v>
      </c>
      <c r="AB22" s="545"/>
      <c r="AC22" s="357" t="e">
        <f t="shared" si="0"/>
        <v>#DIV/0!</v>
      </c>
    </row>
    <row r="23" spans="1:29" s="256" customFormat="1" ht="16.5" customHeight="1" x14ac:dyDescent="0.25">
      <c r="A23" s="744">
        <v>16</v>
      </c>
      <c r="B23" s="750"/>
      <c r="C23" s="751">
        <v>2026</v>
      </c>
      <c r="D23" s="688" t="s">
        <v>2358</v>
      </c>
      <c r="E23" s="685" t="s">
        <v>2359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07"/>
      <c r="R23" s="707"/>
      <c r="S23" s="782">
        <f t="shared" si="1"/>
        <v>0</v>
      </c>
      <c r="T23" s="242"/>
      <c r="U23" s="242"/>
      <c r="V23" s="242"/>
      <c r="W23" s="277">
        <f t="shared" si="2"/>
        <v>0</v>
      </c>
      <c r="X23" s="277">
        <f t="shared" si="3"/>
        <v>0</v>
      </c>
      <c r="Y23" s="379"/>
      <c r="Z23" s="273"/>
      <c r="AA23" s="692" t="s">
        <v>2491</v>
      </c>
      <c r="AB23" s="545"/>
      <c r="AC23" s="357" t="e">
        <f t="shared" si="0"/>
        <v>#DIV/0!</v>
      </c>
    </row>
    <row r="24" spans="1:29" s="256" customFormat="1" ht="16.5" customHeight="1" x14ac:dyDescent="0.25">
      <c r="A24" s="744">
        <v>17</v>
      </c>
      <c r="B24" s="750"/>
      <c r="C24" s="751">
        <v>2026</v>
      </c>
      <c r="D24" s="688" t="s">
        <v>2360</v>
      </c>
      <c r="E24" s="685" t="s">
        <v>2361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07"/>
      <c r="R24" s="707"/>
      <c r="S24" s="782">
        <f t="shared" si="1"/>
        <v>0</v>
      </c>
      <c r="T24" s="242"/>
      <c r="U24" s="242"/>
      <c r="V24" s="242"/>
      <c r="W24" s="277">
        <f t="shared" si="2"/>
        <v>0</v>
      </c>
      <c r="X24" s="277">
        <f t="shared" si="3"/>
        <v>0</v>
      </c>
      <c r="Y24" s="379"/>
      <c r="Z24" s="273"/>
      <c r="AA24" s="692" t="s">
        <v>2484</v>
      </c>
      <c r="AB24" s="545"/>
      <c r="AC24" s="357" t="e">
        <f t="shared" si="0"/>
        <v>#DIV/0!</v>
      </c>
    </row>
    <row r="25" spans="1:29" s="256" customFormat="1" ht="16.5" customHeight="1" x14ac:dyDescent="0.25">
      <c r="A25" s="744">
        <v>18</v>
      </c>
      <c r="B25" s="750"/>
      <c r="C25" s="751">
        <v>2026</v>
      </c>
      <c r="D25" s="688" t="s">
        <v>2362</v>
      </c>
      <c r="E25" s="685" t="s">
        <v>2363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07"/>
      <c r="R25" s="707"/>
      <c r="S25" s="782">
        <f t="shared" si="1"/>
        <v>0</v>
      </c>
      <c r="T25" s="242"/>
      <c r="U25" s="242"/>
      <c r="V25" s="242"/>
      <c r="W25" s="277">
        <f t="shared" si="2"/>
        <v>0</v>
      </c>
      <c r="X25" s="277">
        <f t="shared" si="3"/>
        <v>0</v>
      </c>
      <c r="Y25" s="379"/>
      <c r="Z25" s="273"/>
      <c r="AA25" s="692" t="s">
        <v>2492</v>
      </c>
      <c r="AB25" s="545"/>
      <c r="AC25" s="357" t="e">
        <f t="shared" si="0"/>
        <v>#DIV/0!</v>
      </c>
    </row>
    <row r="26" spans="1:29" s="256" customFormat="1" ht="16.5" customHeight="1" x14ac:dyDescent="0.25">
      <c r="A26" s="744">
        <v>19</v>
      </c>
      <c r="B26" s="750"/>
      <c r="C26" s="751">
        <v>2026</v>
      </c>
      <c r="D26" s="688" t="s">
        <v>2364</v>
      </c>
      <c r="E26" s="685" t="s">
        <v>2347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07"/>
      <c r="R26" s="707"/>
      <c r="S26" s="782">
        <f t="shared" si="1"/>
        <v>0</v>
      </c>
      <c r="T26" s="242"/>
      <c r="U26" s="242"/>
      <c r="V26" s="242"/>
      <c r="W26" s="277">
        <f t="shared" si="2"/>
        <v>0</v>
      </c>
      <c r="X26" s="277">
        <f t="shared" si="3"/>
        <v>0</v>
      </c>
      <c r="Y26" s="379"/>
      <c r="Z26" s="273"/>
      <c r="AA26" s="692" t="s">
        <v>2493</v>
      </c>
      <c r="AB26" s="545"/>
      <c r="AC26" s="357" t="e">
        <f t="shared" si="0"/>
        <v>#DIV/0!</v>
      </c>
    </row>
    <row r="27" spans="1:29" s="256" customFormat="1" ht="16.5" customHeight="1" x14ac:dyDescent="0.25">
      <c r="A27" s="744">
        <v>20</v>
      </c>
      <c r="B27" s="750"/>
      <c r="C27" s="751">
        <v>2026</v>
      </c>
      <c r="D27" s="688" t="s">
        <v>2365</v>
      </c>
      <c r="E27" s="685" t="s">
        <v>534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07"/>
      <c r="R27" s="707"/>
      <c r="S27" s="782">
        <f t="shared" si="1"/>
        <v>0</v>
      </c>
      <c r="T27" s="242"/>
      <c r="U27" s="242"/>
      <c r="V27" s="242"/>
      <c r="W27" s="277">
        <f t="shared" si="2"/>
        <v>0</v>
      </c>
      <c r="X27" s="277">
        <f t="shared" si="3"/>
        <v>0</v>
      </c>
      <c r="Y27" s="379"/>
      <c r="Z27" s="273"/>
      <c r="AA27" s="692" t="s">
        <v>2494</v>
      </c>
      <c r="AB27" s="545"/>
      <c r="AC27" s="357" t="e">
        <f t="shared" si="0"/>
        <v>#DIV/0!</v>
      </c>
    </row>
    <row r="28" spans="1:29" s="256" customFormat="1" ht="16.5" customHeight="1" x14ac:dyDescent="0.25">
      <c r="A28" s="744">
        <v>21</v>
      </c>
      <c r="B28" s="750"/>
      <c r="C28" s="751">
        <v>2026</v>
      </c>
      <c r="D28" s="688" t="s">
        <v>2366</v>
      </c>
      <c r="E28" s="685" t="s">
        <v>2367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07"/>
      <c r="R28" s="707"/>
      <c r="S28" s="782">
        <f t="shared" si="1"/>
        <v>0</v>
      </c>
      <c r="T28" s="242"/>
      <c r="U28" s="242"/>
      <c r="V28" s="242"/>
      <c r="W28" s="277">
        <f t="shared" si="2"/>
        <v>0</v>
      </c>
      <c r="X28" s="277">
        <f t="shared" si="3"/>
        <v>0</v>
      </c>
      <c r="Y28" s="379"/>
      <c r="Z28" s="273"/>
      <c r="AA28" s="692" t="s">
        <v>2495</v>
      </c>
      <c r="AB28" s="545"/>
      <c r="AC28" s="357" t="e">
        <f t="shared" si="0"/>
        <v>#DIV/0!</v>
      </c>
    </row>
    <row r="29" spans="1:29" s="256" customFormat="1" ht="16.5" customHeight="1" x14ac:dyDescent="0.25">
      <c r="A29" s="744">
        <v>22</v>
      </c>
      <c r="B29" s="750"/>
      <c r="C29" s="751">
        <v>2026</v>
      </c>
      <c r="D29" s="688" t="s">
        <v>2368</v>
      </c>
      <c r="E29" s="685" t="s">
        <v>2369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07"/>
      <c r="R29" s="707"/>
      <c r="S29" s="782">
        <f t="shared" si="1"/>
        <v>0</v>
      </c>
      <c r="T29" s="242"/>
      <c r="U29" s="242"/>
      <c r="V29" s="242"/>
      <c r="W29" s="277">
        <f t="shared" ref="W29:W35" si="4">SUM(T29:V29)/3</f>
        <v>0</v>
      </c>
      <c r="X29" s="277">
        <f t="shared" ref="X29:X35" si="5">SUM(S29+W29)/2</f>
        <v>0</v>
      </c>
      <c r="Y29" s="379"/>
      <c r="Z29" s="273"/>
      <c r="AA29" s="692" t="s">
        <v>2482</v>
      </c>
      <c r="AB29" s="545"/>
      <c r="AC29" s="357" t="e">
        <f t="shared" si="0"/>
        <v>#DIV/0!</v>
      </c>
    </row>
    <row r="30" spans="1:29" s="256" customFormat="1" ht="16.5" customHeight="1" x14ac:dyDescent="0.25">
      <c r="A30" s="744">
        <v>23</v>
      </c>
      <c r="B30" s="750"/>
      <c r="C30" s="751">
        <v>2026</v>
      </c>
      <c r="D30" s="688" t="s">
        <v>2370</v>
      </c>
      <c r="E30" s="685" t="s">
        <v>2371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07"/>
      <c r="R30" s="707"/>
      <c r="S30" s="782">
        <f t="shared" si="1"/>
        <v>0</v>
      </c>
      <c r="T30" s="242"/>
      <c r="U30" s="242"/>
      <c r="V30" s="242"/>
      <c r="W30" s="277">
        <f t="shared" si="4"/>
        <v>0</v>
      </c>
      <c r="X30" s="277">
        <f t="shared" si="5"/>
        <v>0</v>
      </c>
      <c r="Y30" s="379"/>
      <c r="Z30" s="273"/>
      <c r="AA30" s="692" t="s">
        <v>2496</v>
      </c>
      <c r="AB30" s="545"/>
      <c r="AC30" s="357" t="e">
        <f t="shared" si="0"/>
        <v>#DIV/0!</v>
      </c>
    </row>
    <row r="31" spans="1:29" s="256" customFormat="1" ht="16.5" customHeight="1" x14ac:dyDescent="0.25">
      <c r="A31" s="744">
        <v>24</v>
      </c>
      <c r="B31" s="750"/>
      <c r="C31" s="751">
        <v>2026</v>
      </c>
      <c r="D31" s="688" t="s">
        <v>2372</v>
      </c>
      <c r="E31" s="685" t="s">
        <v>1177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07"/>
      <c r="R31" s="707"/>
      <c r="S31" s="782">
        <f t="shared" si="1"/>
        <v>0</v>
      </c>
      <c r="T31" s="242"/>
      <c r="U31" s="242"/>
      <c r="V31" s="242"/>
      <c r="W31" s="277">
        <f t="shared" si="4"/>
        <v>0</v>
      </c>
      <c r="X31" s="277">
        <f t="shared" si="5"/>
        <v>0</v>
      </c>
      <c r="Y31" s="379"/>
      <c r="Z31" s="273"/>
      <c r="AA31" s="692" t="s">
        <v>2497</v>
      </c>
      <c r="AB31" s="545"/>
      <c r="AC31" s="357" t="e">
        <f t="shared" si="0"/>
        <v>#DIV/0!</v>
      </c>
    </row>
    <row r="32" spans="1:29" s="256" customFormat="1" ht="16.5" customHeight="1" x14ac:dyDescent="0.25">
      <c r="A32" s="744">
        <v>25</v>
      </c>
      <c r="B32" s="750"/>
      <c r="C32" s="751">
        <v>2026</v>
      </c>
      <c r="D32" s="688" t="s">
        <v>2373</v>
      </c>
      <c r="E32" s="685" t="s">
        <v>2374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07"/>
      <c r="R32" s="707"/>
      <c r="S32" s="782">
        <f t="shared" si="1"/>
        <v>0</v>
      </c>
      <c r="T32" s="242"/>
      <c r="U32" s="242"/>
      <c r="V32" s="242"/>
      <c r="W32" s="277">
        <f t="shared" si="4"/>
        <v>0</v>
      </c>
      <c r="X32" s="277">
        <f t="shared" si="5"/>
        <v>0</v>
      </c>
      <c r="Y32" s="379"/>
      <c r="Z32" s="273"/>
      <c r="AA32" s="692" t="s">
        <v>2498</v>
      </c>
      <c r="AB32" s="545"/>
      <c r="AC32" s="357" t="e">
        <f t="shared" si="0"/>
        <v>#DIV/0!</v>
      </c>
    </row>
    <row r="33" spans="1:29" s="256" customFormat="1" ht="16.5" customHeight="1" x14ac:dyDescent="0.25">
      <c r="A33" s="744">
        <v>26</v>
      </c>
      <c r="B33" s="750"/>
      <c r="C33" s="751">
        <v>2026</v>
      </c>
      <c r="D33" s="688" t="s">
        <v>2375</v>
      </c>
      <c r="E33" s="685" t="s">
        <v>2376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07"/>
      <c r="S33" s="782">
        <f t="shared" si="1"/>
        <v>0</v>
      </c>
      <c r="T33" s="242"/>
      <c r="U33" s="242"/>
      <c r="V33" s="242"/>
      <c r="W33" s="277">
        <f t="shared" si="4"/>
        <v>0</v>
      </c>
      <c r="X33" s="277">
        <f t="shared" si="5"/>
        <v>0</v>
      </c>
      <c r="Y33" s="379"/>
      <c r="Z33" s="273"/>
      <c r="AA33" s="692" t="s">
        <v>2499</v>
      </c>
      <c r="AB33" s="545"/>
      <c r="AC33" s="357" t="e">
        <f t="shared" si="0"/>
        <v>#DIV/0!</v>
      </c>
    </row>
    <row r="34" spans="1:29" s="256" customFormat="1" ht="16.5" customHeight="1" x14ac:dyDescent="0.25">
      <c r="A34" s="744">
        <v>27</v>
      </c>
      <c r="B34" s="750"/>
      <c r="C34" s="751">
        <v>2026</v>
      </c>
      <c r="D34" s="688" t="s">
        <v>2377</v>
      </c>
      <c r="E34" s="685" t="s">
        <v>2378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82">
        <f t="shared" si="1"/>
        <v>0</v>
      </c>
      <c r="T34" s="242"/>
      <c r="U34" s="242"/>
      <c r="V34" s="242"/>
      <c r="W34" s="277">
        <f t="shared" si="4"/>
        <v>0</v>
      </c>
      <c r="X34" s="277">
        <f t="shared" si="5"/>
        <v>0</v>
      </c>
      <c r="Y34" s="379"/>
      <c r="Z34" s="273"/>
      <c r="AA34" s="692" t="s">
        <v>2500</v>
      </c>
      <c r="AB34" s="545"/>
      <c r="AC34" s="357" t="e">
        <f t="shared" si="0"/>
        <v>#DIV/0!</v>
      </c>
    </row>
    <row r="35" spans="1:29" s="256" customFormat="1" ht="16.5" customHeight="1" x14ac:dyDescent="0.25">
      <c r="A35" s="744">
        <v>28</v>
      </c>
      <c r="B35" s="750"/>
      <c r="C35" s="751">
        <v>2026</v>
      </c>
      <c r="D35" s="688" t="s">
        <v>2379</v>
      </c>
      <c r="E35" s="685" t="s">
        <v>2380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07"/>
      <c r="S35" s="782">
        <f t="shared" si="1"/>
        <v>0</v>
      </c>
      <c r="T35" s="242"/>
      <c r="U35" s="242"/>
      <c r="V35" s="242"/>
      <c r="W35" s="277">
        <f t="shared" si="4"/>
        <v>0</v>
      </c>
      <c r="X35" s="277">
        <f t="shared" si="5"/>
        <v>0</v>
      </c>
      <c r="Y35" s="379"/>
      <c r="Z35" s="273"/>
      <c r="AA35" s="692" t="s">
        <v>2501</v>
      </c>
      <c r="AB35" s="545"/>
      <c r="AC35" s="357" t="e">
        <f t="shared" si="0"/>
        <v>#DIV/0!</v>
      </c>
    </row>
    <row r="36" spans="1:29" s="256" customFormat="1" ht="16.5" customHeight="1" x14ac:dyDescent="0.25">
      <c r="A36" s="744">
        <v>29</v>
      </c>
      <c r="B36" s="750"/>
      <c r="C36" s="751">
        <v>2026</v>
      </c>
      <c r="D36" s="688" t="s">
        <v>2381</v>
      </c>
      <c r="E36" s="685" t="s">
        <v>2382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7"/>
      <c r="Q36" s="707"/>
      <c r="R36" s="707"/>
      <c r="S36" s="782">
        <f t="shared" si="1"/>
        <v>0</v>
      </c>
      <c r="T36" s="242"/>
      <c r="U36" s="242"/>
      <c r="V36" s="242"/>
      <c r="W36" s="277">
        <f t="shared" ref="W36:W54" si="6">SUM(T36:V36)/3</f>
        <v>0</v>
      </c>
      <c r="X36" s="277">
        <f t="shared" ref="X36:X54" si="7">SUM(S36+W36)/2</f>
        <v>0</v>
      </c>
      <c r="Y36" s="379"/>
      <c r="Z36" s="273"/>
      <c r="AA36" s="692" t="s">
        <v>2502</v>
      </c>
      <c r="AB36" s="545"/>
      <c r="AC36" s="357" t="e">
        <f t="shared" si="0"/>
        <v>#DIV/0!</v>
      </c>
    </row>
    <row r="37" spans="1:29" s="256" customFormat="1" ht="16.5" customHeight="1" x14ac:dyDescent="0.25">
      <c r="A37" s="744">
        <v>30</v>
      </c>
      <c r="B37" s="750"/>
      <c r="C37" s="751">
        <v>2026</v>
      </c>
      <c r="D37" s="688" t="s">
        <v>2383</v>
      </c>
      <c r="E37" s="685" t="s">
        <v>2384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7"/>
      <c r="Q37" s="707"/>
      <c r="R37" s="707"/>
      <c r="S37" s="782">
        <f t="shared" si="1"/>
        <v>0</v>
      </c>
      <c r="T37" s="242"/>
      <c r="U37" s="242"/>
      <c r="V37" s="242"/>
      <c r="W37" s="277">
        <f t="shared" si="6"/>
        <v>0</v>
      </c>
      <c r="X37" s="277">
        <f t="shared" si="7"/>
        <v>0</v>
      </c>
      <c r="Y37" s="379"/>
      <c r="Z37" s="273"/>
      <c r="AA37" s="692" t="s">
        <v>2503</v>
      </c>
      <c r="AB37" s="545"/>
      <c r="AC37" s="357" t="e">
        <f t="shared" si="0"/>
        <v>#DIV/0!</v>
      </c>
    </row>
    <row r="38" spans="1:29" s="256" customFormat="1" ht="16.5" customHeight="1" x14ac:dyDescent="0.25">
      <c r="A38" s="744">
        <v>31</v>
      </c>
      <c r="B38" s="750"/>
      <c r="C38" s="751">
        <v>2026</v>
      </c>
      <c r="D38" s="688" t="s">
        <v>2385</v>
      </c>
      <c r="E38" s="685" t="s">
        <v>2386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7"/>
      <c r="Q38" s="707"/>
      <c r="R38" s="707"/>
      <c r="S38" s="782">
        <f t="shared" si="1"/>
        <v>0</v>
      </c>
      <c r="T38" s="242"/>
      <c r="U38" s="242"/>
      <c r="V38" s="242"/>
      <c r="W38" s="277">
        <f t="shared" si="6"/>
        <v>0</v>
      </c>
      <c r="X38" s="277">
        <f t="shared" si="7"/>
        <v>0</v>
      </c>
      <c r="Y38" s="379"/>
      <c r="Z38" s="273"/>
      <c r="AA38" s="692" t="s">
        <v>2504</v>
      </c>
      <c r="AB38" s="545"/>
      <c r="AC38" s="357" t="e">
        <f t="shared" si="0"/>
        <v>#DIV/0!</v>
      </c>
    </row>
    <row r="39" spans="1:29" s="256" customFormat="1" ht="16.5" customHeight="1" x14ac:dyDescent="0.25">
      <c r="A39" s="744">
        <v>32</v>
      </c>
      <c r="B39" s="750"/>
      <c r="C39" s="751">
        <v>2026</v>
      </c>
      <c r="D39" s="688" t="s">
        <v>2387</v>
      </c>
      <c r="E39" s="685" t="s">
        <v>2388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82">
        <f t="shared" si="1"/>
        <v>0</v>
      </c>
      <c r="T39" s="242"/>
      <c r="U39" s="242"/>
      <c r="V39" s="242"/>
      <c r="W39" s="277">
        <f t="shared" si="6"/>
        <v>0</v>
      </c>
      <c r="X39" s="277">
        <f t="shared" si="7"/>
        <v>0</v>
      </c>
      <c r="Y39" s="379"/>
      <c r="Z39" s="273"/>
      <c r="AA39" s="692" t="s">
        <v>2505</v>
      </c>
      <c r="AB39" s="545"/>
      <c r="AC39" s="357" t="e">
        <f t="shared" si="0"/>
        <v>#DIV/0!</v>
      </c>
    </row>
    <row r="40" spans="1:29" s="256" customFormat="1" ht="16.5" customHeight="1" x14ac:dyDescent="0.25">
      <c r="A40" s="744">
        <v>33</v>
      </c>
      <c r="B40" s="750"/>
      <c r="C40" s="751">
        <v>2026</v>
      </c>
      <c r="D40" s="688" t="s">
        <v>2389</v>
      </c>
      <c r="E40" s="685" t="s">
        <v>2390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07"/>
      <c r="R40" s="707"/>
      <c r="S40" s="782">
        <f t="shared" si="1"/>
        <v>0</v>
      </c>
      <c r="T40" s="242"/>
      <c r="U40" s="242"/>
      <c r="V40" s="242"/>
      <c r="W40" s="277">
        <f t="shared" si="6"/>
        <v>0</v>
      </c>
      <c r="X40" s="277">
        <f t="shared" si="7"/>
        <v>0</v>
      </c>
      <c r="Y40" s="379"/>
      <c r="Z40" s="273"/>
      <c r="AA40" s="692" t="s">
        <v>2506</v>
      </c>
      <c r="AB40" s="545"/>
      <c r="AC40" s="357" t="e">
        <f t="shared" ref="AC40:AC85" si="8">AVERAGE(F40:R40)</f>
        <v>#DIV/0!</v>
      </c>
    </row>
    <row r="41" spans="1:29" s="256" customFormat="1" ht="16.5" customHeight="1" x14ac:dyDescent="0.25">
      <c r="A41" s="744">
        <v>34</v>
      </c>
      <c r="B41" s="750"/>
      <c r="C41" s="751">
        <v>2026</v>
      </c>
      <c r="D41" s="688" t="s">
        <v>2391</v>
      </c>
      <c r="E41" s="685" t="s">
        <v>2392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07"/>
      <c r="R41" s="707"/>
      <c r="S41" s="782">
        <f t="shared" si="1"/>
        <v>0</v>
      </c>
      <c r="T41" s="242"/>
      <c r="U41" s="242"/>
      <c r="V41" s="242"/>
      <c r="W41" s="277">
        <f t="shared" si="6"/>
        <v>0</v>
      </c>
      <c r="X41" s="277">
        <f t="shared" si="7"/>
        <v>0</v>
      </c>
      <c r="Y41" s="379"/>
      <c r="Z41" s="273"/>
      <c r="AA41" s="692" t="s">
        <v>2507</v>
      </c>
      <c r="AB41" s="545"/>
      <c r="AC41" s="357" t="e">
        <f t="shared" si="8"/>
        <v>#DIV/0!</v>
      </c>
    </row>
    <row r="42" spans="1:29" s="256" customFormat="1" ht="16.5" customHeight="1" x14ac:dyDescent="0.25">
      <c r="A42" s="744">
        <v>35</v>
      </c>
      <c r="B42" s="750"/>
      <c r="C42" s="751">
        <v>2026</v>
      </c>
      <c r="D42" s="688" t="s">
        <v>2393</v>
      </c>
      <c r="E42" s="685" t="s">
        <v>2394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07"/>
      <c r="R42" s="707"/>
      <c r="S42" s="782">
        <f t="shared" si="1"/>
        <v>0</v>
      </c>
      <c r="T42" s="242"/>
      <c r="U42" s="242"/>
      <c r="V42" s="242"/>
      <c r="W42" s="277">
        <f t="shared" si="6"/>
        <v>0</v>
      </c>
      <c r="X42" s="277">
        <f t="shared" si="7"/>
        <v>0</v>
      </c>
      <c r="Y42" s="379"/>
      <c r="Z42" s="273"/>
      <c r="AA42" s="692" t="s">
        <v>2508</v>
      </c>
      <c r="AB42" s="545"/>
      <c r="AC42" s="357" t="e">
        <f t="shared" si="8"/>
        <v>#DIV/0!</v>
      </c>
    </row>
    <row r="43" spans="1:29" s="256" customFormat="1" ht="16.5" customHeight="1" x14ac:dyDescent="0.25">
      <c r="A43" s="744">
        <v>36</v>
      </c>
      <c r="B43" s="750"/>
      <c r="C43" s="751">
        <v>2026</v>
      </c>
      <c r="D43" s="688" t="s">
        <v>2395</v>
      </c>
      <c r="E43" s="685" t="s">
        <v>2396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07"/>
      <c r="R43" s="707"/>
      <c r="S43" s="782">
        <f t="shared" si="1"/>
        <v>0</v>
      </c>
      <c r="T43" s="242"/>
      <c r="U43" s="242"/>
      <c r="V43" s="242"/>
      <c r="W43" s="277">
        <f t="shared" si="6"/>
        <v>0</v>
      </c>
      <c r="X43" s="277">
        <f t="shared" si="7"/>
        <v>0</v>
      </c>
      <c r="Y43" s="379"/>
      <c r="Z43" s="273"/>
      <c r="AA43" s="692" t="s">
        <v>2509</v>
      </c>
      <c r="AB43" s="545"/>
      <c r="AC43" s="357" t="e">
        <f t="shared" si="8"/>
        <v>#DIV/0!</v>
      </c>
    </row>
    <row r="44" spans="1:29" s="256" customFormat="1" ht="16.5" customHeight="1" x14ac:dyDescent="0.25">
      <c r="A44" s="744">
        <v>37</v>
      </c>
      <c r="B44" s="750"/>
      <c r="C44" s="751">
        <v>2026</v>
      </c>
      <c r="D44" s="688" t="s">
        <v>2397</v>
      </c>
      <c r="E44" s="685" t="s">
        <v>2398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07"/>
      <c r="S44" s="782">
        <f t="shared" si="1"/>
        <v>0</v>
      </c>
      <c r="T44" s="242"/>
      <c r="U44" s="242"/>
      <c r="V44" s="242"/>
      <c r="W44" s="277">
        <f t="shared" si="6"/>
        <v>0</v>
      </c>
      <c r="X44" s="277">
        <f t="shared" si="7"/>
        <v>0</v>
      </c>
      <c r="Y44" s="379"/>
      <c r="Z44" s="273"/>
      <c r="AA44" s="692" t="s">
        <v>2510</v>
      </c>
      <c r="AB44" s="545"/>
      <c r="AC44" s="357" t="e">
        <f t="shared" si="8"/>
        <v>#DIV/0!</v>
      </c>
    </row>
    <row r="45" spans="1:29" s="256" customFormat="1" ht="16.5" customHeight="1" x14ac:dyDescent="0.25">
      <c r="A45" s="744">
        <v>38</v>
      </c>
      <c r="B45" s="750"/>
      <c r="C45" s="751">
        <v>2026</v>
      </c>
      <c r="D45" s="688" t="s">
        <v>2399</v>
      </c>
      <c r="E45" s="685" t="s">
        <v>2400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07"/>
      <c r="R45" s="707"/>
      <c r="S45" s="782">
        <f t="shared" si="1"/>
        <v>0</v>
      </c>
      <c r="T45" s="242"/>
      <c r="U45" s="242"/>
      <c r="V45" s="242"/>
      <c r="W45" s="277">
        <f t="shared" si="6"/>
        <v>0</v>
      </c>
      <c r="X45" s="277">
        <f t="shared" si="7"/>
        <v>0</v>
      </c>
      <c r="Y45" s="379"/>
      <c r="Z45" s="273"/>
      <c r="AA45" s="692" t="s">
        <v>2511</v>
      </c>
      <c r="AB45" s="545"/>
      <c r="AC45" s="357" t="e">
        <f t="shared" si="8"/>
        <v>#DIV/0!</v>
      </c>
    </row>
    <row r="46" spans="1:29" s="256" customFormat="1" ht="16.5" customHeight="1" x14ac:dyDescent="0.25">
      <c r="A46" s="744">
        <v>39</v>
      </c>
      <c r="B46" s="750"/>
      <c r="C46" s="751">
        <v>2026</v>
      </c>
      <c r="D46" s="688" t="s">
        <v>2401</v>
      </c>
      <c r="E46" s="685" t="s">
        <v>551</v>
      </c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82">
        <f t="shared" si="1"/>
        <v>0</v>
      </c>
      <c r="T46" s="242"/>
      <c r="U46" s="242"/>
      <c r="V46" s="242"/>
      <c r="W46" s="277">
        <f t="shared" si="6"/>
        <v>0</v>
      </c>
      <c r="X46" s="277">
        <f t="shared" si="7"/>
        <v>0</v>
      </c>
      <c r="Y46" s="379"/>
      <c r="Z46" s="273"/>
      <c r="AA46" s="692" t="s">
        <v>2512</v>
      </c>
      <c r="AB46" s="545"/>
      <c r="AC46" s="357" t="e">
        <f t="shared" si="8"/>
        <v>#DIV/0!</v>
      </c>
    </row>
    <row r="47" spans="1:29" s="256" customFormat="1" ht="16.5" customHeight="1" x14ac:dyDescent="0.25">
      <c r="A47" s="744">
        <v>40</v>
      </c>
      <c r="B47" s="750"/>
      <c r="C47" s="751">
        <v>2026</v>
      </c>
      <c r="D47" s="688" t="s">
        <v>2402</v>
      </c>
      <c r="E47" s="685" t="s">
        <v>2403</v>
      </c>
      <c r="F47" s="707"/>
      <c r="G47" s="707"/>
      <c r="H47" s="707"/>
      <c r="I47" s="707"/>
      <c r="J47" s="707"/>
      <c r="K47" s="707"/>
      <c r="L47" s="707"/>
      <c r="M47" s="707"/>
      <c r="N47" s="707"/>
      <c r="O47" s="707"/>
      <c r="P47" s="707"/>
      <c r="Q47" s="707"/>
      <c r="R47" s="707"/>
      <c r="S47" s="782">
        <f t="shared" si="1"/>
        <v>0</v>
      </c>
      <c r="T47" s="242"/>
      <c r="U47" s="242"/>
      <c r="V47" s="242"/>
      <c r="W47" s="277">
        <f t="shared" si="6"/>
        <v>0</v>
      </c>
      <c r="X47" s="277">
        <f t="shared" si="7"/>
        <v>0</v>
      </c>
      <c r="Y47" s="379"/>
      <c r="Z47" s="273"/>
      <c r="AA47" s="692" t="s">
        <v>2513</v>
      </c>
      <c r="AB47" s="545"/>
      <c r="AC47" s="357" t="e">
        <f t="shared" si="8"/>
        <v>#DIV/0!</v>
      </c>
    </row>
    <row r="48" spans="1:29" s="256" customFormat="1" ht="16.5" customHeight="1" x14ac:dyDescent="0.25">
      <c r="A48" s="744">
        <v>41</v>
      </c>
      <c r="B48" s="750"/>
      <c r="C48" s="751">
        <v>2026</v>
      </c>
      <c r="D48" s="688" t="s">
        <v>2404</v>
      </c>
      <c r="E48" s="685" t="s">
        <v>2405</v>
      </c>
      <c r="F48" s="707"/>
      <c r="G48" s="707"/>
      <c r="H48" s="707"/>
      <c r="I48" s="707"/>
      <c r="J48" s="707"/>
      <c r="K48" s="707"/>
      <c r="L48" s="707"/>
      <c r="M48" s="707"/>
      <c r="N48" s="707"/>
      <c r="O48" s="707"/>
      <c r="P48" s="707"/>
      <c r="Q48" s="707"/>
      <c r="R48" s="707"/>
      <c r="S48" s="782">
        <f t="shared" si="1"/>
        <v>0</v>
      </c>
      <c r="T48" s="242"/>
      <c r="U48" s="242"/>
      <c r="V48" s="242"/>
      <c r="W48" s="277">
        <f t="shared" si="6"/>
        <v>0</v>
      </c>
      <c r="X48" s="277">
        <f t="shared" si="7"/>
        <v>0</v>
      </c>
      <c r="Y48" s="379"/>
      <c r="Z48" s="273"/>
      <c r="AA48" s="692" t="s">
        <v>2514</v>
      </c>
      <c r="AB48" s="545"/>
      <c r="AC48" s="357" t="e">
        <f t="shared" si="8"/>
        <v>#DIV/0!</v>
      </c>
    </row>
    <row r="49" spans="1:29" s="256" customFormat="1" ht="16.5" customHeight="1" x14ac:dyDescent="0.25">
      <c r="A49" s="744">
        <v>42</v>
      </c>
      <c r="B49" s="750"/>
      <c r="C49" s="751">
        <v>2026</v>
      </c>
      <c r="D49" s="688" t="s">
        <v>2406</v>
      </c>
      <c r="E49" s="685" t="s">
        <v>2407</v>
      </c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82">
        <f t="shared" si="1"/>
        <v>0</v>
      </c>
      <c r="T49" s="242"/>
      <c r="U49" s="242"/>
      <c r="V49" s="242"/>
      <c r="W49" s="277">
        <f t="shared" si="6"/>
        <v>0</v>
      </c>
      <c r="X49" s="277">
        <f t="shared" si="7"/>
        <v>0</v>
      </c>
      <c r="Y49" s="379"/>
      <c r="Z49" s="273"/>
      <c r="AA49" s="692" t="s">
        <v>2515</v>
      </c>
      <c r="AB49" s="545"/>
      <c r="AC49" s="357" t="e">
        <f t="shared" si="8"/>
        <v>#DIV/0!</v>
      </c>
    </row>
    <row r="50" spans="1:29" s="256" customFormat="1" ht="16.5" customHeight="1" x14ac:dyDescent="0.25">
      <c r="A50" s="744">
        <v>43</v>
      </c>
      <c r="B50" s="750"/>
      <c r="C50" s="751">
        <v>2026</v>
      </c>
      <c r="D50" s="688" t="s">
        <v>2408</v>
      </c>
      <c r="E50" s="685" t="s">
        <v>2409</v>
      </c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07"/>
      <c r="R50" s="707"/>
      <c r="S50" s="782">
        <f t="shared" si="1"/>
        <v>0</v>
      </c>
      <c r="T50" s="242"/>
      <c r="U50" s="242"/>
      <c r="V50" s="242"/>
      <c r="W50" s="277">
        <f t="shared" si="6"/>
        <v>0</v>
      </c>
      <c r="X50" s="277">
        <f t="shared" si="7"/>
        <v>0</v>
      </c>
      <c r="Y50" s="379"/>
      <c r="Z50" s="273"/>
      <c r="AA50" s="692" t="s">
        <v>2516</v>
      </c>
      <c r="AB50" s="545"/>
      <c r="AC50" s="357" t="e">
        <f t="shared" si="8"/>
        <v>#DIV/0!</v>
      </c>
    </row>
    <row r="51" spans="1:29" s="256" customFormat="1" ht="16.5" customHeight="1" x14ac:dyDescent="0.25">
      <c r="A51" s="744">
        <v>44</v>
      </c>
      <c r="B51" s="750"/>
      <c r="C51" s="751">
        <v>2026</v>
      </c>
      <c r="D51" s="688" t="s">
        <v>2410</v>
      </c>
      <c r="E51" s="685" t="s">
        <v>2411</v>
      </c>
      <c r="F51" s="707"/>
      <c r="G51" s="707"/>
      <c r="H51" s="707"/>
      <c r="I51" s="707"/>
      <c r="J51" s="707"/>
      <c r="K51" s="707"/>
      <c r="L51" s="707"/>
      <c r="M51" s="707"/>
      <c r="N51" s="707"/>
      <c r="O51" s="707"/>
      <c r="P51" s="707"/>
      <c r="Q51" s="707"/>
      <c r="R51" s="707"/>
      <c r="S51" s="782">
        <f t="shared" si="1"/>
        <v>0</v>
      </c>
      <c r="T51" s="242"/>
      <c r="U51" s="242"/>
      <c r="V51" s="242"/>
      <c r="W51" s="277">
        <f t="shared" si="6"/>
        <v>0</v>
      </c>
      <c r="X51" s="277">
        <f t="shared" si="7"/>
        <v>0</v>
      </c>
      <c r="Y51" s="379"/>
      <c r="Z51" s="273"/>
      <c r="AA51" s="692" t="s">
        <v>2517</v>
      </c>
      <c r="AB51" s="545"/>
      <c r="AC51" s="357" t="e">
        <f t="shared" si="8"/>
        <v>#DIV/0!</v>
      </c>
    </row>
    <row r="52" spans="1:29" s="256" customFormat="1" ht="16.5" customHeight="1" x14ac:dyDescent="0.25">
      <c r="A52" s="744">
        <v>45</v>
      </c>
      <c r="B52" s="750"/>
      <c r="C52" s="751">
        <v>2026</v>
      </c>
      <c r="D52" s="688" t="s">
        <v>2412</v>
      </c>
      <c r="E52" s="685" t="s">
        <v>2413</v>
      </c>
      <c r="F52" s="707"/>
      <c r="G52" s="707"/>
      <c r="H52" s="707"/>
      <c r="I52" s="707"/>
      <c r="J52" s="707"/>
      <c r="K52" s="707"/>
      <c r="L52" s="707"/>
      <c r="M52" s="707"/>
      <c r="N52" s="707"/>
      <c r="O52" s="707"/>
      <c r="P52" s="707"/>
      <c r="Q52" s="707"/>
      <c r="R52" s="707"/>
      <c r="S52" s="782">
        <f t="shared" si="1"/>
        <v>0</v>
      </c>
      <c r="T52" s="242"/>
      <c r="U52" s="242"/>
      <c r="V52" s="242"/>
      <c r="W52" s="277">
        <f t="shared" si="6"/>
        <v>0</v>
      </c>
      <c r="X52" s="277">
        <f t="shared" si="7"/>
        <v>0</v>
      </c>
      <c r="Y52" s="379"/>
      <c r="Z52" s="273"/>
      <c r="AA52" s="692" t="s">
        <v>2518</v>
      </c>
      <c r="AB52" s="545"/>
      <c r="AC52" s="357" t="e">
        <f t="shared" si="8"/>
        <v>#DIV/0!</v>
      </c>
    </row>
    <row r="53" spans="1:29" s="256" customFormat="1" ht="16.5" customHeight="1" x14ac:dyDescent="0.25">
      <c r="A53" s="744">
        <v>46</v>
      </c>
      <c r="B53" s="750"/>
      <c r="C53" s="751">
        <v>2026</v>
      </c>
      <c r="D53" s="688" t="s">
        <v>2414</v>
      </c>
      <c r="E53" s="685" t="s">
        <v>2415</v>
      </c>
      <c r="F53" s="707"/>
      <c r="G53" s="707"/>
      <c r="H53" s="707"/>
      <c r="I53" s="707"/>
      <c r="J53" s="707"/>
      <c r="K53" s="707"/>
      <c r="L53" s="707"/>
      <c r="M53" s="707"/>
      <c r="N53" s="707"/>
      <c r="O53" s="707"/>
      <c r="P53" s="707"/>
      <c r="Q53" s="707"/>
      <c r="R53" s="707"/>
      <c r="S53" s="782">
        <f t="shared" si="1"/>
        <v>0</v>
      </c>
      <c r="T53" s="242"/>
      <c r="U53" s="242"/>
      <c r="V53" s="242"/>
      <c r="W53" s="277">
        <f t="shared" si="6"/>
        <v>0</v>
      </c>
      <c r="X53" s="277">
        <f t="shared" si="7"/>
        <v>0</v>
      </c>
      <c r="Y53" s="379"/>
      <c r="Z53" s="273"/>
      <c r="AA53" s="692" t="s">
        <v>2519</v>
      </c>
      <c r="AB53" s="545"/>
      <c r="AC53" s="357" t="e">
        <f t="shared" si="8"/>
        <v>#DIV/0!</v>
      </c>
    </row>
    <row r="54" spans="1:29" s="256" customFormat="1" ht="16.5" customHeight="1" x14ac:dyDescent="0.25">
      <c r="A54" s="744">
        <v>47</v>
      </c>
      <c r="B54" s="750"/>
      <c r="C54" s="751">
        <v>2026</v>
      </c>
      <c r="D54" s="688" t="s">
        <v>2416</v>
      </c>
      <c r="E54" s="685" t="s">
        <v>2417</v>
      </c>
      <c r="F54" s="707"/>
      <c r="G54" s="707"/>
      <c r="H54" s="707"/>
      <c r="I54" s="707"/>
      <c r="J54" s="707"/>
      <c r="K54" s="707"/>
      <c r="L54" s="707"/>
      <c r="M54" s="707"/>
      <c r="N54" s="707"/>
      <c r="O54" s="707"/>
      <c r="P54" s="707"/>
      <c r="Q54" s="707"/>
      <c r="R54" s="707"/>
      <c r="S54" s="782">
        <f t="shared" si="1"/>
        <v>0</v>
      </c>
      <c r="T54" s="242"/>
      <c r="U54" s="242"/>
      <c r="V54" s="242"/>
      <c r="W54" s="277">
        <f t="shared" si="6"/>
        <v>0</v>
      </c>
      <c r="X54" s="277">
        <f t="shared" si="7"/>
        <v>0</v>
      </c>
      <c r="Y54" s="379"/>
      <c r="Z54" s="273"/>
      <c r="AA54" s="692" t="s">
        <v>2520</v>
      </c>
      <c r="AB54" s="545"/>
      <c r="AC54" s="357" t="e">
        <f t="shared" si="8"/>
        <v>#DIV/0!</v>
      </c>
    </row>
    <row r="55" spans="1:29" s="256" customFormat="1" ht="16.5" customHeight="1" x14ac:dyDescent="0.25">
      <c r="A55" s="744">
        <v>48</v>
      </c>
      <c r="B55" s="750"/>
      <c r="C55" s="751">
        <v>2026</v>
      </c>
      <c r="D55" s="688" t="s">
        <v>2418</v>
      </c>
      <c r="E55" s="685" t="s">
        <v>2419</v>
      </c>
      <c r="F55" s="707"/>
      <c r="G55" s="707"/>
      <c r="H55" s="707"/>
      <c r="I55" s="707"/>
      <c r="J55" s="707"/>
      <c r="K55" s="707"/>
      <c r="L55" s="707"/>
      <c r="M55" s="707"/>
      <c r="N55" s="707"/>
      <c r="O55" s="707"/>
      <c r="P55" s="707"/>
      <c r="Q55" s="707"/>
      <c r="R55" s="707"/>
      <c r="S55" s="782">
        <f t="shared" si="1"/>
        <v>0</v>
      </c>
      <c r="T55" s="242"/>
      <c r="U55" s="242"/>
      <c r="V55" s="242"/>
      <c r="W55" s="277">
        <f t="shared" ref="W55:W59" si="9">SUM(T55:V55)/3</f>
        <v>0</v>
      </c>
      <c r="X55" s="277">
        <f t="shared" ref="X55:X59" si="10">SUM(S55+W55)/2</f>
        <v>0</v>
      </c>
      <c r="Y55" s="379"/>
      <c r="Z55" s="273"/>
      <c r="AA55" s="692" t="s">
        <v>2521</v>
      </c>
      <c r="AB55" s="545"/>
      <c r="AC55" s="357" t="e">
        <f t="shared" si="8"/>
        <v>#DIV/0!</v>
      </c>
    </row>
    <row r="56" spans="1:29" s="256" customFormat="1" ht="16.5" customHeight="1" x14ac:dyDescent="0.25">
      <c r="A56" s="744">
        <v>49</v>
      </c>
      <c r="B56" s="750"/>
      <c r="C56" s="751">
        <v>2026</v>
      </c>
      <c r="D56" s="688" t="s">
        <v>2420</v>
      </c>
      <c r="E56" s="685" t="s">
        <v>1041</v>
      </c>
      <c r="F56" s="707"/>
      <c r="G56" s="707"/>
      <c r="H56" s="707"/>
      <c r="I56" s="707"/>
      <c r="J56" s="707"/>
      <c r="K56" s="707"/>
      <c r="L56" s="707"/>
      <c r="M56" s="707"/>
      <c r="N56" s="707"/>
      <c r="O56" s="707"/>
      <c r="P56" s="707"/>
      <c r="Q56" s="707"/>
      <c r="R56" s="707"/>
      <c r="S56" s="782">
        <f t="shared" si="1"/>
        <v>0</v>
      </c>
      <c r="T56" s="242"/>
      <c r="U56" s="242"/>
      <c r="V56" s="242"/>
      <c r="W56" s="277">
        <f t="shared" si="9"/>
        <v>0</v>
      </c>
      <c r="X56" s="277">
        <f t="shared" si="10"/>
        <v>0</v>
      </c>
      <c r="Y56" s="379"/>
      <c r="Z56" s="273"/>
      <c r="AA56" s="692" t="s">
        <v>2522</v>
      </c>
      <c r="AB56" s="545"/>
      <c r="AC56" s="357" t="e">
        <f t="shared" si="8"/>
        <v>#DIV/0!</v>
      </c>
    </row>
    <row r="57" spans="1:29" s="256" customFormat="1" ht="16.5" customHeight="1" x14ac:dyDescent="0.25">
      <c r="A57" s="744">
        <v>50</v>
      </c>
      <c r="B57" s="750"/>
      <c r="C57" s="751">
        <v>2026</v>
      </c>
      <c r="D57" s="688" t="s">
        <v>2421</v>
      </c>
      <c r="E57" s="685" t="s">
        <v>2422</v>
      </c>
      <c r="F57" s="712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82">
        <f t="shared" si="1"/>
        <v>0</v>
      </c>
      <c r="T57" s="242"/>
      <c r="U57" s="242"/>
      <c r="V57" s="242"/>
      <c r="W57" s="277">
        <f t="shared" si="9"/>
        <v>0</v>
      </c>
      <c r="X57" s="277">
        <f t="shared" si="10"/>
        <v>0</v>
      </c>
      <c r="Y57" s="379"/>
      <c r="Z57" s="273"/>
      <c r="AA57" s="692" t="s">
        <v>2523</v>
      </c>
      <c r="AB57" s="545"/>
      <c r="AC57" s="357" t="e">
        <f t="shared" si="8"/>
        <v>#DIV/0!</v>
      </c>
    </row>
    <row r="58" spans="1:29" s="256" customFormat="1" ht="16.5" customHeight="1" x14ac:dyDescent="0.25">
      <c r="A58" s="744">
        <v>51</v>
      </c>
      <c r="B58" s="750"/>
      <c r="C58" s="751">
        <v>2026</v>
      </c>
      <c r="D58" s="688" t="s">
        <v>2423</v>
      </c>
      <c r="E58" s="685" t="s">
        <v>2424</v>
      </c>
      <c r="F58" s="707"/>
      <c r="G58" s="707"/>
      <c r="H58" s="707"/>
      <c r="I58" s="707"/>
      <c r="J58" s="707"/>
      <c r="K58" s="707"/>
      <c r="L58" s="707"/>
      <c r="M58" s="707"/>
      <c r="N58" s="707"/>
      <c r="O58" s="707"/>
      <c r="P58" s="707"/>
      <c r="Q58" s="707"/>
      <c r="R58" s="707"/>
      <c r="S58" s="782">
        <f t="shared" si="1"/>
        <v>0</v>
      </c>
      <c r="T58" s="242"/>
      <c r="U58" s="242"/>
      <c r="V58" s="242"/>
      <c r="W58" s="277">
        <f t="shared" si="9"/>
        <v>0</v>
      </c>
      <c r="X58" s="277">
        <f t="shared" si="10"/>
        <v>0</v>
      </c>
      <c r="Y58" s="379"/>
      <c r="Z58" s="273"/>
      <c r="AA58" s="692" t="s">
        <v>2524</v>
      </c>
      <c r="AB58" s="545"/>
      <c r="AC58" s="357" t="e">
        <f t="shared" si="8"/>
        <v>#DIV/0!</v>
      </c>
    </row>
    <row r="59" spans="1:29" s="256" customFormat="1" ht="16.5" customHeight="1" x14ac:dyDescent="0.25">
      <c r="A59" s="744">
        <v>52</v>
      </c>
      <c r="B59" s="750"/>
      <c r="C59" s="751">
        <v>2026</v>
      </c>
      <c r="D59" s="688" t="s">
        <v>2425</v>
      </c>
      <c r="E59" s="685" t="s">
        <v>2426</v>
      </c>
      <c r="F59" s="707"/>
      <c r="G59" s="707"/>
      <c r="H59" s="707"/>
      <c r="I59" s="707"/>
      <c r="J59" s="707"/>
      <c r="K59" s="707"/>
      <c r="L59" s="707"/>
      <c r="M59" s="707"/>
      <c r="N59" s="707"/>
      <c r="O59" s="707"/>
      <c r="P59" s="707"/>
      <c r="Q59" s="707"/>
      <c r="R59" s="707"/>
      <c r="S59" s="782">
        <f t="shared" si="1"/>
        <v>0</v>
      </c>
      <c r="T59" s="242"/>
      <c r="U59" s="242"/>
      <c r="V59" s="242"/>
      <c r="W59" s="277">
        <f t="shared" si="9"/>
        <v>0</v>
      </c>
      <c r="X59" s="277">
        <f t="shared" si="10"/>
        <v>0</v>
      </c>
      <c r="Y59" s="379"/>
      <c r="Z59" s="273"/>
      <c r="AA59" s="692" t="s">
        <v>2525</v>
      </c>
      <c r="AB59" s="545"/>
      <c r="AC59" s="357" t="e">
        <f t="shared" si="8"/>
        <v>#DIV/0!</v>
      </c>
    </row>
    <row r="60" spans="1:29" s="256" customFormat="1" ht="16.5" customHeight="1" x14ac:dyDescent="0.25">
      <c r="A60" s="744">
        <v>53</v>
      </c>
      <c r="B60" s="750"/>
      <c r="C60" s="751">
        <v>2026</v>
      </c>
      <c r="D60" s="688" t="s">
        <v>2427</v>
      </c>
      <c r="E60" s="685" t="s">
        <v>2413</v>
      </c>
      <c r="F60" s="707"/>
      <c r="G60" s="707"/>
      <c r="H60" s="707"/>
      <c r="I60" s="707"/>
      <c r="J60" s="707"/>
      <c r="K60" s="707"/>
      <c r="L60" s="707"/>
      <c r="M60" s="707"/>
      <c r="N60" s="707"/>
      <c r="O60" s="707"/>
      <c r="P60" s="707"/>
      <c r="Q60" s="707"/>
      <c r="R60" s="707"/>
      <c r="S60" s="782">
        <f t="shared" si="1"/>
        <v>0</v>
      </c>
      <c r="T60" s="242"/>
      <c r="U60" s="242"/>
      <c r="V60" s="242"/>
      <c r="W60" s="277"/>
      <c r="X60" s="277"/>
      <c r="Y60" s="379"/>
      <c r="Z60" s="273"/>
      <c r="AA60" s="692" t="s">
        <v>2503</v>
      </c>
      <c r="AB60" s="545"/>
      <c r="AC60" s="357" t="e">
        <f t="shared" si="8"/>
        <v>#DIV/0!</v>
      </c>
    </row>
    <row r="61" spans="1:29" s="256" customFormat="1" ht="16.5" customHeight="1" x14ac:dyDescent="0.25">
      <c r="A61" s="744">
        <v>54</v>
      </c>
      <c r="B61" s="750"/>
      <c r="C61" s="751">
        <v>2026</v>
      </c>
      <c r="D61" s="688" t="s">
        <v>2428</v>
      </c>
      <c r="E61" s="685" t="s">
        <v>2429</v>
      </c>
      <c r="F61" s="707"/>
      <c r="G61" s="707"/>
      <c r="H61" s="707"/>
      <c r="I61" s="707"/>
      <c r="J61" s="707"/>
      <c r="K61" s="707"/>
      <c r="L61" s="707"/>
      <c r="M61" s="707"/>
      <c r="N61" s="707"/>
      <c r="O61" s="707"/>
      <c r="P61" s="707"/>
      <c r="Q61" s="707"/>
      <c r="R61" s="707"/>
      <c r="S61" s="782">
        <f t="shared" si="1"/>
        <v>0</v>
      </c>
      <c r="T61" s="242"/>
      <c r="U61" s="242"/>
      <c r="V61" s="242"/>
      <c r="W61" s="277"/>
      <c r="X61" s="277"/>
      <c r="Y61" s="379"/>
      <c r="Z61" s="273"/>
      <c r="AA61" s="692" t="s">
        <v>2526</v>
      </c>
      <c r="AB61" s="545"/>
      <c r="AC61" s="357" t="e">
        <f t="shared" si="8"/>
        <v>#DIV/0!</v>
      </c>
    </row>
    <row r="62" spans="1:29" s="256" customFormat="1" ht="16.5" customHeight="1" x14ac:dyDescent="0.25">
      <c r="A62" s="744">
        <v>55</v>
      </c>
      <c r="B62" s="750"/>
      <c r="C62" s="751">
        <v>2026</v>
      </c>
      <c r="D62" s="688" t="s">
        <v>2430</v>
      </c>
      <c r="E62" s="685" t="s">
        <v>2431</v>
      </c>
      <c r="F62" s="707"/>
      <c r="G62" s="707"/>
      <c r="H62" s="707"/>
      <c r="I62" s="707"/>
      <c r="J62" s="707"/>
      <c r="K62" s="707"/>
      <c r="L62" s="707"/>
      <c r="M62" s="707"/>
      <c r="N62" s="707"/>
      <c r="O62" s="707"/>
      <c r="P62" s="707"/>
      <c r="Q62" s="707"/>
      <c r="R62" s="707"/>
      <c r="S62" s="782">
        <f t="shared" ref="S62:S72" si="11">SUM(F62:R62)/13</f>
        <v>0</v>
      </c>
      <c r="T62" s="242"/>
      <c r="U62" s="242"/>
      <c r="V62" s="242"/>
      <c r="W62" s="277"/>
      <c r="X62" s="277"/>
      <c r="Y62" s="379"/>
      <c r="Z62" s="273"/>
      <c r="AA62" s="692" t="s">
        <v>2527</v>
      </c>
      <c r="AB62" s="545"/>
      <c r="AC62" s="357" t="e">
        <f t="shared" ref="AC62:AC72" si="12">AVERAGE(F62:R62)</f>
        <v>#DIV/0!</v>
      </c>
    </row>
    <row r="63" spans="1:29" s="256" customFormat="1" ht="16.5" customHeight="1" x14ac:dyDescent="0.25">
      <c r="A63" s="744">
        <v>56</v>
      </c>
      <c r="B63" s="750"/>
      <c r="C63" s="751">
        <v>2026</v>
      </c>
      <c r="D63" s="688" t="s">
        <v>2432</v>
      </c>
      <c r="E63" s="685" t="s">
        <v>2433</v>
      </c>
      <c r="F63" s="707"/>
      <c r="G63" s="707"/>
      <c r="H63" s="707"/>
      <c r="I63" s="707"/>
      <c r="J63" s="707"/>
      <c r="K63" s="707"/>
      <c r="L63" s="707"/>
      <c r="M63" s="707"/>
      <c r="N63" s="707"/>
      <c r="O63" s="707"/>
      <c r="P63" s="707"/>
      <c r="Q63" s="707"/>
      <c r="R63" s="707"/>
      <c r="S63" s="782">
        <f t="shared" si="11"/>
        <v>0</v>
      </c>
      <c r="T63" s="242"/>
      <c r="U63" s="242"/>
      <c r="V63" s="242"/>
      <c r="W63" s="277"/>
      <c r="X63" s="277"/>
      <c r="Y63" s="379"/>
      <c r="Z63" s="273"/>
      <c r="AA63" s="692" t="s">
        <v>2497</v>
      </c>
      <c r="AB63" s="545"/>
      <c r="AC63" s="357" t="e">
        <f t="shared" si="12"/>
        <v>#DIV/0!</v>
      </c>
    </row>
    <row r="64" spans="1:29" s="256" customFormat="1" ht="16.5" customHeight="1" x14ac:dyDescent="0.25">
      <c r="A64" s="744">
        <v>57</v>
      </c>
      <c r="B64" s="750"/>
      <c r="C64" s="751">
        <v>2026</v>
      </c>
      <c r="D64" s="688" t="s">
        <v>2434</v>
      </c>
      <c r="E64" s="685" t="s">
        <v>2435</v>
      </c>
      <c r="F64" s="707"/>
      <c r="G64" s="707"/>
      <c r="H64" s="707"/>
      <c r="I64" s="707"/>
      <c r="J64" s="707"/>
      <c r="K64" s="707"/>
      <c r="L64" s="707"/>
      <c r="M64" s="707"/>
      <c r="N64" s="707"/>
      <c r="O64" s="707"/>
      <c r="P64" s="707"/>
      <c r="Q64" s="707"/>
      <c r="R64" s="707"/>
      <c r="S64" s="782">
        <f t="shared" si="11"/>
        <v>0</v>
      </c>
      <c r="T64" s="242"/>
      <c r="U64" s="242"/>
      <c r="V64" s="242"/>
      <c r="W64" s="277"/>
      <c r="X64" s="277"/>
      <c r="Y64" s="379"/>
      <c r="Z64" s="273"/>
      <c r="AA64" s="692" t="s">
        <v>2496</v>
      </c>
      <c r="AB64" s="545"/>
      <c r="AC64" s="357" t="e">
        <f t="shared" si="12"/>
        <v>#DIV/0!</v>
      </c>
    </row>
    <row r="65" spans="1:29" s="256" customFormat="1" ht="16.5" customHeight="1" x14ac:dyDescent="0.25">
      <c r="A65" s="744">
        <v>58</v>
      </c>
      <c r="B65" s="750"/>
      <c r="C65" s="751">
        <v>2026</v>
      </c>
      <c r="D65" s="688" t="s">
        <v>2436</v>
      </c>
      <c r="E65" s="685" t="s">
        <v>2437</v>
      </c>
      <c r="F65" s="707"/>
      <c r="G65" s="707"/>
      <c r="H65" s="707"/>
      <c r="I65" s="707"/>
      <c r="J65" s="707"/>
      <c r="K65" s="707"/>
      <c r="L65" s="707"/>
      <c r="M65" s="707"/>
      <c r="N65" s="707"/>
      <c r="O65" s="707"/>
      <c r="P65" s="707"/>
      <c r="Q65" s="707"/>
      <c r="R65" s="707"/>
      <c r="S65" s="782">
        <f t="shared" si="11"/>
        <v>0</v>
      </c>
      <c r="T65" s="242"/>
      <c r="U65" s="242"/>
      <c r="V65" s="242"/>
      <c r="W65" s="277"/>
      <c r="X65" s="277"/>
      <c r="Y65" s="379"/>
      <c r="Z65" s="273"/>
      <c r="AA65" s="692" t="s">
        <v>2528</v>
      </c>
      <c r="AB65" s="545"/>
      <c r="AC65" s="357" t="e">
        <f t="shared" si="12"/>
        <v>#DIV/0!</v>
      </c>
    </row>
    <row r="66" spans="1:29" s="256" customFormat="1" ht="16.5" customHeight="1" x14ac:dyDescent="0.25">
      <c r="A66" s="744">
        <v>59</v>
      </c>
      <c r="B66" s="750"/>
      <c r="C66" s="751">
        <v>2026</v>
      </c>
      <c r="D66" s="688" t="s">
        <v>2438</v>
      </c>
      <c r="E66" s="685" t="s">
        <v>2439</v>
      </c>
      <c r="F66" s="707"/>
      <c r="G66" s="707"/>
      <c r="H66" s="707"/>
      <c r="I66" s="707"/>
      <c r="J66" s="707"/>
      <c r="K66" s="707"/>
      <c r="L66" s="707"/>
      <c r="M66" s="707"/>
      <c r="N66" s="707"/>
      <c r="O66" s="707"/>
      <c r="P66" s="707"/>
      <c r="Q66" s="707"/>
      <c r="R66" s="707"/>
      <c r="S66" s="782">
        <f t="shared" si="11"/>
        <v>0</v>
      </c>
      <c r="T66" s="242"/>
      <c r="U66" s="242"/>
      <c r="V66" s="242"/>
      <c r="W66" s="277"/>
      <c r="X66" s="277"/>
      <c r="Y66" s="379"/>
      <c r="Z66" s="273"/>
      <c r="AA66" s="692" t="s">
        <v>2478</v>
      </c>
      <c r="AB66" s="545"/>
      <c r="AC66" s="357" t="e">
        <f t="shared" si="12"/>
        <v>#DIV/0!</v>
      </c>
    </row>
    <row r="67" spans="1:29" s="256" customFormat="1" ht="16.5" customHeight="1" x14ac:dyDescent="0.25">
      <c r="A67" s="744">
        <v>60</v>
      </c>
      <c r="B67" s="750"/>
      <c r="C67" s="751">
        <v>2026</v>
      </c>
      <c r="D67" s="688" t="s">
        <v>2440</v>
      </c>
      <c r="E67" s="685" t="s">
        <v>2441</v>
      </c>
      <c r="F67" s="707"/>
      <c r="G67" s="707"/>
      <c r="H67" s="707"/>
      <c r="I67" s="707"/>
      <c r="J67" s="707"/>
      <c r="K67" s="707"/>
      <c r="L67" s="707"/>
      <c r="M67" s="707"/>
      <c r="N67" s="707"/>
      <c r="O67" s="707"/>
      <c r="P67" s="707"/>
      <c r="Q67" s="707"/>
      <c r="R67" s="707"/>
      <c r="S67" s="782">
        <f t="shared" si="11"/>
        <v>0</v>
      </c>
      <c r="T67" s="242"/>
      <c r="U67" s="242"/>
      <c r="V67" s="242"/>
      <c r="W67" s="277"/>
      <c r="X67" s="277"/>
      <c r="Y67" s="379"/>
      <c r="Z67" s="273"/>
      <c r="AA67" s="692" t="s">
        <v>2529</v>
      </c>
      <c r="AB67" s="545"/>
      <c r="AC67" s="357" t="e">
        <f t="shared" si="12"/>
        <v>#DIV/0!</v>
      </c>
    </row>
    <row r="68" spans="1:29" s="256" customFormat="1" ht="16.5" customHeight="1" x14ac:dyDescent="0.25">
      <c r="A68" s="744">
        <v>61</v>
      </c>
      <c r="B68" s="750"/>
      <c r="C68" s="751">
        <v>2026</v>
      </c>
      <c r="D68" s="688" t="s">
        <v>2442</v>
      </c>
      <c r="E68" s="685" t="s">
        <v>2443</v>
      </c>
      <c r="F68" s="707"/>
      <c r="G68" s="707"/>
      <c r="H68" s="707"/>
      <c r="I68" s="707"/>
      <c r="J68" s="707"/>
      <c r="K68" s="707"/>
      <c r="L68" s="707"/>
      <c r="M68" s="707"/>
      <c r="N68" s="707"/>
      <c r="O68" s="707"/>
      <c r="P68" s="707"/>
      <c r="Q68" s="707"/>
      <c r="R68" s="707"/>
      <c r="S68" s="782">
        <f t="shared" si="11"/>
        <v>0</v>
      </c>
      <c r="T68" s="242"/>
      <c r="U68" s="242"/>
      <c r="V68" s="242"/>
      <c r="W68" s="277"/>
      <c r="X68" s="277"/>
      <c r="Y68" s="379"/>
      <c r="Z68" s="273"/>
      <c r="AA68" s="692" t="s">
        <v>2513</v>
      </c>
      <c r="AB68" s="545"/>
      <c r="AC68" s="357" t="e">
        <f t="shared" si="12"/>
        <v>#DIV/0!</v>
      </c>
    </row>
    <row r="69" spans="1:29" s="256" customFormat="1" ht="16.5" customHeight="1" x14ac:dyDescent="0.25">
      <c r="A69" s="744">
        <v>62</v>
      </c>
      <c r="B69" s="750"/>
      <c r="C69" s="751">
        <v>2026</v>
      </c>
      <c r="D69" s="688" t="s">
        <v>2444</v>
      </c>
      <c r="E69" s="685" t="s">
        <v>2445</v>
      </c>
      <c r="F69" s="707"/>
      <c r="G69" s="707"/>
      <c r="H69" s="707"/>
      <c r="I69" s="707"/>
      <c r="J69" s="707"/>
      <c r="K69" s="707"/>
      <c r="L69" s="707"/>
      <c r="M69" s="707"/>
      <c r="N69" s="707"/>
      <c r="O69" s="707"/>
      <c r="P69" s="707"/>
      <c r="Q69" s="707"/>
      <c r="R69" s="707"/>
      <c r="S69" s="782">
        <f t="shared" si="11"/>
        <v>0</v>
      </c>
      <c r="T69" s="242"/>
      <c r="U69" s="242"/>
      <c r="V69" s="242"/>
      <c r="W69" s="277"/>
      <c r="X69" s="277"/>
      <c r="Y69" s="379"/>
      <c r="Z69" s="273"/>
      <c r="AA69" s="692" t="s">
        <v>2530</v>
      </c>
      <c r="AB69" s="545"/>
      <c r="AC69" s="357" t="e">
        <f t="shared" si="12"/>
        <v>#DIV/0!</v>
      </c>
    </row>
    <row r="70" spans="1:29" s="256" customFormat="1" ht="16.5" customHeight="1" x14ac:dyDescent="0.25">
      <c r="A70" s="744">
        <v>63</v>
      </c>
      <c r="B70" s="750"/>
      <c r="C70" s="751">
        <v>2026</v>
      </c>
      <c r="D70" s="688" t="s">
        <v>2446</v>
      </c>
      <c r="E70" s="685" t="s">
        <v>2447</v>
      </c>
      <c r="F70" s="707"/>
      <c r="G70" s="707"/>
      <c r="H70" s="707"/>
      <c r="I70" s="707"/>
      <c r="J70" s="707"/>
      <c r="K70" s="707"/>
      <c r="L70" s="707"/>
      <c r="M70" s="707"/>
      <c r="N70" s="707"/>
      <c r="O70" s="707"/>
      <c r="P70" s="707"/>
      <c r="Q70" s="707"/>
      <c r="R70" s="707"/>
      <c r="S70" s="782">
        <f t="shared" si="11"/>
        <v>0</v>
      </c>
      <c r="T70" s="242"/>
      <c r="U70" s="242"/>
      <c r="V70" s="242"/>
      <c r="W70" s="277"/>
      <c r="X70" s="277"/>
      <c r="Y70" s="379"/>
      <c r="Z70" s="273"/>
      <c r="AA70" s="692" t="s">
        <v>2517</v>
      </c>
      <c r="AB70" s="545"/>
      <c r="AC70" s="357" t="e">
        <f t="shared" si="12"/>
        <v>#DIV/0!</v>
      </c>
    </row>
    <row r="71" spans="1:29" s="256" customFormat="1" ht="16.5" customHeight="1" x14ac:dyDescent="0.25">
      <c r="A71" s="744">
        <v>64</v>
      </c>
      <c r="B71" s="750"/>
      <c r="C71" s="751">
        <v>2026</v>
      </c>
      <c r="D71" s="688" t="s">
        <v>2448</v>
      </c>
      <c r="E71" s="685" t="s">
        <v>2347</v>
      </c>
      <c r="F71" s="707"/>
      <c r="G71" s="707"/>
      <c r="H71" s="707"/>
      <c r="I71" s="707"/>
      <c r="J71" s="707"/>
      <c r="K71" s="707"/>
      <c r="L71" s="707"/>
      <c r="M71" s="707"/>
      <c r="N71" s="707"/>
      <c r="O71" s="707"/>
      <c r="P71" s="707"/>
      <c r="Q71" s="707"/>
      <c r="R71" s="707"/>
      <c r="S71" s="782">
        <f t="shared" si="11"/>
        <v>0</v>
      </c>
      <c r="T71" s="242"/>
      <c r="U71" s="242"/>
      <c r="V71" s="242"/>
      <c r="W71" s="277"/>
      <c r="X71" s="277"/>
      <c r="Y71" s="379"/>
      <c r="Z71" s="273"/>
      <c r="AA71" s="692" t="s">
        <v>2496</v>
      </c>
      <c r="AB71" s="545"/>
      <c r="AC71" s="357" t="e">
        <f t="shared" si="12"/>
        <v>#DIV/0!</v>
      </c>
    </row>
    <row r="72" spans="1:29" s="256" customFormat="1" ht="16.5" customHeight="1" x14ac:dyDescent="0.25">
      <c r="A72" s="744">
        <v>65</v>
      </c>
      <c r="B72" s="750"/>
      <c r="C72" s="751">
        <v>2026</v>
      </c>
      <c r="D72" s="688" t="s">
        <v>2449</v>
      </c>
      <c r="E72" s="685" t="s">
        <v>2450</v>
      </c>
      <c r="F72" s="707"/>
      <c r="G72" s="707"/>
      <c r="H72" s="707"/>
      <c r="I72" s="707"/>
      <c r="J72" s="707"/>
      <c r="K72" s="707"/>
      <c r="L72" s="707"/>
      <c r="M72" s="707"/>
      <c r="N72" s="707"/>
      <c r="O72" s="707"/>
      <c r="P72" s="707"/>
      <c r="Q72" s="707"/>
      <c r="R72" s="707"/>
      <c r="S72" s="782">
        <f t="shared" si="11"/>
        <v>0</v>
      </c>
      <c r="T72" s="242"/>
      <c r="U72" s="242"/>
      <c r="V72" s="242"/>
      <c r="W72" s="277"/>
      <c r="X72" s="277"/>
      <c r="Y72" s="379"/>
      <c r="Z72" s="273"/>
      <c r="AA72" s="692" t="s">
        <v>2531</v>
      </c>
      <c r="AB72" s="545"/>
      <c r="AC72" s="357" t="e">
        <f t="shared" si="12"/>
        <v>#DIV/0!</v>
      </c>
    </row>
    <row r="73" spans="1:29" s="256" customFormat="1" ht="16.5" customHeight="1" x14ac:dyDescent="0.25">
      <c r="A73" s="744">
        <v>66</v>
      </c>
      <c r="B73" s="750"/>
      <c r="C73" s="751">
        <v>2026</v>
      </c>
      <c r="D73" s="688" t="s">
        <v>2451</v>
      </c>
      <c r="E73" s="685" t="s">
        <v>2452</v>
      </c>
      <c r="F73" s="707"/>
      <c r="G73" s="707"/>
      <c r="H73" s="707"/>
      <c r="I73" s="707"/>
      <c r="J73" s="707"/>
      <c r="K73" s="707"/>
      <c r="L73" s="707"/>
      <c r="M73" s="707"/>
      <c r="N73" s="707"/>
      <c r="O73" s="707"/>
      <c r="P73" s="707"/>
      <c r="Q73" s="707"/>
      <c r="R73" s="707"/>
      <c r="S73" s="782">
        <f t="shared" si="1"/>
        <v>0</v>
      </c>
      <c r="T73" s="242"/>
      <c r="U73" s="242"/>
      <c r="V73" s="242"/>
      <c r="W73" s="277"/>
      <c r="X73" s="277"/>
      <c r="Y73" s="379"/>
      <c r="Z73" s="273"/>
      <c r="AA73" s="692" t="s">
        <v>2532</v>
      </c>
      <c r="AB73" s="545"/>
      <c r="AC73" s="357" t="e">
        <f t="shared" si="8"/>
        <v>#DIV/0!</v>
      </c>
    </row>
    <row r="74" spans="1:29" s="256" customFormat="1" ht="16.5" customHeight="1" x14ac:dyDescent="0.25">
      <c r="A74" s="744">
        <v>67</v>
      </c>
      <c r="B74" s="750"/>
      <c r="C74" s="751">
        <v>2026</v>
      </c>
      <c r="D74" s="688" t="s">
        <v>2453</v>
      </c>
      <c r="E74" s="685" t="s">
        <v>2454</v>
      </c>
      <c r="F74" s="707"/>
      <c r="G74" s="707"/>
      <c r="H74" s="707"/>
      <c r="I74" s="707"/>
      <c r="J74" s="707"/>
      <c r="K74" s="707"/>
      <c r="L74" s="707"/>
      <c r="M74" s="707"/>
      <c r="N74" s="707"/>
      <c r="O74" s="707"/>
      <c r="P74" s="707"/>
      <c r="Q74" s="707"/>
      <c r="R74" s="707"/>
      <c r="S74" s="782">
        <f t="shared" si="1"/>
        <v>0</v>
      </c>
      <c r="T74" s="242"/>
      <c r="U74" s="242"/>
      <c r="V74" s="242"/>
      <c r="W74" s="277"/>
      <c r="X74" s="277"/>
      <c r="Y74" s="379"/>
      <c r="Z74" s="273"/>
      <c r="AA74" s="692" t="s">
        <v>2533</v>
      </c>
      <c r="AB74" s="545"/>
      <c r="AC74" s="357" t="e">
        <f t="shared" si="8"/>
        <v>#DIV/0!</v>
      </c>
    </row>
    <row r="75" spans="1:29" s="256" customFormat="1" ht="16.5" customHeight="1" x14ac:dyDescent="0.25">
      <c r="A75" s="744">
        <v>68</v>
      </c>
      <c r="B75" s="750"/>
      <c r="C75" s="751">
        <v>2026</v>
      </c>
      <c r="D75" s="688" t="s">
        <v>2455</v>
      </c>
      <c r="E75" s="685" t="s">
        <v>2456</v>
      </c>
      <c r="F75" s="707"/>
      <c r="G75" s="707"/>
      <c r="H75" s="707"/>
      <c r="I75" s="707"/>
      <c r="J75" s="707"/>
      <c r="K75" s="707"/>
      <c r="L75" s="707"/>
      <c r="M75" s="707"/>
      <c r="N75" s="707"/>
      <c r="O75" s="707"/>
      <c r="P75" s="707"/>
      <c r="Q75" s="707"/>
      <c r="R75" s="707"/>
      <c r="S75" s="782">
        <f t="shared" si="1"/>
        <v>0</v>
      </c>
      <c r="T75" s="242"/>
      <c r="U75" s="242"/>
      <c r="V75" s="242"/>
      <c r="W75" s="277"/>
      <c r="X75" s="277"/>
      <c r="Y75" s="379"/>
      <c r="Z75" s="273"/>
      <c r="AA75" s="692" t="s">
        <v>2534</v>
      </c>
      <c r="AB75" s="545"/>
      <c r="AC75" s="357" t="e">
        <f t="shared" si="8"/>
        <v>#DIV/0!</v>
      </c>
    </row>
    <row r="76" spans="1:29" s="256" customFormat="1" ht="16.5" customHeight="1" x14ac:dyDescent="0.25">
      <c r="A76" s="744">
        <v>69</v>
      </c>
      <c r="B76" s="750"/>
      <c r="C76" s="751">
        <v>2026</v>
      </c>
      <c r="D76" s="688" t="s">
        <v>2457</v>
      </c>
      <c r="E76" s="685" t="s">
        <v>2458</v>
      </c>
      <c r="F76" s="707"/>
      <c r="G76" s="707"/>
      <c r="H76" s="707"/>
      <c r="I76" s="707"/>
      <c r="J76" s="707"/>
      <c r="K76" s="707"/>
      <c r="L76" s="707"/>
      <c r="M76" s="707"/>
      <c r="N76" s="707"/>
      <c r="O76" s="707"/>
      <c r="P76" s="707"/>
      <c r="Q76" s="707"/>
      <c r="R76" s="707"/>
      <c r="S76" s="782">
        <f t="shared" si="1"/>
        <v>0</v>
      </c>
      <c r="T76" s="242"/>
      <c r="U76" s="242"/>
      <c r="V76" s="242"/>
      <c r="W76" s="277"/>
      <c r="X76" s="277"/>
      <c r="Y76" s="379"/>
      <c r="Z76" s="273"/>
      <c r="AA76" s="692" t="s">
        <v>2535</v>
      </c>
      <c r="AB76" s="545"/>
      <c r="AC76" s="357" t="e">
        <f t="shared" si="8"/>
        <v>#DIV/0!</v>
      </c>
    </row>
    <row r="77" spans="1:29" s="256" customFormat="1" ht="16.5" customHeight="1" x14ac:dyDescent="0.25">
      <c r="A77" s="744">
        <v>70</v>
      </c>
      <c r="B77" s="750"/>
      <c r="C77" s="751">
        <v>2026</v>
      </c>
      <c r="D77" s="688" t="s">
        <v>2459</v>
      </c>
      <c r="E77" s="685" t="s">
        <v>2460</v>
      </c>
      <c r="F77" s="707"/>
      <c r="G77" s="707"/>
      <c r="H77" s="707"/>
      <c r="I77" s="707"/>
      <c r="J77" s="707"/>
      <c r="K77" s="707"/>
      <c r="L77" s="707"/>
      <c r="M77" s="707"/>
      <c r="N77" s="707"/>
      <c r="O77" s="707"/>
      <c r="P77" s="707"/>
      <c r="Q77" s="707"/>
      <c r="R77" s="707"/>
      <c r="S77" s="782">
        <f t="shared" si="1"/>
        <v>0</v>
      </c>
      <c r="T77" s="242"/>
      <c r="U77" s="242"/>
      <c r="V77" s="242"/>
      <c r="W77" s="277"/>
      <c r="X77" s="277"/>
      <c r="Y77" s="379"/>
      <c r="Z77" s="273"/>
      <c r="AA77" s="692" t="s">
        <v>2491</v>
      </c>
      <c r="AB77" s="545"/>
      <c r="AC77" s="357" t="e">
        <f t="shared" si="8"/>
        <v>#DIV/0!</v>
      </c>
    </row>
    <row r="78" spans="1:29" s="256" customFormat="1" ht="16.5" customHeight="1" x14ac:dyDescent="0.25">
      <c r="A78" s="744">
        <v>71</v>
      </c>
      <c r="B78" s="750"/>
      <c r="C78" s="751">
        <v>2026</v>
      </c>
      <c r="D78" s="688" t="s">
        <v>2461</v>
      </c>
      <c r="E78" s="685" t="s">
        <v>2462</v>
      </c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82">
        <f t="shared" ref="S78:S79" si="13">SUM(F78:R78)/13</f>
        <v>0</v>
      </c>
      <c r="T78" s="242"/>
      <c r="U78" s="242"/>
      <c r="V78" s="242"/>
      <c r="W78" s="277"/>
      <c r="X78" s="277"/>
      <c r="Y78" s="379"/>
      <c r="Z78" s="273"/>
      <c r="AA78" s="692" t="s">
        <v>2536</v>
      </c>
      <c r="AB78" s="545"/>
      <c r="AC78" s="357" t="e">
        <f t="shared" ref="AC78:AC79" si="14">AVERAGE(F78:R78)</f>
        <v>#DIV/0!</v>
      </c>
    </row>
    <row r="79" spans="1:29" s="256" customFormat="1" ht="16.5" customHeight="1" x14ac:dyDescent="0.25">
      <c r="A79" s="744">
        <v>72</v>
      </c>
      <c r="B79" s="750"/>
      <c r="C79" s="751">
        <v>2026</v>
      </c>
      <c r="D79" s="688" t="s">
        <v>2463</v>
      </c>
      <c r="E79" s="685" t="s">
        <v>2464</v>
      </c>
      <c r="F79" s="707"/>
      <c r="G79" s="707"/>
      <c r="H79" s="707"/>
      <c r="I79" s="707"/>
      <c r="J79" s="707"/>
      <c r="K79" s="707"/>
      <c r="L79" s="707"/>
      <c r="M79" s="707"/>
      <c r="N79" s="707"/>
      <c r="O79" s="707"/>
      <c r="P79" s="707"/>
      <c r="Q79" s="707"/>
      <c r="R79" s="707"/>
      <c r="S79" s="782">
        <f t="shared" si="13"/>
        <v>0</v>
      </c>
      <c r="T79" s="242"/>
      <c r="U79" s="242"/>
      <c r="V79" s="242"/>
      <c r="W79" s="277"/>
      <c r="X79" s="277"/>
      <c r="Y79" s="379"/>
      <c r="Z79" s="273"/>
      <c r="AA79" s="692" t="s">
        <v>2537</v>
      </c>
      <c r="AB79" s="545"/>
      <c r="AC79" s="357" t="e">
        <f t="shared" si="14"/>
        <v>#DIV/0!</v>
      </c>
    </row>
    <row r="80" spans="1:29" s="256" customFormat="1" ht="16.5" customHeight="1" x14ac:dyDescent="0.25">
      <c r="A80" s="744">
        <v>73</v>
      </c>
      <c r="B80" s="750"/>
      <c r="C80" s="751">
        <v>2026</v>
      </c>
      <c r="D80" s="688" t="s">
        <v>2465</v>
      </c>
      <c r="E80" s="685" t="s">
        <v>2466</v>
      </c>
      <c r="F80" s="707"/>
      <c r="G80" s="707"/>
      <c r="H80" s="707"/>
      <c r="I80" s="707"/>
      <c r="J80" s="707"/>
      <c r="K80" s="707"/>
      <c r="L80" s="707"/>
      <c r="M80" s="707"/>
      <c r="N80" s="707"/>
      <c r="O80" s="707"/>
      <c r="P80" s="707"/>
      <c r="Q80" s="707"/>
      <c r="R80" s="707"/>
      <c r="S80" s="782">
        <f t="shared" ref="S80:S81" si="15">SUM(F80:R80)/13</f>
        <v>0</v>
      </c>
      <c r="T80" s="242"/>
      <c r="U80" s="242"/>
      <c r="V80" s="242"/>
      <c r="W80" s="277"/>
      <c r="X80" s="277"/>
      <c r="Y80" s="379"/>
      <c r="Z80" s="273"/>
      <c r="AA80" s="692" t="s">
        <v>2538</v>
      </c>
      <c r="AB80" s="545"/>
      <c r="AC80" s="357" t="e">
        <f t="shared" ref="AC80:AC81" si="16">AVERAGE(F80:R80)</f>
        <v>#DIV/0!</v>
      </c>
    </row>
    <row r="81" spans="1:29" s="256" customFormat="1" ht="16.5" customHeight="1" x14ac:dyDescent="0.25">
      <c r="A81" s="744">
        <v>74</v>
      </c>
      <c r="B81" s="750"/>
      <c r="C81" s="751">
        <v>2026</v>
      </c>
      <c r="D81" s="688" t="s">
        <v>2467</v>
      </c>
      <c r="E81" s="685" t="s">
        <v>807</v>
      </c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07"/>
      <c r="R81" s="707"/>
      <c r="S81" s="782">
        <f t="shared" si="15"/>
        <v>0</v>
      </c>
      <c r="T81" s="242"/>
      <c r="U81" s="242"/>
      <c r="V81" s="242"/>
      <c r="W81" s="277"/>
      <c r="X81" s="277"/>
      <c r="Y81" s="379"/>
      <c r="Z81" s="273"/>
      <c r="AA81" s="692" t="s">
        <v>2539</v>
      </c>
      <c r="AB81" s="545"/>
      <c r="AC81" s="357" t="e">
        <f t="shared" si="16"/>
        <v>#DIV/0!</v>
      </c>
    </row>
    <row r="82" spans="1:29" s="256" customFormat="1" ht="16.5" customHeight="1" x14ac:dyDescent="0.25">
      <c r="A82" s="744">
        <v>75</v>
      </c>
      <c r="B82" s="750"/>
      <c r="C82" s="751">
        <v>2026</v>
      </c>
      <c r="D82" s="688" t="s">
        <v>2468</v>
      </c>
      <c r="E82" s="685" t="s">
        <v>2469</v>
      </c>
      <c r="F82" s="707"/>
      <c r="G82" s="707"/>
      <c r="H82" s="707"/>
      <c r="I82" s="707"/>
      <c r="J82" s="707"/>
      <c r="K82" s="707"/>
      <c r="L82" s="707"/>
      <c r="M82" s="707"/>
      <c r="N82" s="707"/>
      <c r="O82" s="707"/>
      <c r="P82" s="707"/>
      <c r="Q82" s="707"/>
      <c r="R82" s="707"/>
      <c r="S82" s="782">
        <f t="shared" si="1"/>
        <v>0</v>
      </c>
      <c r="T82" s="242"/>
      <c r="U82" s="242"/>
      <c r="V82" s="242"/>
      <c r="W82" s="277"/>
      <c r="X82" s="277"/>
      <c r="Y82" s="379"/>
      <c r="Z82" s="273"/>
      <c r="AA82" s="692" t="s">
        <v>2540</v>
      </c>
      <c r="AB82" s="545"/>
      <c r="AC82" s="357" t="e">
        <f t="shared" si="8"/>
        <v>#DIV/0!</v>
      </c>
    </row>
    <row r="83" spans="1:29" s="256" customFormat="1" ht="16.5" customHeight="1" x14ac:dyDescent="0.25">
      <c r="A83" s="744">
        <v>76</v>
      </c>
      <c r="B83" s="750"/>
      <c r="C83" s="751">
        <v>2026</v>
      </c>
      <c r="D83" s="688" t="s">
        <v>2470</v>
      </c>
      <c r="E83" s="685" t="s">
        <v>2471</v>
      </c>
      <c r="F83" s="707"/>
      <c r="G83" s="707"/>
      <c r="H83" s="707"/>
      <c r="I83" s="707"/>
      <c r="J83" s="707"/>
      <c r="K83" s="707"/>
      <c r="L83" s="707"/>
      <c r="M83" s="707"/>
      <c r="N83" s="707"/>
      <c r="O83" s="707"/>
      <c r="P83" s="707"/>
      <c r="Q83" s="707"/>
      <c r="R83" s="707"/>
      <c r="S83" s="782">
        <f t="shared" si="1"/>
        <v>0</v>
      </c>
      <c r="T83" s="242"/>
      <c r="U83" s="242"/>
      <c r="V83" s="242"/>
      <c r="W83" s="277"/>
      <c r="X83" s="277"/>
      <c r="Y83" s="379"/>
      <c r="Z83" s="273"/>
      <c r="AA83" s="692" t="s">
        <v>2541</v>
      </c>
      <c r="AB83" s="545"/>
      <c r="AC83" s="357" t="e">
        <f t="shared" si="8"/>
        <v>#DIV/0!</v>
      </c>
    </row>
    <row r="84" spans="1:29" s="256" customFormat="1" ht="16.5" customHeight="1" x14ac:dyDescent="0.25">
      <c r="A84" s="744">
        <v>77</v>
      </c>
      <c r="B84" s="750"/>
      <c r="C84" s="751">
        <v>2026</v>
      </c>
      <c r="D84" s="688" t="s">
        <v>2472</v>
      </c>
      <c r="E84" s="685" t="s">
        <v>2473</v>
      </c>
      <c r="F84" s="707"/>
      <c r="G84" s="707"/>
      <c r="H84" s="707"/>
      <c r="I84" s="707"/>
      <c r="J84" s="707"/>
      <c r="K84" s="707"/>
      <c r="L84" s="707"/>
      <c r="M84" s="707"/>
      <c r="N84" s="707"/>
      <c r="O84" s="707"/>
      <c r="P84" s="707"/>
      <c r="Q84" s="707"/>
      <c r="R84" s="707"/>
      <c r="S84" s="782">
        <f t="shared" si="1"/>
        <v>0</v>
      </c>
      <c r="T84" s="242"/>
      <c r="U84" s="242"/>
      <c r="V84" s="242"/>
      <c r="W84" s="277"/>
      <c r="X84" s="277"/>
      <c r="Y84" s="379"/>
      <c r="Z84" s="273"/>
      <c r="AA84" s="692" t="s">
        <v>2542</v>
      </c>
      <c r="AB84" s="545"/>
      <c r="AC84" s="357" t="e">
        <f t="shared" si="8"/>
        <v>#DIV/0!</v>
      </c>
    </row>
    <row r="85" spans="1:29" s="256" customFormat="1" ht="16.5" customHeight="1" x14ac:dyDescent="0.25">
      <c r="A85" s="744">
        <v>78</v>
      </c>
      <c r="B85" s="750"/>
      <c r="C85" s="751">
        <v>2026</v>
      </c>
      <c r="D85" s="688" t="s">
        <v>2474</v>
      </c>
      <c r="E85" s="685" t="s">
        <v>2475</v>
      </c>
      <c r="F85" s="707"/>
      <c r="G85" s="707"/>
      <c r="H85" s="707"/>
      <c r="I85" s="707"/>
      <c r="J85" s="707"/>
      <c r="K85" s="707"/>
      <c r="L85" s="707"/>
      <c r="M85" s="707"/>
      <c r="N85" s="707"/>
      <c r="O85" s="707"/>
      <c r="P85" s="707"/>
      <c r="Q85" s="707"/>
      <c r="R85" s="707"/>
      <c r="S85" s="782">
        <f t="shared" si="1"/>
        <v>0</v>
      </c>
      <c r="T85" s="242"/>
      <c r="U85" s="242"/>
      <c r="V85" s="242"/>
      <c r="W85" s="277"/>
      <c r="X85" s="277"/>
      <c r="Y85" s="379"/>
      <c r="Z85" s="273"/>
      <c r="AA85" s="692" t="s">
        <v>2543</v>
      </c>
      <c r="AB85" s="545"/>
      <c r="AC85" s="357" t="e">
        <f t="shared" si="8"/>
        <v>#DIV/0!</v>
      </c>
    </row>
    <row r="86" spans="1:29" s="368" customFormat="1" ht="15" customHeight="1" thickBot="1" x14ac:dyDescent="0.3">
      <c r="A86" s="548"/>
      <c r="B86" s="546"/>
      <c r="C86" s="547"/>
      <c r="D86" s="546"/>
      <c r="E86" s="538"/>
      <c r="F86" s="538"/>
      <c r="G86" s="538"/>
      <c r="H86" s="538"/>
      <c r="I86" s="538"/>
      <c r="J86" s="538"/>
      <c r="K86" s="538"/>
      <c r="L86" s="538"/>
      <c r="M86" s="538"/>
      <c r="N86" s="538"/>
      <c r="O86" s="538"/>
      <c r="P86" s="538"/>
      <c r="Q86" s="538"/>
      <c r="R86" s="538"/>
      <c r="S86" s="539"/>
      <c r="T86" s="539"/>
      <c r="U86" s="539"/>
      <c r="V86" s="539"/>
      <c r="W86" s="539"/>
      <c r="X86" s="539"/>
      <c r="Y86" s="539"/>
      <c r="Z86" s="539"/>
      <c r="AA86" s="540"/>
    </row>
    <row r="87" spans="1:29" s="368" customFormat="1" ht="19.5" thickTop="1" x14ac:dyDescent="0.3">
      <c r="A87" s="369"/>
      <c r="B87" s="369"/>
      <c r="C87" s="369"/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69"/>
      <c r="Q87" s="369"/>
      <c r="R87" s="369"/>
      <c r="S87" s="1065"/>
      <c r="T87" s="1065"/>
      <c r="U87" s="1065"/>
      <c r="V87" s="371"/>
      <c r="W87" s="369"/>
      <c r="X87" s="369"/>
      <c r="Y87" s="369"/>
      <c r="Z87" s="372"/>
      <c r="AA87" s="369"/>
      <c r="AC87" s="368" t="s">
        <v>2266</v>
      </c>
    </row>
    <row r="88" spans="1:29" s="368" customFormat="1" x14ac:dyDescent="0.3">
      <c r="A88" s="369"/>
      <c r="B88" s="369"/>
      <c r="C88" s="369"/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69"/>
      <c r="P88" s="369"/>
      <c r="Q88" s="369"/>
      <c r="R88" s="369"/>
      <c r="S88" s="373"/>
      <c r="T88" s="374"/>
      <c r="U88" s="374"/>
      <c r="V88" s="371"/>
      <c r="W88" s="369"/>
      <c r="X88" s="369"/>
      <c r="Y88" s="369"/>
      <c r="Z88" s="372"/>
      <c r="AA88" s="369"/>
    </row>
    <row r="89" spans="1:29" s="368" customFormat="1" x14ac:dyDescent="0.3">
      <c r="A89" s="369"/>
      <c r="B89" s="369"/>
      <c r="C89" s="369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69"/>
      <c r="P89" s="369"/>
      <c r="Q89" s="369"/>
      <c r="R89" s="369"/>
      <c r="S89" s="373"/>
      <c r="T89" s="374"/>
      <c r="U89" s="374"/>
      <c r="V89" s="371"/>
      <c r="W89" s="369"/>
      <c r="X89" s="369"/>
      <c r="Y89" s="369"/>
      <c r="Z89" s="372"/>
      <c r="AA89" s="369"/>
    </row>
    <row r="90" spans="1:29" s="368" customFormat="1" x14ac:dyDescent="0.3">
      <c r="A90" s="369"/>
      <c r="B90" s="369"/>
      <c r="C90" s="369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69"/>
      <c r="P90" s="369"/>
      <c r="Q90" s="369"/>
      <c r="R90" s="369"/>
      <c r="S90" s="1066"/>
      <c r="T90" s="1066"/>
      <c r="U90" s="1066"/>
      <c r="V90" s="371"/>
      <c r="W90" s="369"/>
      <c r="X90" s="369"/>
      <c r="Y90" s="369"/>
      <c r="Z90" s="372"/>
      <c r="AA90" s="369"/>
    </row>
    <row r="91" spans="1:29" s="368" customFormat="1" ht="18" x14ac:dyDescent="0.25">
      <c r="A91" s="369"/>
      <c r="B91" s="369"/>
      <c r="C91" s="369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69"/>
      <c r="P91" s="369"/>
      <c r="Q91" s="369"/>
      <c r="R91" s="369"/>
      <c r="S91" s="1064"/>
      <c r="T91" s="1064"/>
      <c r="U91" s="1064"/>
      <c r="V91" s="1064"/>
      <c r="W91" s="1064"/>
      <c r="X91" s="1064"/>
      <c r="Y91" s="1064"/>
      <c r="Z91" s="1064"/>
      <c r="AA91" s="1064"/>
    </row>
    <row r="92" spans="1:29" s="368" customFormat="1" x14ac:dyDescent="0.3">
      <c r="A92" s="369"/>
      <c r="B92" s="369"/>
      <c r="C92" s="369"/>
      <c r="E92" s="369"/>
      <c r="F92" s="369"/>
      <c r="G92" s="369"/>
      <c r="H92" s="369"/>
      <c r="I92" s="369"/>
      <c r="J92" s="369"/>
      <c r="K92" s="369"/>
      <c r="L92" s="369"/>
      <c r="M92" s="369"/>
      <c r="N92" s="369"/>
      <c r="O92" s="369"/>
      <c r="P92" s="369"/>
      <c r="Q92" s="369"/>
      <c r="R92" s="369"/>
      <c r="S92" s="370"/>
      <c r="T92" s="371"/>
      <c r="U92" s="371"/>
      <c r="V92" s="371"/>
      <c r="W92" s="369"/>
      <c r="X92" s="369"/>
      <c r="Y92" s="369"/>
      <c r="Z92" s="372"/>
      <c r="AA92" s="369"/>
    </row>
    <row r="93" spans="1:29" s="368" customFormat="1" x14ac:dyDescent="0.3">
      <c r="A93" s="369"/>
      <c r="B93" s="369"/>
      <c r="C93" s="369"/>
      <c r="E93" s="369"/>
      <c r="F93" s="369"/>
      <c r="G93" s="369"/>
      <c r="H93" s="369"/>
      <c r="I93" s="369"/>
      <c r="J93" s="369"/>
      <c r="K93" s="369"/>
      <c r="L93" s="369"/>
      <c r="M93" s="369"/>
      <c r="N93" s="369"/>
      <c r="O93" s="369"/>
      <c r="P93" s="369"/>
      <c r="Q93" s="369"/>
      <c r="R93" s="369"/>
      <c r="S93" s="370"/>
      <c r="T93" s="371"/>
      <c r="U93" s="371"/>
      <c r="V93" s="371"/>
      <c r="W93" s="369"/>
      <c r="X93" s="369"/>
      <c r="Y93" s="369"/>
      <c r="Z93" s="372"/>
      <c r="AA93" s="369"/>
    </row>
    <row r="94" spans="1:29" s="368" customFormat="1" x14ac:dyDescent="0.3">
      <c r="A94" s="369"/>
      <c r="B94" s="369"/>
      <c r="C94" s="369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69"/>
      <c r="P94" s="369"/>
      <c r="Q94" s="369"/>
      <c r="R94" s="369"/>
      <c r="S94" s="370"/>
      <c r="T94" s="371"/>
      <c r="U94" s="371"/>
      <c r="V94" s="371"/>
      <c r="W94" s="369"/>
      <c r="X94" s="369"/>
      <c r="Y94" s="369"/>
      <c r="Z94" s="372"/>
      <c r="AA94" s="369"/>
    </row>
  </sheetData>
  <autoFilter ref="S6:AB85">
    <filterColumn colId="1" showButton="0"/>
    <filterColumn colId="2" showButton="0"/>
    <filterColumn colId="3" showButton="0"/>
  </autoFilter>
  <mergeCells count="18">
    <mergeCell ref="S91:AA91"/>
    <mergeCell ref="S87:U87"/>
    <mergeCell ref="S90:U90"/>
    <mergeCell ref="X6:X7"/>
    <mergeCell ref="AA6:AA7"/>
    <mergeCell ref="S6:S7"/>
    <mergeCell ref="A6:A7"/>
    <mergeCell ref="D6:D7"/>
    <mergeCell ref="B6:C7"/>
    <mergeCell ref="T6:W6"/>
    <mergeCell ref="E6:E7"/>
    <mergeCell ref="E1:AA1"/>
    <mergeCell ref="E2:AA2"/>
    <mergeCell ref="E3:AA3"/>
    <mergeCell ref="Y6:Y7"/>
    <mergeCell ref="Z6:Z7"/>
    <mergeCell ref="E4:AI4"/>
    <mergeCell ref="F6:R6"/>
  </mergeCells>
  <phoneticPr fontId="0" type="noConversion"/>
  <printOptions horizontalCentered="1"/>
  <pageMargins left="0.56999999999999995" right="0.16" top="0.27" bottom="0.31" header="0.23" footer="0.27"/>
  <pageSetup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00FF00"/>
  </sheetPr>
  <dimension ref="A1:Y139"/>
  <sheetViews>
    <sheetView topLeftCell="A8" zoomScale="120" zoomScaleNormal="120" workbookViewId="0">
      <selection activeCell="Z8" sqref="Z8"/>
    </sheetView>
  </sheetViews>
  <sheetFormatPr defaultRowHeight="18.75" x14ac:dyDescent="0.3"/>
  <cols>
    <col min="1" max="1" width="3.8984375" style="1" customWidth="1"/>
    <col min="2" max="2" width="4.09765625" style="1" customWidth="1"/>
    <col min="3" max="3" width="5.09765625" style="1" customWidth="1"/>
    <col min="4" max="4" width="17.5" customWidth="1"/>
    <col min="5" max="5" width="9" style="1" customWidth="1"/>
    <col min="6" max="9" width="3.09765625" style="1" customWidth="1"/>
    <col min="10" max="10" width="3.09765625" style="237" customWidth="1"/>
    <col min="11" max="14" width="3.09765625" style="1" customWidth="1"/>
    <col min="15" max="15" width="4.796875" style="25" customWidth="1"/>
    <col min="16" max="18" width="2.19921875" style="20" hidden="1" customWidth="1"/>
    <col min="19" max="20" width="3.3984375" style="23" hidden="1" customWidth="1"/>
    <col min="21" max="21" width="4.09765625" style="23" customWidth="1"/>
    <col min="22" max="22" width="5.296875" style="14" hidden="1" customWidth="1"/>
    <col min="23" max="23" width="23.8984375" style="23" customWidth="1"/>
    <col min="24" max="24" width="1.19921875" customWidth="1"/>
    <col min="25" max="25" width="4.19921875" style="461" customWidth="1"/>
  </cols>
  <sheetData>
    <row r="1" spans="1:25" s="761" customFormat="1" ht="15.75" x14ac:dyDescent="0.25">
      <c r="B1" s="763"/>
      <c r="C1" s="763"/>
      <c r="D1" s="763"/>
      <c r="E1" s="1046" t="s">
        <v>2237</v>
      </c>
      <c r="F1" s="1046"/>
      <c r="G1" s="1046"/>
      <c r="H1" s="1046"/>
      <c r="I1" s="1046"/>
      <c r="J1" s="1046"/>
      <c r="K1" s="1046"/>
      <c r="L1" s="1046"/>
      <c r="M1" s="1046"/>
      <c r="N1" s="1046"/>
      <c r="O1" s="1046"/>
      <c r="P1" s="1046"/>
      <c r="Q1" s="1046"/>
      <c r="R1" s="1046"/>
      <c r="S1" s="1046"/>
      <c r="T1" s="1046"/>
      <c r="U1" s="1046"/>
      <c r="V1" s="1046"/>
      <c r="W1" s="1046"/>
      <c r="X1" s="1046"/>
      <c r="Y1" s="1046"/>
    </row>
    <row r="2" spans="1:25" s="761" customFormat="1" ht="15.75" x14ac:dyDescent="0.25">
      <c r="B2" s="763"/>
      <c r="C2" s="763"/>
      <c r="D2" s="763"/>
      <c r="E2" s="1046" t="s">
        <v>2296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  <c r="X2" s="1046"/>
      <c r="Y2" s="1046"/>
    </row>
    <row r="3" spans="1:25" s="761" customFormat="1" ht="15.75" hidden="1" customHeight="1" x14ac:dyDescent="0.25">
      <c r="B3" s="762"/>
      <c r="C3" s="762"/>
      <c r="D3" s="762"/>
      <c r="E3" s="1047" t="s">
        <v>34</v>
      </c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47"/>
      <c r="W3" s="1047"/>
      <c r="X3" s="1047"/>
      <c r="Y3" s="1047"/>
    </row>
    <row r="4" spans="1:25" s="761" customFormat="1" ht="15.75" customHeight="1" x14ac:dyDescent="0.25">
      <c r="B4" s="763"/>
      <c r="C4" s="763"/>
      <c r="D4" s="763"/>
      <c r="E4" s="1052" t="s">
        <v>2295</v>
      </c>
      <c r="F4" s="1052"/>
      <c r="G4" s="1052"/>
      <c r="H4" s="1052"/>
      <c r="I4" s="1052"/>
      <c r="J4" s="1052"/>
      <c r="K4" s="1052"/>
      <c r="L4" s="1052"/>
      <c r="M4" s="1052"/>
      <c r="N4" s="1052"/>
      <c r="O4" s="1052"/>
      <c r="P4" s="1052"/>
      <c r="Q4" s="1052"/>
      <c r="R4" s="1052"/>
      <c r="S4" s="1052"/>
      <c r="T4" s="1052"/>
      <c r="U4" s="1052"/>
      <c r="V4" s="1052"/>
      <c r="W4" s="1052"/>
      <c r="X4" s="1052"/>
      <c r="Y4" s="1052"/>
    </row>
    <row r="5" spans="1:25" s="368" customFormat="1" ht="1.5" customHeight="1" thickBot="1" x14ac:dyDescent="0.3">
      <c r="A5" s="596"/>
      <c r="B5" s="596"/>
      <c r="C5" s="596"/>
      <c r="D5" s="596"/>
      <c r="E5" s="596"/>
      <c r="F5" s="596"/>
      <c r="G5" s="596"/>
      <c r="H5" s="596"/>
      <c r="I5" s="596"/>
      <c r="J5" s="596"/>
      <c r="K5" s="596"/>
      <c r="L5" s="596"/>
      <c r="M5" s="596"/>
      <c r="N5" s="596"/>
      <c r="O5" s="596"/>
      <c r="P5" s="598"/>
      <c r="Q5" s="598"/>
      <c r="R5" s="598"/>
      <c r="S5" s="596"/>
      <c r="T5" s="596"/>
      <c r="U5" s="596"/>
      <c r="V5" s="596"/>
      <c r="W5" s="596"/>
      <c r="X5" s="368">
        <v>14</v>
      </c>
    </row>
    <row r="6" spans="1:25" s="351" customFormat="1" ht="23.25" customHeight="1" thickTop="1" x14ac:dyDescent="0.2">
      <c r="A6" s="1056" t="s">
        <v>91</v>
      </c>
      <c r="B6" s="1060" t="s">
        <v>2118</v>
      </c>
      <c r="C6" s="1061"/>
      <c r="D6" s="1058" t="s">
        <v>2119</v>
      </c>
      <c r="E6" s="1058" t="s">
        <v>2120</v>
      </c>
      <c r="F6" s="1053" t="s">
        <v>2159</v>
      </c>
      <c r="G6" s="1054"/>
      <c r="H6" s="1054"/>
      <c r="I6" s="1054"/>
      <c r="J6" s="1054"/>
      <c r="K6" s="1054"/>
      <c r="L6" s="1054"/>
      <c r="M6" s="1054"/>
      <c r="N6" s="1055"/>
      <c r="O6" s="1069" t="s">
        <v>2107</v>
      </c>
      <c r="P6" s="1053" t="s">
        <v>104</v>
      </c>
      <c r="Q6" s="1054"/>
      <c r="R6" s="1054"/>
      <c r="S6" s="1055"/>
      <c r="T6" s="1048" t="s">
        <v>99</v>
      </c>
      <c r="U6" s="1048" t="s">
        <v>2108</v>
      </c>
      <c r="V6" s="1050" t="s">
        <v>103</v>
      </c>
      <c r="W6" s="1067" t="s">
        <v>2121</v>
      </c>
      <c r="X6" s="351">
        <v>14</v>
      </c>
    </row>
    <row r="7" spans="1:25" s="351" customFormat="1" ht="190.5" customHeight="1" x14ac:dyDescent="0.2">
      <c r="A7" s="1057"/>
      <c r="B7" s="1062"/>
      <c r="C7" s="1063"/>
      <c r="D7" s="1059"/>
      <c r="E7" s="1059"/>
      <c r="F7" s="727" t="s">
        <v>2160</v>
      </c>
      <c r="G7" s="714" t="s">
        <v>2128</v>
      </c>
      <c r="H7" s="727" t="s">
        <v>2161</v>
      </c>
      <c r="I7" s="724" t="s">
        <v>2162</v>
      </c>
      <c r="J7" s="727" t="s">
        <v>2097</v>
      </c>
      <c r="K7" s="725" t="s">
        <v>2154</v>
      </c>
      <c r="L7" s="714" t="s">
        <v>2163</v>
      </c>
      <c r="M7" s="728" t="s">
        <v>2164</v>
      </c>
      <c r="N7" s="714" t="s">
        <v>2165</v>
      </c>
      <c r="O7" s="1070"/>
      <c r="P7" s="718" t="s">
        <v>108</v>
      </c>
      <c r="Q7" s="718" t="s">
        <v>97</v>
      </c>
      <c r="R7" s="718" t="s">
        <v>96</v>
      </c>
      <c r="S7" s="719" t="s">
        <v>98</v>
      </c>
      <c r="T7" s="1049"/>
      <c r="U7" s="1049"/>
      <c r="V7" s="1051"/>
      <c r="W7" s="1068"/>
      <c r="X7" s="351" t="s">
        <v>94</v>
      </c>
    </row>
    <row r="8" spans="1:25" s="256" customFormat="1" ht="16.5" customHeight="1" x14ac:dyDescent="0.25">
      <c r="A8" s="741">
        <v>1</v>
      </c>
      <c r="B8" s="752"/>
      <c r="C8" s="743">
        <v>2026</v>
      </c>
      <c r="D8" s="690" t="s">
        <v>2544</v>
      </c>
      <c r="E8" s="690" t="s">
        <v>2400</v>
      </c>
      <c r="F8" s="705"/>
      <c r="G8" s="705"/>
      <c r="H8" s="705"/>
      <c r="I8" s="705"/>
      <c r="J8" s="705"/>
      <c r="K8" s="705"/>
      <c r="L8" s="705"/>
      <c r="M8" s="705"/>
      <c r="N8" s="705"/>
      <c r="O8" s="776">
        <f>SUM(F8:N8)/9</f>
        <v>0</v>
      </c>
      <c r="P8" s="266"/>
      <c r="Q8" s="266"/>
      <c r="R8" s="266"/>
      <c r="S8" s="286">
        <f>SUM(P8:R8)/3</f>
        <v>0</v>
      </c>
      <c r="T8" s="286">
        <f>SUM(O8+S8)/2</f>
        <v>0</v>
      </c>
      <c r="U8" s="257"/>
      <c r="V8" s="271"/>
      <c r="W8" s="694" t="s">
        <v>2527</v>
      </c>
      <c r="X8" s="374"/>
      <c r="Y8" s="357" t="e">
        <f t="shared" ref="Y8:Y39" si="0">AVERAGE(F8:N8)</f>
        <v>#DIV/0!</v>
      </c>
    </row>
    <row r="9" spans="1:25" s="256" customFormat="1" ht="16.5" customHeight="1" x14ac:dyDescent="0.25">
      <c r="A9" s="744">
        <v>2</v>
      </c>
      <c r="B9" s="745"/>
      <c r="C9" s="746">
        <v>2026</v>
      </c>
      <c r="D9" s="685" t="s">
        <v>2545</v>
      </c>
      <c r="E9" s="685" t="s">
        <v>2546</v>
      </c>
      <c r="F9" s="707"/>
      <c r="G9" s="707"/>
      <c r="H9" s="707"/>
      <c r="I9" s="707"/>
      <c r="J9" s="707"/>
      <c r="K9" s="707"/>
      <c r="L9" s="707"/>
      <c r="M9" s="707"/>
      <c r="N9" s="707"/>
      <c r="O9" s="782">
        <f t="shared" ref="O9:O92" si="1">SUM(F9:N9)/9</f>
        <v>0</v>
      </c>
      <c r="P9" s="242"/>
      <c r="Q9" s="242"/>
      <c r="R9" s="242"/>
      <c r="S9" s="277">
        <f t="shared" ref="S9:S26" si="2">SUM(P9:R9)/3</f>
        <v>0</v>
      </c>
      <c r="T9" s="277">
        <f t="shared" ref="T9:T26" si="3">SUM(O9+S9)/2</f>
        <v>0</v>
      </c>
      <c r="U9" s="379"/>
      <c r="V9" s="273"/>
      <c r="W9" s="695" t="s">
        <v>2695</v>
      </c>
      <c r="X9" s="374"/>
      <c r="Y9" s="357" t="e">
        <f t="shared" si="0"/>
        <v>#DIV/0!</v>
      </c>
    </row>
    <row r="10" spans="1:25" s="256" customFormat="1" ht="16.5" customHeight="1" x14ac:dyDescent="0.25">
      <c r="A10" s="744">
        <v>3</v>
      </c>
      <c r="B10" s="745"/>
      <c r="C10" s="746">
        <v>2026</v>
      </c>
      <c r="D10" s="685" t="s">
        <v>2547</v>
      </c>
      <c r="E10" s="685" t="s">
        <v>553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82">
        <f t="shared" si="1"/>
        <v>0</v>
      </c>
      <c r="P10" s="242"/>
      <c r="Q10" s="242"/>
      <c r="R10" s="242"/>
      <c r="S10" s="277">
        <f t="shared" si="2"/>
        <v>0</v>
      </c>
      <c r="T10" s="277">
        <f t="shared" si="3"/>
        <v>0</v>
      </c>
      <c r="U10" s="379"/>
      <c r="V10" s="273"/>
      <c r="W10" s="695" t="s">
        <v>2696</v>
      </c>
      <c r="X10" s="374"/>
      <c r="Y10" s="357" t="e">
        <f t="shared" si="0"/>
        <v>#DIV/0!</v>
      </c>
    </row>
    <row r="11" spans="1:25" s="256" customFormat="1" ht="16.5" customHeight="1" x14ac:dyDescent="0.25">
      <c r="A11" s="744">
        <v>4</v>
      </c>
      <c r="B11" s="745"/>
      <c r="C11" s="746">
        <v>2026</v>
      </c>
      <c r="D11" s="685" t="s">
        <v>2548</v>
      </c>
      <c r="E11" s="685" t="s">
        <v>2549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82">
        <f t="shared" si="1"/>
        <v>0</v>
      </c>
      <c r="P11" s="242"/>
      <c r="Q11" s="242"/>
      <c r="R11" s="242"/>
      <c r="S11" s="277">
        <f t="shared" si="2"/>
        <v>0</v>
      </c>
      <c r="T11" s="277">
        <f t="shared" si="3"/>
        <v>0</v>
      </c>
      <c r="U11" s="379"/>
      <c r="V11" s="273"/>
      <c r="W11" s="695" t="s">
        <v>2516</v>
      </c>
      <c r="X11" s="374"/>
      <c r="Y11" s="357" t="e">
        <f t="shared" si="0"/>
        <v>#DIV/0!</v>
      </c>
    </row>
    <row r="12" spans="1:25" s="256" customFormat="1" ht="16.5" customHeight="1" x14ac:dyDescent="0.25">
      <c r="A12" s="744">
        <v>5</v>
      </c>
      <c r="B12" s="745"/>
      <c r="C12" s="746">
        <v>2026</v>
      </c>
      <c r="D12" s="685" t="s">
        <v>2550</v>
      </c>
      <c r="E12" s="685" t="s">
        <v>2551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82">
        <f t="shared" si="1"/>
        <v>0</v>
      </c>
      <c r="P12" s="242"/>
      <c r="Q12" s="242"/>
      <c r="R12" s="242"/>
      <c r="S12" s="277">
        <f t="shared" si="2"/>
        <v>0</v>
      </c>
      <c r="T12" s="277">
        <f t="shared" si="3"/>
        <v>0</v>
      </c>
      <c r="U12" s="379"/>
      <c r="V12" s="273"/>
      <c r="W12" s="695" t="s">
        <v>2492</v>
      </c>
      <c r="X12" s="374"/>
      <c r="Y12" s="357" t="e">
        <f t="shared" si="0"/>
        <v>#DIV/0!</v>
      </c>
    </row>
    <row r="13" spans="1:25" s="256" customFormat="1" ht="16.5" customHeight="1" x14ac:dyDescent="0.25">
      <c r="A13" s="744">
        <v>6</v>
      </c>
      <c r="B13" s="745"/>
      <c r="C13" s="746">
        <v>2026</v>
      </c>
      <c r="D13" s="685" t="s">
        <v>2552</v>
      </c>
      <c r="E13" s="685" t="s">
        <v>2553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82">
        <f t="shared" si="1"/>
        <v>0</v>
      </c>
      <c r="P13" s="242"/>
      <c r="Q13" s="242"/>
      <c r="R13" s="242"/>
      <c r="S13" s="277">
        <f t="shared" si="2"/>
        <v>0</v>
      </c>
      <c r="T13" s="277">
        <f t="shared" si="3"/>
        <v>0</v>
      </c>
      <c r="U13" s="379"/>
      <c r="V13" s="273"/>
      <c r="W13" s="695" t="s">
        <v>2697</v>
      </c>
      <c r="X13" s="374"/>
      <c r="Y13" s="357" t="e">
        <f t="shared" si="0"/>
        <v>#DIV/0!</v>
      </c>
    </row>
    <row r="14" spans="1:25" s="256" customFormat="1" ht="16.5" customHeight="1" x14ac:dyDescent="0.25">
      <c r="A14" s="744">
        <v>7</v>
      </c>
      <c r="B14" s="745"/>
      <c r="C14" s="746">
        <v>2026</v>
      </c>
      <c r="D14" s="685" t="s">
        <v>2554</v>
      </c>
      <c r="E14" s="685" t="s">
        <v>2555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82">
        <f t="shared" si="1"/>
        <v>0</v>
      </c>
      <c r="P14" s="242"/>
      <c r="Q14" s="242"/>
      <c r="R14" s="242"/>
      <c r="S14" s="277">
        <f t="shared" si="2"/>
        <v>0</v>
      </c>
      <c r="T14" s="277">
        <f t="shared" si="3"/>
        <v>0</v>
      </c>
      <c r="U14" s="379"/>
      <c r="V14" s="273"/>
      <c r="W14" s="695" t="s">
        <v>2698</v>
      </c>
      <c r="X14" s="374"/>
      <c r="Y14" s="357" t="e">
        <f t="shared" si="0"/>
        <v>#DIV/0!</v>
      </c>
    </row>
    <row r="15" spans="1:25" s="256" customFormat="1" ht="16.5" customHeight="1" x14ac:dyDescent="0.25">
      <c r="A15" s="744">
        <v>8</v>
      </c>
      <c r="B15" s="745"/>
      <c r="C15" s="746">
        <v>2026</v>
      </c>
      <c r="D15" s="685" t="s">
        <v>2556</v>
      </c>
      <c r="E15" s="685" t="s">
        <v>2557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82">
        <f t="shared" si="1"/>
        <v>0</v>
      </c>
      <c r="P15" s="242"/>
      <c r="Q15" s="242"/>
      <c r="R15" s="242"/>
      <c r="S15" s="277">
        <f t="shared" si="2"/>
        <v>0</v>
      </c>
      <c r="T15" s="277">
        <f t="shared" si="3"/>
        <v>0</v>
      </c>
      <c r="U15" s="379"/>
      <c r="V15" s="273"/>
      <c r="W15" s="695" t="s">
        <v>2699</v>
      </c>
      <c r="X15" s="374"/>
      <c r="Y15" s="357" t="e">
        <f t="shared" si="0"/>
        <v>#DIV/0!</v>
      </c>
    </row>
    <row r="16" spans="1:25" s="256" customFormat="1" ht="16.5" customHeight="1" x14ac:dyDescent="0.25">
      <c r="A16" s="744">
        <v>9</v>
      </c>
      <c r="B16" s="745"/>
      <c r="C16" s="746">
        <v>2026</v>
      </c>
      <c r="D16" s="685" t="s">
        <v>2558</v>
      </c>
      <c r="E16" s="685" t="s">
        <v>2559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82">
        <f t="shared" si="1"/>
        <v>0</v>
      </c>
      <c r="P16" s="242"/>
      <c r="Q16" s="242"/>
      <c r="R16" s="242"/>
      <c r="S16" s="277">
        <f t="shared" si="2"/>
        <v>0</v>
      </c>
      <c r="T16" s="277">
        <f t="shared" si="3"/>
        <v>0</v>
      </c>
      <c r="U16" s="379"/>
      <c r="V16" s="273"/>
      <c r="W16" s="695" t="s">
        <v>2700</v>
      </c>
      <c r="X16" s="374"/>
      <c r="Y16" s="357" t="e">
        <f t="shared" si="0"/>
        <v>#DIV/0!</v>
      </c>
    </row>
    <row r="17" spans="1:25" s="256" customFormat="1" ht="16.5" customHeight="1" x14ac:dyDescent="0.25">
      <c r="A17" s="744">
        <v>10</v>
      </c>
      <c r="B17" s="745"/>
      <c r="C17" s="746">
        <v>2026</v>
      </c>
      <c r="D17" s="685" t="s">
        <v>2560</v>
      </c>
      <c r="E17" s="685" t="s">
        <v>2561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82">
        <f t="shared" si="1"/>
        <v>0</v>
      </c>
      <c r="P17" s="242"/>
      <c r="Q17" s="242"/>
      <c r="R17" s="242"/>
      <c r="S17" s="277">
        <f t="shared" si="2"/>
        <v>0</v>
      </c>
      <c r="T17" s="277">
        <f t="shared" si="3"/>
        <v>0</v>
      </c>
      <c r="U17" s="379"/>
      <c r="V17" s="273"/>
      <c r="W17" s="695" t="s">
        <v>2701</v>
      </c>
      <c r="X17" s="374"/>
      <c r="Y17" s="357" t="e">
        <f t="shared" si="0"/>
        <v>#DIV/0!</v>
      </c>
    </row>
    <row r="18" spans="1:25" s="256" customFormat="1" ht="16.5" customHeight="1" x14ac:dyDescent="0.25">
      <c r="A18" s="744">
        <v>11</v>
      </c>
      <c r="B18" s="745"/>
      <c r="C18" s="746">
        <v>2026</v>
      </c>
      <c r="D18" s="685" t="s">
        <v>2562</v>
      </c>
      <c r="E18" s="685" t="s">
        <v>2563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82">
        <f t="shared" si="1"/>
        <v>0</v>
      </c>
      <c r="P18" s="242"/>
      <c r="Q18" s="242"/>
      <c r="R18" s="242"/>
      <c r="S18" s="277"/>
      <c r="T18" s="277"/>
      <c r="U18" s="379"/>
      <c r="V18" s="273"/>
      <c r="W18" s="695" t="s">
        <v>2698</v>
      </c>
      <c r="X18" s="374"/>
      <c r="Y18" s="357" t="e">
        <f t="shared" si="0"/>
        <v>#DIV/0!</v>
      </c>
    </row>
    <row r="19" spans="1:25" s="256" customFormat="1" ht="16.5" customHeight="1" x14ac:dyDescent="0.25">
      <c r="A19" s="744">
        <v>12</v>
      </c>
      <c r="B19" s="745"/>
      <c r="C19" s="746">
        <v>2026</v>
      </c>
      <c r="D19" s="685" t="s">
        <v>2564</v>
      </c>
      <c r="E19" s="685" t="s">
        <v>2565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82">
        <f t="shared" si="1"/>
        <v>0</v>
      </c>
      <c r="P19" s="242"/>
      <c r="Q19" s="242"/>
      <c r="R19" s="242"/>
      <c r="S19" s="277">
        <f t="shared" si="2"/>
        <v>0</v>
      </c>
      <c r="T19" s="277">
        <f t="shared" si="3"/>
        <v>0</v>
      </c>
      <c r="U19" s="379"/>
      <c r="V19" s="273"/>
      <c r="W19" s="695" t="s">
        <v>2514</v>
      </c>
      <c r="X19" s="374"/>
      <c r="Y19" s="357" t="e">
        <f t="shared" si="0"/>
        <v>#DIV/0!</v>
      </c>
    </row>
    <row r="20" spans="1:25" s="256" customFormat="1" ht="16.5" customHeight="1" x14ac:dyDescent="0.25">
      <c r="A20" s="744">
        <v>13</v>
      </c>
      <c r="B20" s="745"/>
      <c r="C20" s="746">
        <v>2026</v>
      </c>
      <c r="D20" s="685" t="s">
        <v>2566</v>
      </c>
      <c r="E20" s="685" t="s">
        <v>2435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82">
        <f t="shared" si="1"/>
        <v>0</v>
      </c>
      <c r="P20" s="242"/>
      <c r="Q20" s="242"/>
      <c r="R20" s="242"/>
      <c r="S20" s="277">
        <f t="shared" si="2"/>
        <v>0</v>
      </c>
      <c r="T20" s="277">
        <f t="shared" si="3"/>
        <v>0</v>
      </c>
      <c r="U20" s="379"/>
      <c r="V20" s="273"/>
      <c r="W20" s="695" t="s">
        <v>2702</v>
      </c>
      <c r="X20" s="374"/>
      <c r="Y20" s="357" t="e">
        <f t="shared" si="0"/>
        <v>#DIV/0!</v>
      </c>
    </row>
    <row r="21" spans="1:25" s="256" customFormat="1" ht="16.5" customHeight="1" x14ac:dyDescent="0.25">
      <c r="A21" s="744">
        <v>14</v>
      </c>
      <c r="B21" s="745"/>
      <c r="C21" s="746">
        <v>2026</v>
      </c>
      <c r="D21" s="685" t="s">
        <v>2567</v>
      </c>
      <c r="E21" s="685" t="s">
        <v>2568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82">
        <f t="shared" si="1"/>
        <v>0</v>
      </c>
      <c r="P21" s="242"/>
      <c r="Q21" s="242"/>
      <c r="R21" s="242"/>
      <c r="S21" s="277">
        <f t="shared" si="2"/>
        <v>0</v>
      </c>
      <c r="T21" s="277">
        <f t="shared" si="3"/>
        <v>0</v>
      </c>
      <c r="U21" s="379"/>
      <c r="V21" s="273"/>
      <c r="W21" s="695" t="s">
        <v>2699</v>
      </c>
      <c r="X21" s="374"/>
      <c r="Y21" s="357" t="e">
        <f t="shared" si="0"/>
        <v>#DIV/0!</v>
      </c>
    </row>
    <row r="22" spans="1:25" s="256" customFormat="1" ht="16.5" customHeight="1" x14ac:dyDescent="0.25">
      <c r="A22" s="744">
        <v>15</v>
      </c>
      <c r="B22" s="745"/>
      <c r="C22" s="746">
        <v>2026</v>
      </c>
      <c r="D22" s="685" t="s">
        <v>2569</v>
      </c>
      <c r="E22" s="685" t="s">
        <v>2570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82">
        <f t="shared" si="1"/>
        <v>0</v>
      </c>
      <c r="P22" s="242"/>
      <c r="Q22" s="242"/>
      <c r="R22" s="242"/>
      <c r="S22" s="277">
        <f t="shared" si="2"/>
        <v>0</v>
      </c>
      <c r="T22" s="277">
        <f t="shared" si="3"/>
        <v>0</v>
      </c>
      <c r="U22" s="379"/>
      <c r="V22" s="273"/>
      <c r="W22" s="695" t="s">
        <v>2482</v>
      </c>
      <c r="X22" s="374"/>
      <c r="Y22" s="357" t="e">
        <f t="shared" si="0"/>
        <v>#DIV/0!</v>
      </c>
    </row>
    <row r="23" spans="1:25" s="256" customFormat="1" ht="16.5" customHeight="1" x14ac:dyDescent="0.25">
      <c r="A23" s="744">
        <v>16</v>
      </c>
      <c r="B23" s="745"/>
      <c r="C23" s="746">
        <v>2026</v>
      </c>
      <c r="D23" s="685" t="s">
        <v>2571</v>
      </c>
      <c r="E23" s="685" t="s">
        <v>2572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82">
        <f t="shared" si="1"/>
        <v>0</v>
      </c>
      <c r="P23" s="242"/>
      <c r="Q23" s="242"/>
      <c r="R23" s="242"/>
      <c r="S23" s="277">
        <f t="shared" si="2"/>
        <v>0</v>
      </c>
      <c r="T23" s="277">
        <f t="shared" si="3"/>
        <v>0</v>
      </c>
      <c r="U23" s="379"/>
      <c r="V23" s="273"/>
      <c r="W23" s="695" t="s">
        <v>2703</v>
      </c>
      <c r="X23" s="374"/>
      <c r="Y23" s="357" t="e">
        <f t="shared" si="0"/>
        <v>#DIV/0!</v>
      </c>
    </row>
    <row r="24" spans="1:25" s="256" customFormat="1" ht="16.5" customHeight="1" x14ac:dyDescent="0.25">
      <c r="A24" s="744">
        <v>17</v>
      </c>
      <c r="B24" s="745"/>
      <c r="C24" s="746">
        <v>2026</v>
      </c>
      <c r="D24" s="685" t="s">
        <v>2573</v>
      </c>
      <c r="E24" s="685" t="s">
        <v>2574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82">
        <f t="shared" si="1"/>
        <v>0</v>
      </c>
      <c r="P24" s="242"/>
      <c r="Q24" s="242"/>
      <c r="R24" s="242"/>
      <c r="S24" s="277">
        <f t="shared" si="2"/>
        <v>0</v>
      </c>
      <c r="T24" s="277">
        <f t="shared" si="3"/>
        <v>0</v>
      </c>
      <c r="U24" s="379"/>
      <c r="V24" s="273"/>
      <c r="W24" s="695" t="s">
        <v>2704</v>
      </c>
      <c r="X24" s="374"/>
      <c r="Y24" s="357" t="e">
        <f t="shared" si="0"/>
        <v>#DIV/0!</v>
      </c>
    </row>
    <row r="25" spans="1:25" s="256" customFormat="1" ht="16.5" customHeight="1" x14ac:dyDescent="0.25">
      <c r="A25" s="744">
        <v>18</v>
      </c>
      <c r="B25" s="745"/>
      <c r="C25" s="746">
        <v>2026</v>
      </c>
      <c r="D25" s="685" t="s">
        <v>2575</v>
      </c>
      <c r="E25" s="685" t="s">
        <v>2576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82">
        <f t="shared" si="1"/>
        <v>0</v>
      </c>
      <c r="P25" s="242"/>
      <c r="Q25" s="242"/>
      <c r="R25" s="242"/>
      <c r="S25" s="277">
        <f t="shared" si="2"/>
        <v>0</v>
      </c>
      <c r="T25" s="277">
        <f t="shared" si="3"/>
        <v>0</v>
      </c>
      <c r="U25" s="379"/>
      <c r="V25" s="273"/>
      <c r="W25" s="695" t="s">
        <v>2517</v>
      </c>
      <c r="X25" s="374"/>
      <c r="Y25" s="357" t="e">
        <f t="shared" si="0"/>
        <v>#DIV/0!</v>
      </c>
    </row>
    <row r="26" spans="1:25" s="256" customFormat="1" ht="16.5" customHeight="1" x14ac:dyDescent="0.25">
      <c r="A26" s="744">
        <v>19</v>
      </c>
      <c r="B26" s="745"/>
      <c r="C26" s="746">
        <v>2026</v>
      </c>
      <c r="D26" s="685" t="s">
        <v>2577</v>
      </c>
      <c r="E26" s="685" t="s">
        <v>2578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82">
        <f t="shared" si="1"/>
        <v>0</v>
      </c>
      <c r="P26" s="242"/>
      <c r="Q26" s="242"/>
      <c r="R26" s="242"/>
      <c r="S26" s="277">
        <f t="shared" si="2"/>
        <v>0</v>
      </c>
      <c r="T26" s="277">
        <f t="shared" si="3"/>
        <v>0</v>
      </c>
      <c r="U26" s="379"/>
      <c r="V26" s="273"/>
      <c r="W26" s="695" t="s">
        <v>2705</v>
      </c>
      <c r="X26" s="374"/>
      <c r="Y26" s="357" t="e">
        <f t="shared" si="0"/>
        <v>#DIV/0!</v>
      </c>
    </row>
    <row r="27" spans="1:25" s="256" customFormat="1" ht="16.5" customHeight="1" x14ac:dyDescent="0.25">
      <c r="A27" s="744">
        <v>20</v>
      </c>
      <c r="B27" s="745"/>
      <c r="C27" s="746">
        <v>2026</v>
      </c>
      <c r="D27" s="685" t="s">
        <v>2579</v>
      </c>
      <c r="E27" s="685" t="s">
        <v>2580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82">
        <f t="shared" si="1"/>
        <v>0</v>
      </c>
      <c r="P27" s="242"/>
      <c r="Q27" s="242"/>
      <c r="R27" s="242"/>
      <c r="S27" s="277">
        <f>SUM(P27:R27)/3</f>
        <v>0</v>
      </c>
      <c r="T27" s="277">
        <f>SUM(O27+S27)/2</f>
        <v>0</v>
      </c>
      <c r="U27" s="379"/>
      <c r="V27" s="273"/>
      <c r="W27" s="695" t="s">
        <v>2706</v>
      </c>
      <c r="X27" s="374"/>
      <c r="Y27" s="357" t="e">
        <f t="shared" si="0"/>
        <v>#DIV/0!</v>
      </c>
    </row>
    <row r="28" spans="1:25" s="256" customFormat="1" ht="16.5" customHeight="1" x14ac:dyDescent="0.25">
      <c r="A28" s="744">
        <v>21</v>
      </c>
      <c r="B28" s="745"/>
      <c r="C28" s="746">
        <v>2026</v>
      </c>
      <c r="D28" s="685" t="s">
        <v>2581</v>
      </c>
      <c r="E28" s="685" t="s">
        <v>2582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82">
        <f t="shared" si="1"/>
        <v>0</v>
      </c>
      <c r="P28" s="242"/>
      <c r="Q28" s="242"/>
      <c r="R28" s="242"/>
      <c r="S28" s="277">
        <f t="shared" ref="S28:S33" si="4">SUM(P28:R28)/3</f>
        <v>0</v>
      </c>
      <c r="T28" s="277">
        <f t="shared" ref="T28:T33" si="5">SUM(O28+S28)/2</f>
        <v>0</v>
      </c>
      <c r="U28" s="379"/>
      <c r="V28" s="273"/>
      <c r="W28" s="695" t="s">
        <v>2707</v>
      </c>
      <c r="X28" s="374"/>
      <c r="Y28" s="357" t="e">
        <f t="shared" si="0"/>
        <v>#DIV/0!</v>
      </c>
    </row>
    <row r="29" spans="1:25" s="256" customFormat="1" ht="16.5" customHeight="1" x14ac:dyDescent="0.25">
      <c r="A29" s="744">
        <v>22</v>
      </c>
      <c r="B29" s="745"/>
      <c r="C29" s="746">
        <v>2026</v>
      </c>
      <c r="D29" s="685" t="s">
        <v>2583</v>
      </c>
      <c r="E29" s="685" t="s">
        <v>2584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82">
        <f t="shared" si="1"/>
        <v>0</v>
      </c>
      <c r="P29" s="242"/>
      <c r="Q29" s="242"/>
      <c r="R29" s="242"/>
      <c r="S29" s="277">
        <f t="shared" si="4"/>
        <v>0</v>
      </c>
      <c r="T29" s="277">
        <f t="shared" si="5"/>
        <v>0</v>
      </c>
      <c r="U29" s="379"/>
      <c r="V29" s="273"/>
      <c r="W29" s="695" t="s">
        <v>2537</v>
      </c>
      <c r="X29" s="374"/>
      <c r="Y29" s="357" t="e">
        <f t="shared" si="0"/>
        <v>#DIV/0!</v>
      </c>
    </row>
    <row r="30" spans="1:25" s="256" customFormat="1" ht="16.5" customHeight="1" x14ac:dyDescent="0.25">
      <c r="A30" s="744">
        <v>23</v>
      </c>
      <c r="B30" s="745"/>
      <c r="C30" s="746">
        <v>2026</v>
      </c>
      <c r="D30" s="685" t="s">
        <v>2585</v>
      </c>
      <c r="E30" s="685" t="s">
        <v>2456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82">
        <f t="shared" si="1"/>
        <v>0</v>
      </c>
      <c r="P30" s="242"/>
      <c r="Q30" s="242"/>
      <c r="R30" s="242"/>
      <c r="S30" s="277">
        <f t="shared" si="4"/>
        <v>0</v>
      </c>
      <c r="T30" s="277">
        <f t="shared" si="5"/>
        <v>0</v>
      </c>
      <c r="U30" s="379"/>
      <c r="V30" s="273"/>
      <c r="W30" s="695" t="s">
        <v>2708</v>
      </c>
      <c r="X30" s="374"/>
      <c r="Y30" s="357" t="e">
        <f t="shared" si="0"/>
        <v>#DIV/0!</v>
      </c>
    </row>
    <row r="31" spans="1:25" s="256" customFormat="1" ht="16.5" customHeight="1" x14ac:dyDescent="0.25">
      <c r="A31" s="744">
        <v>24</v>
      </c>
      <c r="B31" s="745"/>
      <c r="C31" s="746">
        <v>2026</v>
      </c>
      <c r="D31" s="685" t="s">
        <v>2586</v>
      </c>
      <c r="E31" s="685" t="s">
        <v>2587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82">
        <f t="shared" si="1"/>
        <v>0</v>
      </c>
      <c r="P31" s="242"/>
      <c r="Q31" s="242"/>
      <c r="R31" s="242"/>
      <c r="S31" s="277">
        <f t="shared" si="4"/>
        <v>0</v>
      </c>
      <c r="T31" s="277">
        <f t="shared" si="5"/>
        <v>0</v>
      </c>
      <c r="U31" s="379"/>
      <c r="V31" s="273"/>
      <c r="W31" s="695" t="s">
        <v>2709</v>
      </c>
      <c r="X31" s="374"/>
      <c r="Y31" s="357" t="e">
        <f t="shared" si="0"/>
        <v>#DIV/0!</v>
      </c>
    </row>
    <row r="32" spans="1:25" s="256" customFormat="1" ht="16.5" customHeight="1" x14ac:dyDescent="0.25">
      <c r="A32" s="744">
        <v>25</v>
      </c>
      <c r="B32" s="745"/>
      <c r="C32" s="746">
        <v>2026</v>
      </c>
      <c r="D32" s="685" t="s">
        <v>2588</v>
      </c>
      <c r="E32" s="685" t="s">
        <v>251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82">
        <f t="shared" si="1"/>
        <v>0</v>
      </c>
      <c r="P32" s="242"/>
      <c r="Q32" s="242"/>
      <c r="R32" s="242"/>
      <c r="S32" s="277">
        <f t="shared" si="4"/>
        <v>0</v>
      </c>
      <c r="T32" s="277">
        <f t="shared" si="5"/>
        <v>0</v>
      </c>
      <c r="U32" s="379"/>
      <c r="V32" s="273"/>
      <c r="W32" s="695" t="s">
        <v>2710</v>
      </c>
      <c r="X32" s="374"/>
      <c r="Y32" s="357" t="e">
        <f t="shared" si="0"/>
        <v>#DIV/0!</v>
      </c>
    </row>
    <row r="33" spans="1:25" s="256" customFormat="1" ht="16.5" customHeight="1" x14ac:dyDescent="0.25">
      <c r="A33" s="744">
        <v>26</v>
      </c>
      <c r="B33" s="745"/>
      <c r="C33" s="746">
        <v>2026</v>
      </c>
      <c r="D33" s="685" t="s">
        <v>2589</v>
      </c>
      <c r="E33" s="685" t="s">
        <v>2590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82">
        <f t="shared" si="1"/>
        <v>0</v>
      </c>
      <c r="P33" s="242"/>
      <c r="Q33" s="242"/>
      <c r="R33" s="242"/>
      <c r="S33" s="277">
        <f t="shared" si="4"/>
        <v>0</v>
      </c>
      <c r="T33" s="277">
        <f t="shared" si="5"/>
        <v>0</v>
      </c>
      <c r="U33" s="379"/>
      <c r="V33" s="273"/>
      <c r="W33" s="695" t="s">
        <v>2711</v>
      </c>
      <c r="X33" s="374"/>
      <c r="Y33" s="357" t="e">
        <f t="shared" si="0"/>
        <v>#DIV/0!</v>
      </c>
    </row>
    <row r="34" spans="1:25" s="256" customFormat="1" ht="16.5" customHeight="1" x14ac:dyDescent="0.25">
      <c r="A34" s="744">
        <v>27</v>
      </c>
      <c r="B34" s="745"/>
      <c r="C34" s="746">
        <v>2026</v>
      </c>
      <c r="D34" s="685" t="s">
        <v>2591</v>
      </c>
      <c r="E34" s="685" t="s">
        <v>2592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82">
        <f t="shared" si="1"/>
        <v>0</v>
      </c>
      <c r="P34" s="242"/>
      <c r="Q34" s="242"/>
      <c r="R34" s="242"/>
      <c r="S34" s="277">
        <f>SUM(P34:R34)/3</f>
        <v>0</v>
      </c>
      <c r="T34" s="277">
        <f>SUM(O34+S34)/2</f>
        <v>0</v>
      </c>
      <c r="U34" s="379"/>
      <c r="V34" s="273"/>
      <c r="W34" s="695" t="s">
        <v>2698</v>
      </c>
      <c r="X34" s="374"/>
      <c r="Y34" s="357" t="e">
        <f t="shared" si="0"/>
        <v>#DIV/0!</v>
      </c>
    </row>
    <row r="35" spans="1:25" s="256" customFormat="1" ht="16.5" customHeight="1" x14ac:dyDescent="0.25">
      <c r="A35" s="744">
        <v>28</v>
      </c>
      <c r="B35" s="745"/>
      <c r="C35" s="746">
        <v>2026</v>
      </c>
      <c r="D35" s="685" t="s">
        <v>2593</v>
      </c>
      <c r="E35" s="685" t="s">
        <v>2594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82">
        <f t="shared" si="1"/>
        <v>0</v>
      </c>
      <c r="P35" s="242"/>
      <c r="Q35" s="242"/>
      <c r="R35" s="242"/>
      <c r="S35" s="277">
        <f>SUM(P35:R35)/3</f>
        <v>0</v>
      </c>
      <c r="T35" s="277">
        <f>SUM(O35+S35)/2</f>
        <v>0</v>
      </c>
      <c r="U35" s="379"/>
      <c r="V35" s="273"/>
      <c r="W35" s="695" t="s">
        <v>2242</v>
      </c>
      <c r="X35" s="374"/>
      <c r="Y35" s="357" t="e">
        <f t="shared" si="0"/>
        <v>#DIV/0!</v>
      </c>
    </row>
    <row r="36" spans="1:25" s="256" customFormat="1" ht="16.5" customHeight="1" x14ac:dyDescent="0.25">
      <c r="A36" s="744">
        <v>29</v>
      </c>
      <c r="B36" s="745"/>
      <c r="C36" s="746">
        <v>2026</v>
      </c>
      <c r="D36" s="685" t="s">
        <v>2595</v>
      </c>
      <c r="E36" s="685" t="s">
        <v>2596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82">
        <f t="shared" si="1"/>
        <v>0</v>
      </c>
      <c r="P36" s="242"/>
      <c r="Q36" s="242"/>
      <c r="R36" s="242"/>
      <c r="S36" s="277">
        <f>SUM(P36:R36)/3</f>
        <v>0</v>
      </c>
      <c r="T36" s="277">
        <f>SUM(O36+S36)/2</f>
        <v>0</v>
      </c>
      <c r="U36" s="379"/>
      <c r="V36" s="273"/>
      <c r="W36" s="695" t="s">
        <v>2712</v>
      </c>
      <c r="X36" s="374"/>
      <c r="Y36" s="357" t="e">
        <f t="shared" si="0"/>
        <v>#DIV/0!</v>
      </c>
    </row>
    <row r="37" spans="1:25" s="256" customFormat="1" ht="16.5" customHeight="1" x14ac:dyDescent="0.25">
      <c r="A37" s="744">
        <v>30</v>
      </c>
      <c r="B37" s="745"/>
      <c r="C37" s="746">
        <v>2026</v>
      </c>
      <c r="D37" s="685" t="s">
        <v>2597</v>
      </c>
      <c r="E37" s="685" t="s">
        <v>2598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82">
        <f t="shared" si="1"/>
        <v>0</v>
      </c>
      <c r="P37" s="242"/>
      <c r="Q37" s="242"/>
      <c r="R37" s="242"/>
      <c r="S37" s="277">
        <f t="shared" ref="S37:S67" si="6">SUM(P37:R37)/3</f>
        <v>0</v>
      </c>
      <c r="T37" s="277">
        <f t="shared" ref="T37:T67" si="7">SUM(O37+S37)/2</f>
        <v>0</v>
      </c>
      <c r="U37" s="379"/>
      <c r="V37" s="273"/>
      <c r="W37" s="695" t="s">
        <v>2713</v>
      </c>
      <c r="X37" s="374"/>
      <c r="Y37" s="357" t="e">
        <f t="shared" si="0"/>
        <v>#DIV/0!</v>
      </c>
    </row>
    <row r="38" spans="1:25" s="256" customFormat="1" ht="16.5" customHeight="1" x14ac:dyDescent="0.25">
      <c r="A38" s="744">
        <v>31</v>
      </c>
      <c r="B38" s="745"/>
      <c r="C38" s="746">
        <v>2026</v>
      </c>
      <c r="D38" s="685" t="s">
        <v>2599</v>
      </c>
      <c r="E38" s="685" t="s">
        <v>2600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82">
        <f t="shared" si="1"/>
        <v>0</v>
      </c>
      <c r="P38" s="242"/>
      <c r="Q38" s="242"/>
      <c r="R38" s="242"/>
      <c r="S38" s="277">
        <f t="shared" si="6"/>
        <v>0</v>
      </c>
      <c r="T38" s="277">
        <f t="shared" si="7"/>
        <v>0</v>
      </c>
      <c r="U38" s="379"/>
      <c r="V38" s="273"/>
      <c r="W38" s="695" t="s">
        <v>2714</v>
      </c>
      <c r="X38" s="374"/>
      <c r="Y38" s="357" t="e">
        <f t="shared" si="0"/>
        <v>#DIV/0!</v>
      </c>
    </row>
    <row r="39" spans="1:25" s="256" customFormat="1" ht="16.5" customHeight="1" x14ac:dyDescent="0.25">
      <c r="A39" s="744">
        <v>32</v>
      </c>
      <c r="B39" s="745"/>
      <c r="C39" s="746">
        <v>2026</v>
      </c>
      <c r="D39" s="685" t="s">
        <v>2601</v>
      </c>
      <c r="E39" s="685" t="s">
        <v>2602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82">
        <f t="shared" si="1"/>
        <v>0</v>
      </c>
      <c r="P39" s="242"/>
      <c r="Q39" s="242"/>
      <c r="R39" s="242"/>
      <c r="S39" s="277">
        <f t="shared" si="6"/>
        <v>0</v>
      </c>
      <c r="T39" s="277">
        <f t="shared" si="7"/>
        <v>0</v>
      </c>
      <c r="U39" s="379"/>
      <c r="V39" s="273"/>
      <c r="W39" s="695" t="s">
        <v>2506</v>
      </c>
      <c r="X39" s="374"/>
      <c r="Y39" s="357" t="e">
        <f t="shared" si="0"/>
        <v>#DIV/0!</v>
      </c>
    </row>
    <row r="40" spans="1:25" s="256" customFormat="1" ht="16.5" customHeight="1" x14ac:dyDescent="0.25">
      <c r="A40" s="744">
        <v>33</v>
      </c>
      <c r="B40" s="745"/>
      <c r="C40" s="746">
        <v>2026</v>
      </c>
      <c r="D40" s="685" t="s">
        <v>2603</v>
      </c>
      <c r="E40" s="685" t="s">
        <v>2604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82">
        <f t="shared" si="1"/>
        <v>0</v>
      </c>
      <c r="P40" s="242"/>
      <c r="Q40" s="242"/>
      <c r="R40" s="242"/>
      <c r="S40" s="277">
        <f t="shared" si="6"/>
        <v>0</v>
      </c>
      <c r="T40" s="277">
        <f t="shared" si="7"/>
        <v>0</v>
      </c>
      <c r="U40" s="379"/>
      <c r="V40" s="273"/>
      <c r="W40" s="695" t="s">
        <v>2715</v>
      </c>
      <c r="X40" s="374"/>
      <c r="Y40" s="357" t="e">
        <f t="shared" ref="Y40:Y92" si="8">AVERAGE(F40:N40)</f>
        <v>#DIV/0!</v>
      </c>
    </row>
    <row r="41" spans="1:25" s="256" customFormat="1" ht="16.5" customHeight="1" x14ac:dyDescent="0.25">
      <c r="A41" s="744">
        <v>34</v>
      </c>
      <c r="B41" s="745"/>
      <c r="C41" s="746">
        <v>2026</v>
      </c>
      <c r="D41" s="685" t="s">
        <v>2395</v>
      </c>
      <c r="E41" s="685" t="s">
        <v>1258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82">
        <f t="shared" si="1"/>
        <v>0</v>
      </c>
      <c r="P41" s="242"/>
      <c r="Q41" s="242"/>
      <c r="R41" s="242"/>
      <c r="S41" s="277">
        <f t="shared" si="6"/>
        <v>0</v>
      </c>
      <c r="T41" s="277">
        <f t="shared" si="7"/>
        <v>0</v>
      </c>
      <c r="U41" s="379"/>
      <c r="V41" s="273"/>
      <c r="W41" s="695" t="s">
        <v>2502</v>
      </c>
      <c r="X41" s="374"/>
      <c r="Y41" s="357" t="e">
        <f t="shared" si="8"/>
        <v>#DIV/0!</v>
      </c>
    </row>
    <row r="42" spans="1:25" s="256" customFormat="1" ht="16.5" customHeight="1" x14ac:dyDescent="0.25">
      <c r="A42" s="744">
        <v>35</v>
      </c>
      <c r="B42" s="745"/>
      <c r="C42" s="746">
        <v>2026</v>
      </c>
      <c r="D42" s="685" t="s">
        <v>2605</v>
      </c>
      <c r="E42" s="685" t="s">
        <v>2606</v>
      </c>
      <c r="F42" s="707"/>
      <c r="G42" s="707"/>
      <c r="H42" s="707"/>
      <c r="I42" s="707"/>
      <c r="J42" s="707"/>
      <c r="K42" s="707"/>
      <c r="L42" s="707"/>
      <c r="M42" s="707"/>
      <c r="N42" s="708"/>
      <c r="O42" s="782">
        <f t="shared" si="1"/>
        <v>0</v>
      </c>
      <c r="P42" s="242"/>
      <c r="Q42" s="242"/>
      <c r="R42" s="242"/>
      <c r="S42" s="277">
        <f t="shared" si="6"/>
        <v>0</v>
      </c>
      <c r="T42" s="277">
        <f t="shared" si="7"/>
        <v>0</v>
      </c>
      <c r="U42" s="379"/>
      <c r="V42" s="273"/>
      <c r="W42" s="695" t="s">
        <v>2716</v>
      </c>
      <c r="X42" s="374"/>
      <c r="Y42" s="357" t="e">
        <f t="shared" si="8"/>
        <v>#DIV/0!</v>
      </c>
    </row>
    <row r="43" spans="1:25" s="256" customFormat="1" ht="16.5" customHeight="1" x14ac:dyDescent="0.25">
      <c r="A43" s="744">
        <v>36</v>
      </c>
      <c r="B43" s="745"/>
      <c r="C43" s="746">
        <v>2026</v>
      </c>
      <c r="D43" s="685" t="s">
        <v>2607</v>
      </c>
      <c r="E43" s="685" t="s">
        <v>2608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82">
        <f t="shared" si="1"/>
        <v>0</v>
      </c>
      <c r="P43" s="242"/>
      <c r="Q43" s="242"/>
      <c r="R43" s="242"/>
      <c r="S43" s="277">
        <f t="shared" si="6"/>
        <v>0</v>
      </c>
      <c r="T43" s="277">
        <f t="shared" si="7"/>
        <v>0</v>
      </c>
      <c r="U43" s="379"/>
      <c r="V43" s="273"/>
      <c r="W43" s="695" t="s">
        <v>2717</v>
      </c>
      <c r="X43" s="374"/>
      <c r="Y43" s="357" t="e">
        <f t="shared" si="8"/>
        <v>#DIV/0!</v>
      </c>
    </row>
    <row r="44" spans="1:25" s="256" customFormat="1" ht="16.5" customHeight="1" x14ac:dyDescent="0.25">
      <c r="A44" s="744">
        <v>37</v>
      </c>
      <c r="B44" s="745"/>
      <c r="C44" s="746">
        <v>2026</v>
      </c>
      <c r="D44" s="685" t="s">
        <v>2609</v>
      </c>
      <c r="E44" s="685" t="s">
        <v>2610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82">
        <f t="shared" si="1"/>
        <v>0</v>
      </c>
      <c r="P44" s="242"/>
      <c r="Q44" s="242"/>
      <c r="R44" s="242"/>
      <c r="S44" s="277">
        <f t="shared" si="6"/>
        <v>0</v>
      </c>
      <c r="T44" s="277">
        <f t="shared" si="7"/>
        <v>0</v>
      </c>
      <c r="U44" s="379"/>
      <c r="V44" s="273"/>
      <c r="W44" s="695" t="s">
        <v>2515</v>
      </c>
      <c r="X44" s="374"/>
      <c r="Y44" s="357" t="e">
        <f t="shared" si="8"/>
        <v>#DIV/0!</v>
      </c>
    </row>
    <row r="45" spans="1:25" s="256" customFormat="1" ht="16.5" customHeight="1" x14ac:dyDescent="0.25">
      <c r="A45" s="744">
        <v>38</v>
      </c>
      <c r="B45" s="745"/>
      <c r="C45" s="746">
        <v>2026</v>
      </c>
      <c r="D45" s="685" t="s">
        <v>2611</v>
      </c>
      <c r="E45" s="685" t="s">
        <v>2612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82">
        <f t="shared" si="1"/>
        <v>0</v>
      </c>
      <c r="P45" s="242"/>
      <c r="Q45" s="242"/>
      <c r="R45" s="242"/>
      <c r="S45" s="277">
        <f t="shared" si="6"/>
        <v>0</v>
      </c>
      <c r="T45" s="277">
        <f t="shared" si="7"/>
        <v>0</v>
      </c>
      <c r="U45" s="379"/>
      <c r="V45" s="273"/>
      <c r="W45" s="695" t="s">
        <v>2718</v>
      </c>
      <c r="X45" s="374"/>
      <c r="Y45" s="357" t="e">
        <f t="shared" si="8"/>
        <v>#DIV/0!</v>
      </c>
    </row>
    <row r="46" spans="1:25" s="256" customFormat="1" ht="16.5" customHeight="1" x14ac:dyDescent="0.25">
      <c r="A46" s="744">
        <v>39</v>
      </c>
      <c r="B46" s="745"/>
      <c r="C46" s="746">
        <v>2026</v>
      </c>
      <c r="D46" s="685" t="s">
        <v>2613</v>
      </c>
      <c r="E46" s="685" t="s">
        <v>2614</v>
      </c>
      <c r="F46" s="707"/>
      <c r="G46" s="707"/>
      <c r="H46" s="707"/>
      <c r="I46" s="707"/>
      <c r="J46" s="707"/>
      <c r="K46" s="707"/>
      <c r="L46" s="707"/>
      <c r="M46" s="707"/>
      <c r="N46" s="707"/>
      <c r="O46" s="782">
        <f t="shared" si="1"/>
        <v>0</v>
      </c>
      <c r="P46" s="242"/>
      <c r="Q46" s="242"/>
      <c r="R46" s="242"/>
      <c r="S46" s="277">
        <f t="shared" si="6"/>
        <v>0</v>
      </c>
      <c r="T46" s="277">
        <f t="shared" si="7"/>
        <v>0</v>
      </c>
      <c r="U46" s="379"/>
      <c r="V46" s="273"/>
      <c r="W46" s="695" t="s">
        <v>2525</v>
      </c>
      <c r="X46" s="374"/>
      <c r="Y46" s="357" t="e">
        <f t="shared" si="8"/>
        <v>#DIV/0!</v>
      </c>
    </row>
    <row r="47" spans="1:25" s="256" customFormat="1" ht="16.5" customHeight="1" x14ac:dyDescent="0.25">
      <c r="A47" s="744">
        <v>40</v>
      </c>
      <c r="B47" s="745"/>
      <c r="C47" s="746">
        <v>2026</v>
      </c>
      <c r="D47" s="685" t="s">
        <v>2615</v>
      </c>
      <c r="E47" s="685" t="s">
        <v>2553</v>
      </c>
      <c r="F47" s="707"/>
      <c r="G47" s="707"/>
      <c r="H47" s="707"/>
      <c r="I47" s="707"/>
      <c r="J47" s="707"/>
      <c r="K47" s="707"/>
      <c r="L47" s="707"/>
      <c r="M47" s="707"/>
      <c r="N47" s="707"/>
      <c r="O47" s="782">
        <f t="shared" si="1"/>
        <v>0</v>
      </c>
      <c r="P47" s="242"/>
      <c r="Q47" s="242"/>
      <c r="R47" s="242"/>
      <c r="S47" s="277">
        <f t="shared" si="6"/>
        <v>0</v>
      </c>
      <c r="T47" s="277">
        <f t="shared" si="7"/>
        <v>0</v>
      </c>
      <c r="U47" s="379"/>
      <c r="V47" s="273"/>
      <c r="W47" s="695" t="s">
        <v>2719</v>
      </c>
      <c r="X47" s="374"/>
      <c r="Y47" s="357" t="e">
        <f t="shared" si="8"/>
        <v>#DIV/0!</v>
      </c>
    </row>
    <row r="48" spans="1:25" s="256" customFormat="1" ht="16.5" customHeight="1" x14ac:dyDescent="0.25">
      <c r="A48" s="744">
        <v>41</v>
      </c>
      <c r="B48" s="745"/>
      <c r="C48" s="746">
        <v>2026</v>
      </c>
      <c r="D48" s="685" t="s">
        <v>2616</v>
      </c>
      <c r="E48" s="685" t="s">
        <v>1006</v>
      </c>
      <c r="F48" s="707"/>
      <c r="G48" s="707"/>
      <c r="H48" s="707"/>
      <c r="I48" s="707"/>
      <c r="J48" s="707"/>
      <c r="K48" s="707"/>
      <c r="L48" s="707"/>
      <c r="M48" s="707"/>
      <c r="N48" s="707"/>
      <c r="O48" s="782">
        <f t="shared" si="1"/>
        <v>0</v>
      </c>
      <c r="P48" s="242"/>
      <c r="Q48" s="242"/>
      <c r="R48" s="242"/>
      <c r="S48" s="277">
        <f t="shared" si="6"/>
        <v>0</v>
      </c>
      <c r="T48" s="277">
        <f t="shared" si="7"/>
        <v>0</v>
      </c>
      <c r="U48" s="379"/>
      <c r="V48" s="273"/>
      <c r="W48" s="695" t="s">
        <v>2720</v>
      </c>
      <c r="X48" s="374"/>
      <c r="Y48" s="357" t="e">
        <f t="shared" si="8"/>
        <v>#DIV/0!</v>
      </c>
    </row>
    <row r="49" spans="1:25" s="256" customFormat="1" ht="16.5" customHeight="1" x14ac:dyDescent="0.25">
      <c r="A49" s="744">
        <v>42</v>
      </c>
      <c r="B49" s="745"/>
      <c r="C49" s="746">
        <v>2026</v>
      </c>
      <c r="D49" s="685" t="s">
        <v>2617</v>
      </c>
      <c r="E49" s="685" t="s">
        <v>2618</v>
      </c>
      <c r="F49" s="707"/>
      <c r="G49" s="707"/>
      <c r="H49" s="707"/>
      <c r="I49" s="707"/>
      <c r="J49" s="707"/>
      <c r="K49" s="707"/>
      <c r="L49" s="707"/>
      <c r="M49" s="707"/>
      <c r="N49" s="707"/>
      <c r="O49" s="782">
        <f t="shared" si="1"/>
        <v>0</v>
      </c>
      <c r="P49" s="242"/>
      <c r="Q49" s="242"/>
      <c r="R49" s="242"/>
      <c r="S49" s="277">
        <f t="shared" si="6"/>
        <v>0</v>
      </c>
      <c r="T49" s="277">
        <f t="shared" si="7"/>
        <v>0</v>
      </c>
      <c r="U49" s="379"/>
      <c r="V49" s="273"/>
      <c r="W49" s="695" t="s">
        <v>2721</v>
      </c>
      <c r="X49" s="374"/>
      <c r="Y49" s="357" t="e">
        <f t="shared" si="8"/>
        <v>#DIV/0!</v>
      </c>
    </row>
    <row r="50" spans="1:25" s="256" customFormat="1" ht="16.5" customHeight="1" x14ac:dyDescent="0.25">
      <c r="A50" s="744">
        <v>43</v>
      </c>
      <c r="B50" s="745"/>
      <c r="C50" s="746">
        <v>2026</v>
      </c>
      <c r="D50" s="685" t="s">
        <v>2619</v>
      </c>
      <c r="E50" s="685" t="s">
        <v>2600</v>
      </c>
      <c r="F50" s="707"/>
      <c r="G50" s="707"/>
      <c r="H50" s="707"/>
      <c r="I50" s="707"/>
      <c r="J50" s="707"/>
      <c r="K50" s="707"/>
      <c r="L50" s="707"/>
      <c r="M50" s="707"/>
      <c r="N50" s="707"/>
      <c r="O50" s="782">
        <f t="shared" si="1"/>
        <v>0</v>
      </c>
      <c r="P50" s="242"/>
      <c r="Q50" s="242"/>
      <c r="R50" s="242"/>
      <c r="S50" s="277">
        <f t="shared" si="6"/>
        <v>0</v>
      </c>
      <c r="T50" s="277">
        <f t="shared" si="7"/>
        <v>0</v>
      </c>
      <c r="U50" s="379"/>
      <c r="V50" s="273"/>
      <c r="W50" s="695" t="s">
        <v>2722</v>
      </c>
      <c r="X50" s="374"/>
      <c r="Y50" s="357" t="e">
        <f t="shared" si="8"/>
        <v>#DIV/0!</v>
      </c>
    </row>
    <row r="51" spans="1:25" s="256" customFormat="1" ht="16.5" customHeight="1" x14ac:dyDescent="0.25">
      <c r="A51" s="744">
        <v>44</v>
      </c>
      <c r="B51" s="745"/>
      <c r="C51" s="746">
        <v>2026</v>
      </c>
      <c r="D51" s="685" t="s">
        <v>2620</v>
      </c>
      <c r="E51" s="685" t="s">
        <v>2621</v>
      </c>
      <c r="F51" s="707"/>
      <c r="G51" s="707"/>
      <c r="H51" s="707"/>
      <c r="I51" s="707"/>
      <c r="J51" s="707"/>
      <c r="K51" s="707"/>
      <c r="L51" s="707"/>
      <c r="M51" s="707"/>
      <c r="N51" s="707"/>
      <c r="O51" s="782">
        <f t="shared" si="1"/>
        <v>0</v>
      </c>
      <c r="P51" s="242"/>
      <c r="Q51" s="242"/>
      <c r="R51" s="242"/>
      <c r="S51" s="277"/>
      <c r="T51" s="277"/>
      <c r="U51" s="379"/>
      <c r="V51" s="273"/>
      <c r="W51" s="695" t="s">
        <v>2520</v>
      </c>
      <c r="X51" s="374"/>
      <c r="Y51" s="357" t="e">
        <f t="shared" si="8"/>
        <v>#DIV/0!</v>
      </c>
    </row>
    <row r="52" spans="1:25" s="256" customFormat="1" ht="16.5" customHeight="1" x14ac:dyDescent="0.25">
      <c r="A52" s="744">
        <v>45</v>
      </c>
      <c r="B52" s="745"/>
      <c r="C52" s="746">
        <v>2026</v>
      </c>
      <c r="D52" s="685" t="s">
        <v>2622</v>
      </c>
      <c r="E52" s="685" t="s">
        <v>2623</v>
      </c>
      <c r="F52" s="707"/>
      <c r="G52" s="707"/>
      <c r="H52" s="707"/>
      <c r="I52" s="707"/>
      <c r="J52" s="707"/>
      <c r="K52" s="707"/>
      <c r="L52" s="707"/>
      <c r="M52" s="707"/>
      <c r="N52" s="707"/>
      <c r="O52" s="782">
        <f t="shared" si="1"/>
        <v>0</v>
      </c>
      <c r="P52" s="242"/>
      <c r="Q52" s="242"/>
      <c r="R52" s="242"/>
      <c r="S52" s="277"/>
      <c r="T52" s="277"/>
      <c r="U52" s="379"/>
      <c r="V52" s="273"/>
      <c r="W52" s="695" t="s">
        <v>2723</v>
      </c>
      <c r="X52" s="374"/>
      <c r="Y52" s="357" t="e">
        <f t="shared" si="8"/>
        <v>#DIV/0!</v>
      </c>
    </row>
    <row r="53" spans="1:25" s="256" customFormat="1" ht="16.5" customHeight="1" x14ac:dyDescent="0.25">
      <c r="A53" s="744">
        <v>46</v>
      </c>
      <c r="B53" s="745"/>
      <c r="C53" s="746">
        <v>2026</v>
      </c>
      <c r="D53" s="685" t="s">
        <v>2624</v>
      </c>
      <c r="E53" s="685" t="s">
        <v>2625</v>
      </c>
      <c r="F53" s="707"/>
      <c r="G53" s="707"/>
      <c r="H53" s="707"/>
      <c r="I53" s="707"/>
      <c r="J53" s="707"/>
      <c r="K53" s="707"/>
      <c r="L53" s="707"/>
      <c r="M53" s="707"/>
      <c r="N53" s="707"/>
      <c r="O53" s="782">
        <f t="shared" si="1"/>
        <v>0</v>
      </c>
      <c r="P53" s="242"/>
      <c r="Q53" s="242"/>
      <c r="R53" s="242"/>
      <c r="S53" s="277"/>
      <c r="T53" s="277"/>
      <c r="U53" s="379"/>
      <c r="V53" s="273"/>
      <c r="W53" s="695" t="s">
        <v>2724</v>
      </c>
      <c r="X53" s="374"/>
      <c r="Y53" s="357" t="e">
        <f t="shared" si="8"/>
        <v>#DIV/0!</v>
      </c>
    </row>
    <row r="54" spans="1:25" s="256" customFormat="1" ht="16.5" customHeight="1" x14ac:dyDescent="0.25">
      <c r="A54" s="744">
        <v>47</v>
      </c>
      <c r="B54" s="745"/>
      <c r="C54" s="746">
        <v>2026</v>
      </c>
      <c r="D54" s="685" t="s">
        <v>2626</v>
      </c>
      <c r="E54" s="685" t="s">
        <v>2627</v>
      </c>
      <c r="F54" s="707"/>
      <c r="G54" s="707"/>
      <c r="H54" s="707"/>
      <c r="I54" s="707"/>
      <c r="J54" s="707"/>
      <c r="K54" s="707"/>
      <c r="L54" s="707"/>
      <c r="M54" s="707"/>
      <c r="N54" s="707"/>
      <c r="O54" s="782">
        <f t="shared" si="1"/>
        <v>0</v>
      </c>
      <c r="P54" s="242"/>
      <c r="Q54" s="242"/>
      <c r="R54" s="242"/>
      <c r="S54" s="277"/>
      <c r="T54" s="277"/>
      <c r="U54" s="379"/>
      <c r="V54" s="273"/>
      <c r="W54" s="695" t="s">
        <v>2707</v>
      </c>
      <c r="X54" s="374"/>
      <c r="Y54" s="357" t="e">
        <f t="shared" si="8"/>
        <v>#DIV/0!</v>
      </c>
    </row>
    <row r="55" spans="1:25" s="256" customFormat="1" ht="16.5" customHeight="1" x14ac:dyDescent="0.25">
      <c r="A55" s="744">
        <v>48</v>
      </c>
      <c r="B55" s="745"/>
      <c r="C55" s="746">
        <v>2026</v>
      </c>
      <c r="D55" s="685" t="s">
        <v>2628</v>
      </c>
      <c r="E55" s="685" t="s">
        <v>2629</v>
      </c>
      <c r="F55" s="707"/>
      <c r="G55" s="707"/>
      <c r="H55" s="707"/>
      <c r="I55" s="707"/>
      <c r="J55" s="707"/>
      <c r="K55" s="707"/>
      <c r="L55" s="707"/>
      <c r="M55" s="707"/>
      <c r="N55" s="707"/>
      <c r="O55" s="782">
        <f t="shared" si="1"/>
        <v>0</v>
      </c>
      <c r="P55" s="242"/>
      <c r="Q55" s="242"/>
      <c r="R55" s="242"/>
      <c r="S55" s="277"/>
      <c r="T55" s="277"/>
      <c r="U55" s="379"/>
      <c r="V55" s="273"/>
      <c r="W55" s="695" t="s">
        <v>2725</v>
      </c>
      <c r="X55" s="374"/>
      <c r="Y55" s="357" t="e">
        <f t="shared" si="8"/>
        <v>#DIV/0!</v>
      </c>
    </row>
    <row r="56" spans="1:25" s="256" customFormat="1" ht="16.5" customHeight="1" x14ac:dyDescent="0.25">
      <c r="A56" s="744">
        <v>49</v>
      </c>
      <c r="B56" s="745"/>
      <c r="C56" s="746">
        <v>2026</v>
      </c>
      <c r="D56" s="685" t="s">
        <v>2630</v>
      </c>
      <c r="E56" s="685" t="s">
        <v>2631</v>
      </c>
      <c r="F56" s="707"/>
      <c r="G56" s="707"/>
      <c r="H56" s="707"/>
      <c r="I56" s="707"/>
      <c r="J56" s="707"/>
      <c r="K56" s="707"/>
      <c r="L56" s="707"/>
      <c r="M56" s="707"/>
      <c r="N56" s="707"/>
      <c r="O56" s="782">
        <f t="shared" si="1"/>
        <v>0</v>
      </c>
      <c r="P56" s="242"/>
      <c r="Q56" s="242"/>
      <c r="R56" s="242"/>
      <c r="S56" s="277"/>
      <c r="T56" s="277"/>
      <c r="U56" s="379"/>
      <c r="V56" s="273"/>
      <c r="W56" s="695" t="s">
        <v>2724</v>
      </c>
      <c r="X56" s="374"/>
      <c r="Y56" s="357" t="e">
        <f t="shared" si="8"/>
        <v>#DIV/0!</v>
      </c>
    </row>
    <row r="57" spans="1:25" s="256" customFormat="1" ht="16.5" customHeight="1" x14ac:dyDescent="0.25">
      <c r="A57" s="744">
        <v>50</v>
      </c>
      <c r="B57" s="745"/>
      <c r="C57" s="746">
        <v>2026</v>
      </c>
      <c r="D57" s="685" t="s">
        <v>2632</v>
      </c>
      <c r="E57" s="685" t="s">
        <v>2633</v>
      </c>
      <c r="F57" s="707"/>
      <c r="G57" s="707"/>
      <c r="H57" s="707"/>
      <c r="I57" s="707"/>
      <c r="J57" s="707"/>
      <c r="K57" s="707"/>
      <c r="L57" s="707"/>
      <c r="M57" s="707"/>
      <c r="N57" s="707"/>
      <c r="O57" s="782">
        <f t="shared" si="1"/>
        <v>0</v>
      </c>
      <c r="P57" s="242"/>
      <c r="Q57" s="242"/>
      <c r="R57" s="242"/>
      <c r="S57" s="277"/>
      <c r="T57" s="277"/>
      <c r="U57" s="379"/>
      <c r="V57" s="273"/>
      <c r="W57" s="695" t="s">
        <v>2703</v>
      </c>
      <c r="X57" s="374"/>
      <c r="Y57" s="357" t="e">
        <f t="shared" si="8"/>
        <v>#DIV/0!</v>
      </c>
    </row>
    <row r="58" spans="1:25" s="256" customFormat="1" ht="16.5" customHeight="1" x14ac:dyDescent="0.25">
      <c r="A58" s="744">
        <v>51</v>
      </c>
      <c r="B58" s="745"/>
      <c r="C58" s="746">
        <v>2026</v>
      </c>
      <c r="D58" s="685" t="s">
        <v>2634</v>
      </c>
      <c r="E58" s="685" t="s">
        <v>2635</v>
      </c>
      <c r="F58" s="707"/>
      <c r="G58" s="707"/>
      <c r="H58" s="707"/>
      <c r="I58" s="707"/>
      <c r="J58" s="707"/>
      <c r="K58" s="707"/>
      <c r="L58" s="707"/>
      <c r="M58" s="707"/>
      <c r="N58" s="707"/>
      <c r="O58" s="782">
        <f t="shared" si="1"/>
        <v>0</v>
      </c>
      <c r="P58" s="242"/>
      <c r="Q58" s="242"/>
      <c r="R58" s="242"/>
      <c r="S58" s="277"/>
      <c r="T58" s="277"/>
      <c r="U58" s="379"/>
      <c r="V58" s="273"/>
      <c r="W58" s="695" t="s">
        <v>2506</v>
      </c>
      <c r="X58" s="374"/>
      <c r="Y58" s="357" t="e">
        <f t="shared" si="8"/>
        <v>#DIV/0!</v>
      </c>
    </row>
    <row r="59" spans="1:25" s="256" customFormat="1" ht="16.5" customHeight="1" x14ac:dyDescent="0.25">
      <c r="A59" s="744">
        <v>52</v>
      </c>
      <c r="B59" s="745"/>
      <c r="C59" s="746">
        <v>2026</v>
      </c>
      <c r="D59" s="685" t="s">
        <v>2636</v>
      </c>
      <c r="E59" s="685" t="s">
        <v>1087</v>
      </c>
      <c r="F59" s="707"/>
      <c r="G59" s="707"/>
      <c r="H59" s="707"/>
      <c r="I59" s="707"/>
      <c r="J59" s="707"/>
      <c r="K59" s="707"/>
      <c r="L59" s="707"/>
      <c r="M59" s="707"/>
      <c r="N59" s="707"/>
      <c r="O59" s="782">
        <f t="shared" si="1"/>
        <v>0</v>
      </c>
      <c r="P59" s="242"/>
      <c r="Q59" s="242"/>
      <c r="R59" s="242"/>
      <c r="S59" s="277"/>
      <c r="T59" s="277"/>
      <c r="U59" s="379"/>
      <c r="V59" s="273"/>
      <c r="W59" s="695" t="s">
        <v>2541</v>
      </c>
      <c r="X59" s="374"/>
      <c r="Y59" s="357" t="e">
        <f t="shared" si="8"/>
        <v>#DIV/0!</v>
      </c>
    </row>
    <row r="60" spans="1:25" s="256" customFormat="1" ht="16.5" customHeight="1" x14ac:dyDescent="0.25">
      <c r="A60" s="744">
        <v>53</v>
      </c>
      <c r="B60" s="745"/>
      <c r="C60" s="746">
        <v>2026</v>
      </c>
      <c r="D60" s="685" t="s">
        <v>2637</v>
      </c>
      <c r="E60" s="685" t="s">
        <v>2638</v>
      </c>
      <c r="F60" s="707"/>
      <c r="G60" s="707"/>
      <c r="H60" s="707"/>
      <c r="I60" s="707"/>
      <c r="J60" s="707"/>
      <c r="K60" s="707"/>
      <c r="L60" s="707"/>
      <c r="M60" s="707"/>
      <c r="N60" s="707"/>
      <c r="O60" s="782">
        <f t="shared" si="1"/>
        <v>0</v>
      </c>
      <c r="P60" s="242"/>
      <c r="Q60" s="242"/>
      <c r="R60" s="242"/>
      <c r="S60" s="277"/>
      <c r="T60" s="277"/>
      <c r="U60" s="379"/>
      <c r="V60" s="273"/>
      <c r="W60" s="695" t="s">
        <v>2715</v>
      </c>
      <c r="X60" s="374"/>
      <c r="Y60" s="357" t="e">
        <f t="shared" si="8"/>
        <v>#DIV/0!</v>
      </c>
    </row>
    <row r="61" spans="1:25" s="256" customFormat="1" ht="16.5" customHeight="1" x14ac:dyDescent="0.25">
      <c r="A61" s="744">
        <v>54</v>
      </c>
      <c r="B61" s="745"/>
      <c r="C61" s="746">
        <v>2026</v>
      </c>
      <c r="D61" s="685" t="s">
        <v>2639</v>
      </c>
      <c r="E61" s="685" t="s">
        <v>2640</v>
      </c>
      <c r="F61" s="707"/>
      <c r="G61" s="707"/>
      <c r="H61" s="707"/>
      <c r="I61" s="707"/>
      <c r="J61" s="707"/>
      <c r="K61" s="707"/>
      <c r="L61" s="707"/>
      <c r="M61" s="707"/>
      <c r="N61" s="707"/>
      <c r="O61" s="782">
        <f t="shared" si="1"/>
        <v>0</v>
      </c>
      <c r="P61" s="242"/>
      <c r="Q61" s="242"/>
      <c r="R61" s="242"/>
      <c r="S61" s="277"/>
      <c r="T61" s="277"/>
      <c r="U61" s="379"/>
      <c r="V61" s="273"/>
      <c r="W61" s="695" t="s">
        <v>2726</v>
      </c>
      <c r="X61" s="374"/>
      <c r="Y61" s="357" t="e">
        <f t="shared" si="8"/>
        <v>#DIV/0!</v>
      </c>
    </row>
    <row r="62" spans="1:25" s="256" customFormat="1" ht="16.5" customHeight="1" x14ac:dyDescent="0.25">
      <c r="A62" s="744">
        <v>55</v>
      </c>
      <c r="B62" s="745"/>
      <c r="C62" s="746">
        <v>2026</v>
      </c>
      <c r="D62" s="685" t="s">
        <v>2641</v>
      </c>
      <c r="E62" s="685" t="s">
        <v>2642</v>
      </c>
      <c r="F62" s="707"/>
      <c r="G62" s="707"/>
      <c r="H62" s="707"/>
      <c r="I62" s="707"/>
      <c r="J62" s="707"/>
      <c r="K62" s="707"/>
      <c r="L62" s="707"/>
      <c r="M62" s="707"/>
      <c r="N62" s="707"/>
      <c r="O62" s="782">
        <f t="shared" si="1"/>
        <v>0</v>
      </c>
      <c r="P62" s="242"/>
      <c r="Q62" s="242"/>
      <c r="R62" s="242"/>
      <c r="S62" s="277"/>
      <c r="T62" s="277"/>
      <c r="U62" s="379"/>
      <c r="V62" s="273"/>
      <c r="W62" s="695" t="s">
        <v>2727</v>
      </c>
      <c r="X62" s="374"/>
      <c r="Y62" s="357" t="e">
        <f t="shared" si="8"/>
        <v>#DIV/0!</v>
      </c>
    </row>
    <row r="63" spans="1:25" s="256" customFormat="1" ht="16.5" customHeight="1" x14ac:dyDescent="0.25">
      <c r="A63" s="744">
        <v>56</v>
      </c>
      <c r="B63" s="745"/>
      <c r="C63" s="746">
        <v>2026</v>
      </c>
      <c r="D63" s="685" t="s">
        <v>2643</v>
      </c>
      <c r="E63" s="685" t="s">
        <v>2644</v>
      </c>
      <c r="F63" s="707"/>
      <c r="G63" s="707"/>
      <c r="H63" s="707"/>
      <c r="I63" s="707"/>
      <c r="J63" s="707"/>
      <c r="K63" s="707"/>
      <c r="L63" s="707"/>
      <c r="M63" s="707"/>
      <c r="N63" s="707"/>
      <c r="O63" s="782">
        <f t="shared" si="1"/>
        <v>0</v>
      </c>
      <c r="P63" s="242"/>
      <c r="Q63" s="242"/>
      <c r="R63" s="242"/>
      <c r="S63" s="277"/>
      <c r="T63" s="277"/>
      <c r="U63" s="379"/>
      <c r="V63" s="273"/>
      <c r="W63" s="695" t="s">
        <v>2714</v>
      </c>
      <c r="X63" s="374"/>
      <c r="Y63" s="357" t="e">
        <f t="shared" si="8"/>
        <v>#DIV/0!</v>
      </c>
    </row>
    <row r="64" spans="1:25" s="256" customFormat="1" ht="16.5" customHeight="1" x14ac:dyDescent="0.25">
      <c r="A64" s="744">
        <v>57</v>
      </c>
      <c r="B64" s="745"/>
      <c r="C64" s="746">
        <v>2026</v>
      </c>
      <c r="D64" s="685" t="s">
        <v>2645</v>
      </c>
      <c r="E64" s="685" t="s">
        <v>2646</v>
      </c>
      <c r="F64" s="707"/>
      <c r="G64" s="707"/>
      <c r="H64" s="707"/>
      <c r="I64" s="707"/>
      <c r="J64" s="707"/>
      <c r="K64" s="707"/>
      <c r="L64" s="707"/>
      <c r="M64" s="707"/>
      <c r="N64" s="707"/>
      <c r="O64" s="782">
        <f t="shared" si="1"/>
        <v>0</v>
      </c>
      <c r="P64" s="242"/>
      <c r="Q64" s="242"/>
      <c r="R64" s="242"/>
      <c r="S64" s="277"/>
      <c r="T64" s="277"/>
      <c r="U64" s="379"/>
      <c r="V64" s="273"/>
      <c r="W64" s="695" t="s">
        <v>2496</v>
      </c>
      <c r="X64" s="374"/>
      <c r="Y64" s="357" t="e">
        <f t="shared" si="8"/>
        <v>#DIV/0!</v>
      </c>
    </row>
    <row r="65" spans="1:25" s="256" customFormat="1" ht="16.5" customHeight="1" x14ac:dyDescent="0.25">
      <c r="A65" s="744">
        <v>58</v>
      </c>
      <c r="B65" s="745"/>
      <c r="C65" s="746">
        <v>2026</v>
      </c>
      <c r="D65" s="685" t="s">
        <v>2647</v>
      </c>
      <c r="E65" s="685" t="s">
        <v>2648</v>
      </c>
      <c r="F65" s="707"/>
      <c r="G65" s="707"/>
      <c r="H65" s="707"/>
      <c r="I65" s="707"/>
      <c r="J65" s="707"/>
      <c r="K65" s="707"/>
      <c r="L65" s="707"/>
      <c r="M65" s="707"/>
      <c r="N65" s="707"/>
      <c r="O65" s="782">
        <f t="shared" si="1"/>
        <v>0</v>
      </c>
      <c r="P65" s="242"/>
      <c r="Q65" s="242"/>
      <c r="R65" s="242"/>
      <c r="S65" s="277">
        <f t="shared" si="6"/>
        <v>0</v>
      </c>
      <c r="T65" s="277">
        <f t="shared" si="7"/>
        <v>0</v>
      </c>
      <c r="U65" s="379"/>
      <c r="V65" s="273"/>
      <c r="W65" s="695" t="s">
        <v>2728</v>
      </c>
      <c r="X65" s="374"/>
      <c r="Y65" s="357" t="e">
        <f t="shared" si="8"/>
        <v>#DIV/0!</v>
      </c>
    </row>
    <row r="66" spans="1:25" s="256" customFormat="1" ht="16.5" customHeight="1" x14ac:dyDescent="0.25">
      <c r="A66" s="744">
        <v>59</v>
      </c>
      <c r="B66" s="745"/>
      <c r="C66" s="746">
        <v>2026</v>
      </c>
      <c r="D66" s="685" t="s">
        <v>2649</v>
      </c>
      <c r="E66" s="685" t="s">
        <v>2650</v>
      </c>
      <c r="F66" s="707"/>
      <c r="G66" s="707"/>
      <c r="H66" s="707"/>
      <c r="I66" s="707"/>
      <c r="J66" s="707"/>
      <c r="K66" s="707"/>
      <c r="L66" s="707"/>
      <c r="M66" s="707"/>
      <c r="N66" s="707"/>
      <c r="O66" s="782">
        <f t="shared" si="1"/>
        <v>0</v>
      </c>
      <c r="P66" s="242"/>
      <c r="Q66" s="242"/>
      <c r="R66" s="242"/>
      <c r="S66" s="277"/>
      <c r="T66" s="277"/>
      <c r="U66" s="379"/>
      <c r="V66" s="273"/>
      <c r="W66" s="695" t="s">
        <v>2511</v>
      </c>
      <c r="X66" s="374"/>
      <c r="Y66" s="357" t="e">
        <f t="shared" si="8"/>
        <v>#DIV/0!</v>
      </c>
    </row>
    <row r="67" spans="1:25" s="256" customFormat="1" ht="16.5" customHeight="1" x14ac:dyDescent="0.25">
      <c r="A67" s="744">
        <v>60</v>
      </c>
      <c r="B67" s="745"/>
      <c r="C67" s="746">
        <v>2026</v>
      </c>
      <c r="D67" s="685" t="s">
        <v>2651</v>
      </c>
      <c r="E67" s="685" t="s">
        <v>2621</v>
      </c>
      <c r="F67" s="707"/>
      <c r="G67" s="707"/>
      <c r="H67" s="707"/>
      <c r="I67" s="707"/>
      <c r="J67" s="707"/>
      <c r="K67" s="707"/>
      <c r="L67" s="707"/>
      <c r="M67" s="707"/>
      <c r="N67" s="707"/>
      <c r="O67" s="782">
        <f t="shared" si="1"/>
        <v>0</v>
      </c>
      <c r="P67" s="242"/>
      <c r="Q67" s="242"/>
      <c r="R67" s="242"/>
      <c r="S67" s="277">
        <f t="shared" si="6"/>
        <v>0</v>
      </c>
      <c r="T67" s="277">
        <f t="shared" si="7"/>
        <v>0</v>
      </c>
      <c r="U67" s="379"/>
      <c r="V67" s="273"/>
      <c r="W67" s="695" t="s">
        <v>2729</v>
      </c>
      <c r="X67" s="374"/>
      <c r="Y67" s="357" t="e">
        <f t="shared" si="8"/>
        <v>#DIV/0!</v>
      </c>
    </row>
    <row r="68" spans="1:25" s="256" customFormat="1" ht="16.5" customHeight="1" x14ac:dyDescent="0.25">
      <c r="A68" s="744">
        <v>61</v>
      </c>
      <c r="B68" s="745"/>
      <c r="C68" s="746">
        <v>2026</v>
      </c>
      <c r="D68" s="685" t="s">
        <v>2652</v>
      </c>
      <c r="E68" s="685" t="s">
        <v>2653</v>
      </c>
      <c r="F68" s="707"/>
      <c r="G68" s="707"/>
      <c r="H68" s="707"/>
      <c r="I68" s="707"/>
      <c r="J68" s="707"/>
      <c r="K68" s="707"/>
      <c r="L68" s="707"/>
      <c r="M68" s="707"/>
      <c r="N68" s="707"/>
      <c r="O68" s="782">
        <f t="shared" ref="O68:O80" si="9">SUM(F68:N68)/9</f>
        <v>0</v>
      </c>
      <c r="P68" s="242"/>
      <c r="Q68" s="242"/>
      <c r="R68" s="242"/>
      <c r="S68" s="277">
        <f t="shared" ref="S68:S80" si="10">SUM(P68:R68)/3</f>
        <v>0</v>
      </c>
      <c r="T68" s="277">
        <f t="shared" ref="T68:T80" si="11">SUM(O68+S68)/2</f>
        <v>0</v>
      </c>
      <c r="U68" s="379"/>
      <c r="V68" s="273"/>
      <c r="W68" s="695" t="s">
        <v>2502</v>
      </c>
      <c r="X68" s="374"/>
      <c r="Y68" s="357" t="e">
        <f t="shared" ref="Y68:Y80" si="12">AVERAGE(F68:N68)</f>
        <v>#DIV/0!</v>
      </c>
    </row>
    <row r="69" spans="1:25" s="256" customFormat="1" ht="16.5" customHeight="1" x14ac:dyDescent="0.25">
      <c r="A69" s="744">
        <v>62</v>
      </c>
      <c r="B69" s="745"/>
      <c r="C69" s="746">
        <v>2026</v>
      </c>
      <c r="D69" s="685" t="s">
        <v>2654</v>
      </c>
      <c r="E69" s="685" t="s">
        <v>2655</v>
      </c>
      <c r="F69" s="707"/>
      <c r="G69" s="707"/>
      <c r="H69" s="707"/>
      <c r="I69" s="707"/>
      <c r="J69" s="707"/>
      <c r="K69" s="707"/>
      <c r="L69" s="707"/>
      <c r="M69" s="707"/>
      <c r="N69" s="707"/>
      <c r="O69" s="782">
        <f t="shared" si="9"/>
        <v>0</v>
      </c>
      <c r="P69" s="242"/>
      <c r="Q69" s="242"/>
      <c r="R69" s="242"/>
      <c r="S69" s="277">
        <f t="shared" si="10"/>
        <v>0</v>
      </c>
      <c r="T69" s="277">
        <f t="shared" si="11"/>
        <v>0</v>
      </c>
      <c r="U69" s="379"/>
      <c r="V69" s="273"/>
      <c r="W69" s="695" t="s">
        <v>2730</v>
      </c>
      <c r="X69" s="374"/>
      <c r="Y69" s="357" t="e">
        <f t="shared" si="12"/>
        <v>#DIV/0!</v>
      </c>
    </row>
    <row r="70" spans="1:25" s="256" customFormat="1" ht="16.5" customHeight="1" x14ac:dyDescent="0.25">
      <c r="A70" s="744">
        <v>63</v>
      </c>
      <c r="B70" s="745"/>
      <c r="C70" s="746">
        <v>2026</v>
      </c>
      <c r="D70" s="685" t="s">
        <v>2656</v>
      </c>
      <c r="E70" s="685" t="s">
        <v>2357</v>
      </c>
      <c r="F70" s="707"/>
      <c r="G70" s="707"/>
      <c r="H70" s="707"/>
      <c r="I70" s="707"/>
      <c r="J70" s="707"/>
      <c r="K70" s="707"/>
      <c r="L70" s="707"/>
      <c r="M70" s="707"/>
      <c r="N70" s="707"/>
      <c r="O70" s="782">
        <f t="shared" si="9"/>
        <v>0</v>
      </c>
      <c r="P70" s="242"/>
      <c r="Q70" s="242"/>
      <c r="R70" s="242"/>
      <c r="S70" s="277">
        <f t="shared" si="10"/>
        <v>0</v>
      </c>
      <c r="T70" s="277">
        <f t="shared" si="11"/>
        <v>0</v>
      </c>
      <c r="U70" s="379"/>
      <c r="V70" s="273"/>
      <c r="W70" s="695" t="s">
        <v>2485</v>
      </c>
      <c r="X70" s="374"/>
      <c r="Y70" s="357" t="e">
        <f t="shared" si="12"/>
        <v>#DIV/0!</v>
      </c>
    </row>
    <row r="71" spans="1:25" s="256" customFormat="1" ht="16.5" customHeight="1" x14ac:dyDescent="0.25">
      <c r="A71" s="744">
        <v>64</v>
      </c>
      <c r="B71" s="745"/>
      <c r="C71" s="746">
        <v>2026</v>
      </c>
      <c r="D71" s="685" t="s">
        <v>2657</v>
      </c>
      <c r="E71" s="685" t="s">
        <v>2658</v>
      </c>
      <c r="F71" s="707"/>
      <c r="G71" s="707"/>
      <c r="H71" s="707"/>
      <c r="I71" s="707"/>
      <c r="J71" s="707"/>
      <c r="K71" s="707"/>
      <c r="L71" s="707"/>
      <c r="M71" s="707"/>
      <c r="N71" s="707"/>
      <c r="O71" s="782">
        <f t="shared" si="9"/>
        <v>0</v>
      </c>
      <c r="P71" s="242"/>
      <c r="Q71" s="242"/>
      <c r="R71" s="242"/>
      <c r="S71" s="277">
        <f t="shared" si="10"/>
        <v>0</v>
      </c>
      <c r="T71" s="277">
        <f t="shared" si="11"/>
        <v>0</v>
      </c>
      <c r="U71" s="379"/>
      <c r="V71" s="273"/>
      <c r="W71" s="695" t="s">
        <v>2731</v>
      </c>
      <c r="X71" s="374"/>
      <c r="Y71" s="357" t="e">
        <f t="shared" si="12"/>
        <v>#DIV/0!</v>
      </c>
    </row>
    <row r="72" spans="1:25" s="256" customFormat="1" ht="16.5" customHeight="1" x14ac:dyDescent="0.25">
      <c r="A72" s="744">
        <v>65</v>
      </c>
      <c r="B72" s="745"/>
      <c r="C72" s="746">
        <v>2026</v>
      </c>
      <c r="D72" s="685" t="s">
        <v>2659</v>
      </c>
      <c r="E72" s="685" t="s">
        <v>2660</v>
      </c>
      <c r="F72" s="707"/>
      <c r="G72" s="707"/>
      <c r="H72" s="707"/>
      <c r="I72" s="707"/>
      <c r="J72" s="707"/>
      <c r="K72" s="707"/>
      <c r="L72" s="707"/>
      <c r="M72" s="707"/>
      <c r="N72" s="707"/>
      <c r="O72" s="782">
        <f t="shared" si="9"/>
        <v>0</v>
      </c>
      <c r="P72" s="242"/>
      <c r="Q72" s="242"/>
      <c r="R72" s="242"/>
      <c r="S72" s="277">
        <f t="shared" si="10"/>
        <v>0</v>
      </c>
      <c r="T72" s="277">
        <f t="shared" si="11"/>
        <v>0</v>
      </c>
      <c r="U72" s="379"/>
      <c r="V72" s="273"/>
      <c r="W72" s="695" t="s">
        <v>2508</v>
      </c>
      <c r="X72" s="374"/>
      <c r="Y72" s="357" t="e">
        <f t="shared" si="12"/>
        <v>#DIV/0!</v>
      </c>
    </row>
    <row r="73" spans="1:25" s="256" customFormat="1" ht="16.5" customHeight="1" x14ac:dyDescent="0.25">
      <c r="A73" s="744">
        <v>66</v>
      </c>
      <c r="B73" s="745"/>
      <c r="C73" s="746">
        <v>2026</v>
      </c>
      <c r="D73" s="685" t="s">
        <v>2661</v>
      </c>
      <c r="E73" s="685" t="s">
        <v>2662</v>
      </c>
      <c r="F73" s="707"/>
      <c r="G73" s="707"/>
      <c r="H73" s="707"/>
      <c r="I73" s="707"/>
      <c r="J73" s="707"/>
      <c r="K73" s="707"/>
      <c r="L73" s="707"/>
      <c r="M73" s="707"/>
      <c r="N73" s="707"/>
      <c r="O73" s="782">
        <f t="shared" si="9"/>
        <v>0</v>
      </c>
      <c r="P73" s="242"/>
      <c r="Q73" s="242"/>
      <c r="R73" s="242"/>
      <c r="S73" s="277">
        <f t="shared" si="10"/>
        <v>0</v>
      </c>
      <c r="T73" s="277">
        <f t="shared" si="11"/>
        <v>0</v>
      </c>
      <c r="U73" s="379"/>
      <c r="V73" s="273"/>
      <c r="W73" s="695" t="s">
        <v>2732</v>
      </c>
      <c r="X73" s="374"/>
      <c r="Y73" s="357" t="e">
        <f t="shared" si="12"/>
        <v>#DIV/0!</v>
      </c>
    </row>
    <row r="74" spans="1:25" s="256" customFormat="1" ht="16.5" customHeight="1" x14ac:dyDescent="0.25">
      <c r="A74" s="744">
        <v>67</v>
      </c>
      <c r="B74" s="745"/>
      <c r="C74" s="746">
        <v>2026</v>
      </c>
      <c r="D74" s="685" t="s">
        <v>2663</v>
      </c>
      <c r="E74" s="685" t="s">
        <v>2396</v>
      </c>
      <c r="F74" s="707"/>
      <c r="G74" s="707"/>
      <c r="H74" s="707"/>
      <c r="I74" s="707"/>
      <c r="J74" s="707"/>
      <c r="K74" s="707"/>
      <c r="L74" s="707"/>
      <c r="M74" s="707"/>
      <c r="N74" s="707"/>
      <c r="O74" s="782">
        <f t="shared" si="9"/>
        <v>0</v>
      </c>
      <c r="P74" s="242"/>
      <c r="Q74" s="242"/>
      <c r="R74" s="242"/>
      <c r="S74" s="277">
        <f t="shared" si="10"/>
        <v>0</v>
      </c>
      <c r="T74" s="277">
        <f t="shared" si="11"/>
        <v>0</v>
      </c>
      <c r="U74" s="379"/>
      <c r="V74" s="273"/>
      <c r="W74" s="695" t="s">
        <v>2733</v>
      </c>
      <c r="X74" s="374"/>
      <c r="Y74" s="357" t="e">
        <f t="shared" si="12"/>
        <v>#DIV/0!</v>
      </c>
    </row>
    <row r="75" spans="1:25" s="256" customFormat="1" ht="16.5" customHeight="1" x14ac:dyDescent="0.25">
      <c r="A75" s="744">
        <v>68</v>
      </c>
      <c r="B75" s="745"/>
      <c r="C75" s="746">
        <v>2026</v>
      </c>
      <c r="D75" s="685" t="s">
        <v>2664</v>
      </c>
      <c r="E75" s="685" t="s">
        <v>2665</v>
      </c>
      <c r="F75" s="707"/>
      <c r="G75" s="707"/>
      <c r="H75" s="707"/>
      <c r="I75" s="707"/>
      <c r="J75" s="707"/>
      <c r="K75" s="707"/>
      <c r="L75" s="707"/>
      <c r="M75" s="707"/>
      <c r="N75" s="707"/>
      <c r="O75" s="782">
        <f t="shared" si="9"/>
        <v>0</v>
      </c>
      <c r="P75" s="242"/>
      <c r="Q75" s="242"/>
      <c r="R75" s="242"/>
      <c r="S75" s="277">
        <f t="shared" si="10"/>
        <v>0</v>
      </c>
      <c r="T75" s="277">
        <f t="shared" si="11"/>
        <v>0</v>
      </c>
      <c r="U75" s="379"/>
      <c r="V75" s="273"/>
      <c r="W75" s="695" t="s">
        <v>2734</v>
      </c>
      <c r="X75" s="374"/>
      <c r="Y75" s="357" t="e">
        <f t="shared" si="12"/>
        <v>#DIV/0!</v>
      </c>
    </row>
    <row r="76" spans="1:25" s="256" customFormat="1" ht="16.5" customHeight="1" x14ac:dyDescent="0.25">
      <c r="A76" s="744">
        <v>69</v>
      </c>
      <c r="B76" s="745"/>
      <c r="C76" s="746">
        <v>2026</v>
      </c>
      <c r="D76" s="685" t="s">
        <v>2666</v>
      </c>
      <c r="E76" s="685" t="s">
        <v>2667</v>
      </c>
      <c r="F76" s="707"/>
      <c r="G76" s="707"/>
      <c r="H76" s="707"/>
      <c r="I76" s="707"/>
      <c r="J76" s="707"/>
      <c r="K76" s="707"/>
      <c r="L76" s="707"/>
      <c r="M76" s="707"/>
      <c r="N76" s="707"/>
      <c r="O76" s="782">
        <f t="shared" si="9"/>
        <v>0</v>
      </c>
      <c r="P76" s="242"/>
      <c r="Q76" s="242"/>
      <c r="R76" s="242"/>
      <c r="S76" s="277">
        <f t="shared" si="10"/>
        <v>0</v>
      </c>
      <c r="T76" s="277">
        <f t="shared" si="11"/>
        <v>0</v>
      </c>
      <c r="U76" s="379"/>
      <c r="V76" s="273"/>
      <c r="W76" s="695" t="s">
        <v>2703</v>
      </c>
      <c r="X76" s="374"/>
      <c r="Y76" s="357" t="e">
        <f t="shared" si="12"/>
        <v>#DIV/0!</v>
      </c>
    </row>
    <row r="77" spans="1:25" s="256" customFormat="1" ht="16.5" customHeight="1" x14ac:dyDescent="0.25">
      <c r="A77" s="744">
        <v>70</v>
      </c>
      <c r="B77" s="745"/>
      <c r="C77" s="746">
        <v>2026</v>
      </c>
      <c r="D77" s="685" t="s">
        <v>2668</v>
      </c>
      <c r="E77" s="685" t="s">
        <v>2669</v>
      </c>
      <c r="F77" s="707"/>
      <c r="G77" s="707"/>
      <c r="H77" s="707"/>
      <c r="I77" s="707"/>
      <c r="J77" s="707"/>
      <c r="K77" s="707"/>
      <c r="L77" s="707"/>
      <c r="M77" s="707"/>
      <c r="N77" s="707"/>
      <c r="O77" s="782">
        <f t="shared" si="9"/>
        <v>0</v>
      </c>
      <c r="P77" s="242"/>
      <c r="Q77" s="242"/>
      <c r="R77" s="242"/>
      <c r="S77" s="277">
        <f t="shared" si="10"/>
        <v>0</v>
      </c>
      <c r="T77" s="277">
        <f t="shared" si="11"/>
        <v>0</v>
      </c>
      <c r="U77" s="379"/>
      <c r="V77" s="273"/>
      <c r="W77" s="695" t="s">
        <v>2695</v>
      </c>
      <c r="X77" s="374"/>
      <c r="Y77" s="357" t="e">
        <f t="shared" si="12"/>
        <v>#DIV/0!</v>
      </c>
    </row>
    <row r="78" spans="1:25" s="256" customFormat="1" ht="16.5" customHeight="1" x14ac:dyDescent="0.25">
      <c r="A78" s="744">
        <v>71</v>
      </c>
      <c r="B78" s="745"/>
      <c r="C78" s="746">
        <v>2026</v>
      </c>
      <c r="D78" s="685" t="s">
        <v>2670</v>
      </c>
      <c r="E78" s="685" t="s">
        <v>2671</v>
      </c>
      <c r="F78" s="707"/>
      <c r="G78" s="707"/>
      <c r="H78" s="707"/>
      <c r="I78" s="707"/>
      <c r="J78" s="707"/>
      <c r="K78" s="707"/>
      <c r="L78" s="707"/>
      <c r="M78" s="707"/>
      <c r="N78" s="707"/>
      <c r="O78" s="782">
        <f t="shared" si="9"/>
        <v>0</v>
      </c>
      <c r="P78" s="242"/>
      <c r="Q78" s="242"/>
      <c r="R78" s="242"/>
      <c r="S78" s="277">
        <f t="shared" si="10"/>
        <v>0</v>
      </c>
      <c r="T78" s="277">
        <f t="shared" si="11"/>
        <v>0</v>
      </c>
      <c r="U78" s="379"/>
      <c r="V78" s="273"/>
      <c r="W78" s="695" t="s">
        <v>2715</v>
      </c>
      <c r="X78" s="374"/>
      <c r="Y78" s="357" t="e">
        <f t="shared" si="12"/>
        <v>#DIV/0!</v>
      </c>
    </row>
    <row r="79" spans="1:25" s="256" customFormat="1" ht="16.5" customHeight="1" x14ac:dyDescent="0.25">
      <c r="A79" s="744">
        <v>72</v>
      </c>
      <c r="B79" s="745"/>
      <c r="C79" s="746">
        <v>2026</v>
      </c>
      <c r="D79" s="685" t="s">
        <v>2672</v>
      </c>
      <c r="E79" s="685" t="s">
        <v>2673</v>
      </c>
      <c r="F79" s="707"/>
      <c r="G79" s="707"/>
      <c r="H79" s="707"/>
      <c r="I79" s="707"/>
      <c r="J79" s="707"/>
      <c r="K79" s="707"/>
      <c r="L79" s="707"/>
      <c r="M79" s="707"/>
      <c r="N79" s="707"/>
      <c r="O79" s="782">
        <f t="shared" si="9"/>
        <v>0</v>
      </c>
      <c r="P79" s="242"/>
      <c r="Q79" s="242"/>
      <c r="R79" s="242"/>
      <c r="S79" s="277">
        <f t="shared" si="10"/>
        <v>0</v>
      </c>
      <c r="T79" s="277">
        <f t="shared" si="11"/>
        <v>0</v>
      </c>
      <c r="U79" s="379"/>
      <c r="V79" s="273"/>
      <c r="W79" s="695" t="s">
        <v>2735</v>
      </c>
      <c r="X79" s="374"/>
      <c r="Y79" s="357" t="e">
        <f t="shared" si="12"/>
        <v>#DIV/0!</v>
      </c>
    </row>
    <row r="80" spans="1:25" s="256" customFormat="1" ht="16.5" customHeight="1" x14ac:dyDescent="0.25">
      <c r="A80" s="744">
        <v>73</v>
      </c>
      <c r="B80" s="745"/>
      <c r="C80" s="746">
        <v>2026</v>
      </c>
      <c r="D80" s="685" t="s">
        <v>2674</v>
      </c>
      <c r="E80" s="685" t="s">
        <v>2675</v>
      </c>
      <c r="F80" s="707"/>
      <c r="G80" s="707"/>
      <c r="H80" s="707"/>
      <c r="I80" s="707"/>
      <c r="J80" s="707"/>
      <c r="K80" s="707"/>
      <c r="L80" s="707"/>
      <c r="M80" s="707"/>
      <c r="N80" s="707"/>
      <c r="O80" s="782">
        <f t="shared" si="9"/>
        <v>0</v>
      </c>
      <c r="P80" s="242"/>
      <c r="Q80" s="242"/>
      <c r="R80" s="242"/>
      <c r="S80" s="277">
        <f t="shared" si="10"/>
        <v>0</v>
      </c>
      <c r="T80" s="277">
        <f t="shared" si="11"/>
        <v>0</v>
      </c>
      <c r="U80" s="379"/>
      <c r="V80" s="273"/>
      <c r="W80" s="695" t="s">
        <v>2736</v>
      </c>
      <c r="X80" s="374"/>
      <c r="Y80" s="357" t="e">
        <f t="shared" si="12"/>
        <v>#DIV/0!</v>
      </c>
    </row>
    <row r="81" spans="1:25" s="256" customFormat="1" ht="16.5" customHeight="1" x14ac:dyDescent="0.25">
      <c r="A81" s="744">
        <v>74</v>
      </c>
      <c r="B81" s="745"/>
      <c r="C81" s="746">
        <v>2026</v>
      </c>
      <c r="D81" s="685" t="s">
        <v>2676</v>
      </c>
      <c r="E81" s="685" t="s">
        <v>2677</v>
      </c>
      <c r="F81" s="707"/>
      <c r="G81" s="707"/>
      <c r="H81" s="707"/>
      <c r="I81" s="707"/>
      <c r="J81" s="707"/>
      <c r="K81" s="707"/>
      <c r="L81" s="707"/>
      <c r="M81" s="707"/>
      <c r="N81" s="707"/>
      <c r="O81" s="782">
        <f t="shared" si="1"/>
        <v>0</v>
      </c>
      <c r="P81" s="242"/>
      <c r="Q81" s="242"/>
      <c r="R81" s="242"/>
      <c r="S81" s="277"/>
      <c r="T81" s="277"/>
      <c r="U81" s="379"/>
      <c r="V81" s="273"/>
      <c r="W81" s="695" t="s">
        <v>2486</v>
      </c>
      <c r="X81" s="374"/>
      <c r="Y81" s="357" t="e">
        <f t="shared" si="8"/>
        <v>#DIV/0!</v>
      </c>
    </row>
    <row r="82" spans="1:25" s="256" customFormat="1" ht="16.5" customHeight="1" x14ac:dyDescent="0.25">
      <c r="A82" s="744">
        <v>75</v>
      </c>
      <c r="B82" s="745"/>
      <c r="C82" s="746">
        <v>2026</v>
      </c>
      <c r="D82" s="685" t="s">
        <v>2678</v>
      </c>
      <c r="E82" s="685" t="s">
        <v>2679</v>
      </c>
      <c r="F82" s="707"/>
      <c r="G82" s="707"/>
      <c r="H82" s="707"/>
      <c r="I82" s="707"/>
      <c r="J82" s="707"/>
      <c r="K82" s="707"/>
      <c r="L82" s="707"/>
      <c r="M82" s="707"/>
      <c r="N82" s="707"/>
      <c r="O82" s="782">
        <f t="shared" si="1"/>
        <v>0</v>
      </c>
      <c r="P82" s="242"/>
      <c r="Q82" s="242"/>
      <c r="R82" s="242"/>
      <c r="S82" s="277"/>
      <c r="T82" s="277"/>
      <c r="U82" s="379"/>
      <c r="V82" s="273"/>
      <c r="W82" s="695" t="s">
        <v>2737</v>
      </c>
      <c r="X82" s="374"/>
      <c r="Y82" s="357" t="e">
        <f t="shared" si="8"/>
        <v>#DIV/0!</v>
      </c>
    </row>
    <row r="83" spans="1:25" s="256" customFormat="1" ht="16.5" customHeight="1" x14ac:dyDescent="0.25">
      <c r="A83" s="744">
        <v>76</v>
      </c>
      <c r="B83" s="745"/>
      <c r="C83" s="746">
        <v>2026</v>
      </c>
      <c r="D83" s="685" t="s">
        <v>2680</v>
      </c>
      <c r="E83" s="685" t="s">
        <v>2681</v>
      </c>
      <c r="F83" s="707"/>
      <c r="G83" s="707"/>
      <c r="H83" s="707"/>
      <c r="I83" s="707"/>
      <c r="J83" s="707"/>
      <c r="K83" s="707"/>
      <c r="L83" s="707"/>
      <c r="M83" s="707"/>
      <c r="N83" s="707"/>
      <c r="O83" s="782">
        <f t="shared" si="1"/>
        <v>0</v>
      </c>
      <c r="P83" s="242"/>
      <c r="Q83" s="242"/>
      <c r="R83" s="242"/>
      <c r="S83" s="277"/>
      <c r="T83" s="277"/>
      <c r="U83" s="379"/>
      <c r="V83" s="273"/>
      <c r="W83" s="695" t="s">
        <v>2695</v>
      </c>
      <c r="X83" s="374"/>
      <c r="Y83" s="357" t="e">
        <f t="shared" si="8"/>
        <v>#DIV/0!</v>
      </c>
    </row>
    <row r="84" spans="1:25" s="256" customFormat="1" ht="16.5" customHeight="1" x14ac:dyDescent="0.25">
      <c r="A84" s="744">
        <v>77</v>
      </c>
      <c r="B84" s="745"/>
      <c r="C84" s="746">
        <v>2026</v>
      </c>
      <c r="D84" s="685" t="s">
        <v>2682</v>
      </c>
      <c r="E84" s="685" t="s">
        <v>2683</v>
      </c>
      <c r="F84" s="707"/>
      <c r="G84" s="707"/>
      <c r="H84" s="707"/>
      <c r="I84" s="707"/>
      <c r="J84" s="707"/>
      <c r="K84" s="707"/>
      <c r="L84" s="707"/>
      <c r="M84" s="707"/>
      <c r="N84" s="707"/>
      <c r="O84" s="782">
        <f t="shared" si="1"/>
        <v>0</v>
      </c>
      <c r="P84" s="242"/>
      <c r="Q84" s="242"/>
      <c r="R84" s="242"/>
      <c r="S84" s="277"/>
      <c r="T84" s="277"/>
      <c r="U84" s="379"/>
      <c r="V84" s="273"/>
      <c r="W84" s="695" t="s">
        <v>2478</v>
      </c>
      <c r="X84" s="374"/>
      <c r="Y84" s="357" t="e">
        <f t="shared" si="8"/>
        <v>#DIV/0!</v>
      </c>
    </row>
    <row r="85" spans="1:25" s="256" customFormat="1" ht="16.5" customHeight="1" x14ac:dyDescent="0.25">
      <c r="A85" s="744">
        <v>78</v>
      </c>
      <c r="B85" s="745"/>
      <c r="C85" s="746">
        <v>2026</v>
      </c>
      <c r="D85" s="685" t="s">
        <v>2684</v>
      </c>
      <c r="E85" s="685" t="s">
        <v>2685</v>
      </c>
      <c r="F85" s="707"/>
      <c r="G85" s="707"/>
      <c r="H85" s="707"/>
      <c r="I85" s="707"/>
      <c r="J85" s="707"/>
      <c r="K85" s="707"/>
      <c r="L85" s="707"/>
      <c r="M85" s="707"/>
      <c r="N85" s="707"/>
      <c r="O85" s="782">
        <f t="shared" si="1"/>
        <v>0</v>
      </c>
      <c r="P85" s="242"/>
      <c r="Q85" s="242"/>
      <c r="R85" s="242"/>
      <c r="S85" s="277"/>
      <c r="T85" s="277"/>
      <c r="U85" s="379"/>
      <c r="V85" s="273"/>
      <c r="W85" s="695" t="s">
        <v>2738</v>
      </c>
      <c r="X85" s="374"/>
      <c r="Y85" s="357" t="e">
        <f t="shared" si="8"/>
        <v>#DIV/0!</v>
      </c>
    </row>
    <row r="86" spans="1:25" s="256" customFormat="1" ht="16.5" customHeight="1" x14ac:dyDescent="0.25">
      <c r="A86" s="744">
        <v>79</v>
      </c>
      <c r="B86" s="745"/>
      <c r="C86" s="746">
        <v>2026</v>
      </c>
      <c r="D86" s="685" t="s">
        <v>2686</v>
      </c>
      <c r="E86" s="685" t="s">
        <v>2687</v>
      </c>
      <c r="F86" s="707"/>
      <c r="G86" s="707"/>
      <c r="H86" s="707"/>
      <c r="I86" s="707"/>
      <c r="J86" s="707"/>
      <c r="K86" s="707"/>
      <c r="L86" s="707"/>
      <c r="M86" s="707"/>
      <c r="N86" s="707"/>
      <c r="O86" s="782">
        <f t="shared" si="1"/>
        <v>0</v>
      </c>
      <c r="P86" s="242"/>
      <c r="Q86" s="242"/>
      <c r="R86" s="242"/>
      <c r="S86" s="277"/>
      <c r="T86" s="277"/>
      <c r="U86" s="379"/>
      <c r="V86" s="273"/>
      <c r="W86" s="695" t="s">
        <v>2532</v>
      </c>
      <c r="X86" s="374"/>
      <c r="Y86" s="357" t="e">
        <f t="shared" si="8"/>
        <v>#DIV/0!</v>
      </c>
    </row>
    <row r="87" spans="1:25" s="256" customFormat="1" ht="16.5" customHeight="1" x14ac:dyDescent="0.25">
      <c r="A87" s="744">
        <v>80</v>
      </c>
      <c r="B87" s="745"/>
      <c r="C87" s="746">
        <v>2026</v>
      </c>
      <c r="D87" s="685" t="s">
        <v>2688</v>
      </c>
      <c r="E87" s="685" t="s">
        <v>2606</v>
      </c>
      <c r="F87" s="707"/>
      <c r="G87" s="707"/>
      <c r="H87" s="707"/>
      <c r="I87" s="707"/>
      <c r="J87" s="707"/>
      <c r="K87" s="707"/>
      <c r="L87" s="707"/>
      <c r="M87" s="707"/>
      <c r="N87" s="707"/>
      <c r="O87" s="782">
        <f t="shared" si="1"/>
        <v>0</v>
      </c>
      <c r="P87" s="242"/>
      <c r="Q87" s="242"/>
      <c r="R87" s="242"/>
      <c r="S87" s="277"/>
      <c r="T87" s="277"/>
      <c r="U87" s="379"/>
      <c r="V87" s="273"/>
      <c r="W87" s="695" t="s">
        <v>2480</v>
      </c>
      <c r="X87" s="374"/>
      <c r="Y87" s="357" t="e">
        <f t="shared" si="8"/>
        <v>#DIV/0!</v>
      </c>
    </row>
    <row r="88" spans="1:25" s="256" customFormat="1" ht="16.5" customHeight="1" x14ac:dyDescent="0.25">
      <c r="A88" s="744">
        <v>81</v>
      </c>
      <c r="B88" s="745"/>
      <c r="C88" s="746">
        <v>2026</v>
      </c>
      <c r="D88" s="685" t="s">
        <v>2689</v>
      </c>
      <c r="E88" s="685" t="s">
        <v>2690</v>
      </c>
      <c r="F88" s="707"/>
      <c r="G88" s="707"/>
      <c r="H88" s="707"/>
      <c r="I88" s="707"/>
      <c r="J88" s="707"/>
      <c r="K88" s="707"/>
      <c r="L88" s="707"/>
      <c r="M88" s="707"/>
      <c r="N88" s="707"/>
      <c r="O88" s="782">
        <f t="shared" si="1"/>
        <v>0</v>
      </c>
      <c r="P88" s="242"/>
      <c r="Q88" s="242"/>
      <c r="R88" s="242"/>
      <c r="S88" s="277"/>
      <c r="T88" s="277"/>
      <c r="U88" s="379"/>
      <c r="V88" s="273"/>
      <c r="W88" s="695" t="s">
        <v>2733</v>
      </c>
      <c r="X88" s="374"/>
      <c r="Y88" s="357" t="e">
        <f t="shared" si="8"/>
        <v>#DIV/0!</v>
      </c>
    </row>
    <row r="89" spans="1:25" s="256" customFormat="1" ht="16.5" customHeight="1" x14ac:dyDescent="0.25">
      <c r="A89" s="744">
        <v>82</v>
      </c>
      <c r="B89" s="745"/>
      <c r="C89" s="746">
        <v>2026</v>
      </c>
      <c r="D89" s="685" t="s">
        <v>2691</v>
      </c>
      <c r="E89" s="685" t="s">
        <v>2592</v>
      </c>
      <c r="F89" s="707"/>
      <c r="G89" s="707"/>
      <c r="H89" s="707"/>
      <c r="I89" s="707"/>
      <c r="J89" s="707"/>
      <c r="K89" s="707"/>
      <c r="L89" s="707"/>
      <c r="M89" s="707"/>
      <c r="N89" s="707"/>
      <c r="O89" s="782">
        <f t="shared" si="1"/>
        <v>0</v>
      </c>
      <c r="P89" s="242"/>
      <c r="Q89" s="242"/>
      <c r="R89" s="242"/>
      <c r="S89" s="277"/>
      <c r="T89" s="277"/>
      <c r="U89" s="379"/>
      <c r="V89" s="273"/>
      <c r="W89" s="695" t="s">
        <v>2739</v>
      </c>
      <c r="X89" s="374"/>
      <c r="Y89" s="357" t="e">
        <f t="shared" si="8"/>
        <v>#DIV/0!</v>
      </c>
    </row>
    <row r="90" spans="1:25" s="256" customFormat="1" ht="16.5" customHeight="1" x14ac:dyDescent="0.25">
      <c r="A90" s="744">
        <v>83</v>
      </c>
      <c r="B90" s="745"/>
      <c r="C90" s="746">
        <v>2026</v>
      </c>
      <c r="D90" s="685" t="s">
        <v>2692</v>
      </c>
      <c r="E90" s="685" t="s">
        <v>2693</v>
      </c>
      <c r="F90" s="707"/>
      <c r="G90" s="707"/>
      <c r="H90" s="707"/>
      <c r="I90" s="707"/>
      <c r="J90" s="707"/>
      <c r="K90" s="707"/>
      <c r="L90" s="707"/>
      <c r="M90" s="707"/>
      <c r="N90" s="707"/>
      <c r="O90" s="782">
        <f t="shared" si="1"/>
        <v>0</v>
      </c>
      <c r="P90" s="242"/>
      <c r="Q90" s="242"/>
      <c r="R90" s="242"/>
      <c r="S90" s="277"/>
      <c r="T90" s="277"/>
      <c r="U90" s="379"/>
      <c r="V90" s="273"/>
      <c r="W90" s="695" t="s">
        <v>2740</v>
      </c>
      <c r="X90" s="374"/>
      <c r="Y90" s="357" t="e">
        <f t="shared" si="8"/>
        <v>#DIV/0!</v>
      </c>
    </row>
    <row r="91" spans="1:25" s="256" customFormat="1" ht="16.5" customHeight="1" x14ac:dyDescent="0.25">
      <c r="A91" s="744">
        <v>84</v>
      </c>
      <c r="B91" s="745"/>
      <c r="C91" s="746">
        <v>2026</v>
      </c>
      <c r="D91" s="685" t="s">
        <v>2694</v>
      </c>
      <c r="E91" s="685" t="s">
        <v>568</v>
      </c>
      <c r="F91" s="707"/>
      <c r="G91" s="707"/>
      <c r="H91" s="707"/>
      <c r="I91" s="707"/>
      <c r="J91" s="707"/>
      <c r="K91" s="707"/>
      <c r="L91" s="707"/>
      <c r="M91" s="707"/>
      <c r="N91" s="707"/>
      <c r="O91" s="782">
        <f t="shared" si="1"/>
        <v>0</v>
      </c>
      <c r="P91" s="242"/>
      <c r="Q91" s="242"/>
      <c r="R91" s="242"/>
      <c r="S91" s="277"/>
      <c r="T91" s="277"/>
      <c r="U91" s="379"/>
      <c r="V91" s="273"/>
      <c r="W91" s="695" t="s">
        <v>2741</v>
      </c>
      <c r="X91" s="374"/>
      <c r="Y91" s="357" t="e">
        <f t="shared" si="8"/>
        <v>#DIV/0!</v>
      </c>
    </row>
    <row r="92" spans="1:25" s="256" customFormat="1" ht="16.5" customHeight="1" x14ac:dyDescent="0.25">
      <c r="A92" s="744">
        <v>85</v>
      </c>
      <c r="B92" s="745"/>
      <c r="C92" s="746">
        <v>2026</v>
      </c>
      <c r="D92" s="685"/>
      <c r="E92" s="685"/>
      <c r="F92" s="707"/>
      <c r="G92" s="707"/>
      <c r="H92" s="707"/>
      <c r="I92" s="707"/>
      <c r="J92" s="707"/>
      <c r="K92" s="707"/>
      <c r="L92" s="707"/>
      <c r="M92" s="707"/>
      <c r="N92" s="707"/>
      <c r="O92" s="782">
        <f t="shared" si="1"/>
        <v>0</v>
      </c>
      <c r="P92" s="242"/>
      <c r="Q92" s="242"/>
      <c r="R92" s="242"/>
      <c r="S92" s="277"/>
      <c r="T92" s="277"/>
      <c r="U92" s="379"/>
      <c r="V92" s="273"/>
      <c r="W92" s="695"/>
      <c r="X92" s="374"/>
      <c r="Y92" s="357" t="e">
        <f t="shared" si="8"/>
        <v>#DIV/0!</v>
      </c>
    </row>
    <row r="93" spans="1:25" s="368" customFormat="1" ht="16.5" customHeight="1" thickBot="1" x14ac:dyDescent="0.35">
      <c r="A93" s="359"/>
      <c r="B93" s="363"/>
      <c r="C93" s="363"/>
      <c r="D93" s="362"/>
      <c r="E93" s="363"/>
      <c r="F93" s="363"/>
      <c r="G93" s="363"/>
      <c r="H93" s="363"/>
      <c r="I93" s="365"/>
      <c r="J93" s="363"/>
      <c r="K93" s="363"/>
      <c r="L93" s="363"/>
      <c r="M93" s="363"/>
      <c r="N93" s="363"/>
      <c r="O93" s="364"/>
      <c r="P93" s="365"/>
      <c r="Q93" s="365"/>
      <c r="R93" s="365"/>
      <c r="S93" s="363"/>
      <c r="T93" s="363"/>
      <c r="U93" s="363"/>
      <c r="V93" s="549"/>
      <c r="W93" s="550"/>
    </row>
    <row r="94" spans="1:25" s="368" customFormat="1" ht="19.5" thickTop="1" x14ac:dyDescent="0.3">
      <c r="A94" s="369"/>
      <c r="B94" s="369"/>
      <c r="C94" s="369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70"/>
      <c r="P94" s="371"/>
      <c r="Q94" s="371"/>
      <c r="R94" s="371"/>
      <c r="S94" s="369"/>
      <c r="T94" s="369"/>
      <c r="U94" s="369"/>
      <c r="V94" s="372"/>
      <c r="W94" s="369"/>
    </row>
    <row r="95" spans="1:25" s="368" customFormat="1" x14ac:dyDescent="0.3">
      <c r="A95" s="369"/>
      <c r="B95" s="369"/>
      <c r="C95" s="369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70"/>
      <c r="P95" s="371"/>
      <c r="Q95" s="371"/>
      <c r="R95" s="371"/>
      <c r="S95" s="369"/>
      <c r="T95" s="369"/>
      <c r="U95" s="369"/>
      <c r="V95" s="372"/>
      <c r="W95" s="369"/>
    </row>
    <row r="96" spans="1:25" s="368" customFormat="1" x14ac:dyDescent="0.3">
      <c r="A96" s="369"/>
      <c r="B96" s="369"/>
      <c r="C96" s="369"/>
      <c r="E96" s="369"/>
      <c r="F96" s="369"/>
      <c r="G96" s="369"/>
      <c r="H96" s="369"/>
      <c r="I96" s="369"/>
      <c r="J96" s="680"/>
      <c r="K96" s="369"/>
      <c r="L96" s="369"/>
      <c r="M96" s="369"/>
      <c r="N96" s="369"/>
      <c r="O96" s="370"/>
      <c r="P96" s="371"/>
      <c r="Q96" s="371"/>
      <c r="R96" s="371"/>
      <c r="S96" s="369"/>
      <c r="T96" s="369"/>
      <c r="U96" s="369"/>
      <c r="V96" s="372"/>
      <c r="W96" s="369"/>
    </row>
    <row r="97" spans="1:24" s="368" customFormat="1" x14ac:dyDescent="0.3">
      <c r="A97" s="369"/>
      <c r="B97" s="369"/>
      <c r="C97" s="369"/>
      <c r="E97" s="369"/>
      <c r="F97" s="369"/>
      <c r="G97" s="369"/>
      <c r="H97" s="369"/>
      <c r="I97" s="369"/>
      <c r="J97" s="369"/>
      <c r="K97" s="369"/>
      <c r="L97" s="369"/>
      <c r="M97" s="369"/>
      <c r="N97" s="369"/>
      <c r="O97" s="370"/>
      <c r="P97" s="371"/>
      <c r="Q97" s="371"/>
      <c r="R97" s="371"/>
      <c r="S97" s="369"/>
      <c r="T97" s="369"/>
      <c r="U97" s="369"/>
      <c r="V97" s="372"/>
      <c r="W97" s="369"/>
      <c r="X97" s="368" t="s">
        <v>3</v>
      </c>
    </row>
    <row r="98" spans="1:24" s="368" customFormat="1" x14ac:dyDescent="0.3">
      <c r="A98" s="369"/>
      <c r="B98" s="369"/>
      <c r="C98" s="369"/>
      <c r="E98" s="369"/>
      <c r="F98" s="369"/>
      <c r="G98" s="369"/>
      <c r="H98" s="369"/>
      <c r="I98" s="369"/>
      <c r="J98" s="369"/>
      <c r="K98" s="369"/>
      <c r="L98" s="369"/>
      <c r="M98" s="369"/>
      <c r="N98" s="369"/>
      <c r="O98" s="370"/>
      <c r="P98" s="371"/>
      <c r="Q98" s="371"/>
      <c r="R98" s="371"/>
      <c r="S98" s="369"/>
      <c r="T98" s="369"/>
      <c r="U98" s="369"/>
      <c r="V98" s="372"/>
      <c r="W98" s="759"/>
    </row>
    <row r="99" spans="1:24" s="368" customFormat="1" x14ac:dyDescent="0.3">
      <c r="A99" s="369"/>
      <c r="B99" s="369"/>
      <c r="C99" s="369"/>
      <c r="E99" s="369"/>
      <c r="F99" s="369"/>
      <c r="G99" s="369"/>
      <c r="H99" s="369"/>
      <c r="I99" s="369"/>
      <c r="J99" s="369"/>
      <c r="K99" s="369"/>
      <c r="L99" s="369"/>
      <c r="M99" s="369"/>
      <c r="N99" s="369"/>
      <c r="O99" s="370"/>
      <c r="P99" s="371"/>
      <c r="Q99" s="371"/>
      <c r="R99" s="371"/>
      <c r="S99" s="369"/>
      <c r="T99" s="369"/>
      <c r="U99" s="369"/>
      <c r="V99" s="372"/>
      <c r="W99" s="369"/>
    </row>
    <row r="100" spans="1:24" s="368" customFormat="1" x14ac:dyDescent="0.3">
      <c r="A100" s="369"/>
      <c r="B100" s="369"/>
      <c r="C100" s="369"/>
      <c r="E100" s="369"/>
      <c r="F100" s="369"/>
      <c r="G100" s="369"/>
      <c r="H100" s="369"/>
      <c r="I100" s="369"/>
      <c r="J100" s="369"/>
      <c r="K100" s="369"/>
      <c r="L100" s="369"/>
      <c r="M100" s="369"/>
      <c r="N100" s="369"/>
      <c r="O100" s="370"/>
      <c r="P100" s="371"/>
      <c r="Q100" s="371"/>
      <c r="R100" s="371"/>
      <c r="S100" s="369"/>
      <c r="T100" s="369"/>
      <c r="U100" s="369"/>
      <c r="V100" s="372"/>
      <c r="W100" s="369"/>
    </row>
    <row r="101" spans="1:24" s="368" customFormat="1" x14ac:dyDescent="0.3">
      <c r="A101" s="369"/>
      <c r="B101" s="369"/>
      <c r="C101" s="369"/>
      <c r="E101" s="369"/>
      <c r="F101" s="369"/>
      <c r="G101" s="369"/>
      <c r="H101" s="369"/>
      <c r="I101" s="369"/>
      <c r="J101" s="369"/>
      <c r="K101" s="369"/>
      <c r="L101" s="369"/>
      <c r="M101" s="369"/>
      <c r="N101" s="369"/>
      <c r="O101" s="370"/>
      <c r="P101" s="371"/>
      <c r="Q101" s="371"/>
      <c r="R101" s="371"/>
      <c r="S101" s="369"/>
      <c r="T101" s="369"/>
      <c r="U101" s="369"/>
      <c r="V101" s="372"/>
      <c r="W101" s="369"/>
    </row>
    <row r="102" spans="1:24" s="368" customFormat="1" x14ac:dyDescent="0.3">
      <c r="A102" s="369"/>
      <c r="B102" s="369"/>
      <c r="C102" s="369"/>
      <c r="E102" s="369"/>
      <c r="F102" s="369"/>
      <c r="G102" s="369"/>
      <c r="H102" s="369"/>
      <c r="I102" s="369"/>
      <c r="J102" s="369"/>
      <c r="K102" s="369"/>
      <c r="L102" s="369"/>
      <c r="M102" s="369"/>
      <c r="N102" s="369"/>
      <c r="O102" s="370"/>
      <c r="P102" s="371"/>
      <c r="Q102" s="371"/>
      <c r="R102" s="371"/>
      <c r="S102" s="369"/>
      <c r="T102" s="369"/>
      <c r="U102" s="369"/>
      <c r="V102" s="372"/>
      <c r="W102" s="369"/>
    </row>
    <row r="103" spans="1:24" s="368" customFormat="1" ht="18.75" customHeight="1" x14ac:dyDescent="0.3">
      <c r="A103" s="369"/>
      <c r="B103" s="369"/>
      <c r="C103" s="369"/>
      <c r="E103" s="369"/>
      <c r="F103" s="369"/>
      <c r="G103" s="369"/>
      <c r="H103" s="369"/>
      <c r="I103" s="369"/>
      <c r="J103" s="369"/>
      <c r="K103" s="369"/>
      <c r="L103" s="369"/>
      <c r="M103" s="369"/>
      <c r="N103" s="369"/>
      <c r="O103" s="370"/>
      <c r="P103" s="371"/>
      <c r="Q103" s="371"/>
      <c r="R103" s="371"/>
      <c r="S103" s="369"/>
      <c r="T103" s="369"/>
      <c r="U103" s="369"/>
      <c r="V103" s="372"/>
      <c r="W103" s="369"/>
    </row>
    <row r="104" spans="1:24" s="368" customFormat="1" x14ac:dyDescent="0.3">
      <c r="A104" s="369"/>
      <c r="B104" s="369"/>
      <c r="C104" s="369"/>
      <c r="E104" s="369"/>
      <c r="F104" s="369"/>
      <c r="G104" s="369"/>
      <c r="H104" s="369"/>
      <c r="I104" s="369"/>
      <c r="J104" s="369"/>
      <c r="K104" s="369"/>
      <c r="L104" s="369"/>
      <c r="M104" s="369"/>
      <c r="N104" s="369"/>
      <c r="O104" s="370"/>
      <c r="P104" s="371"/>
      <c r="Q104" s="371"/>
      <c r="R104" s="371"/>
      <c r="S104" s="369"/>
      <c r="T104" s="369"/>
      <c r="U104" s="369"/>
      <c r="V104" s="372"/>
      <c r="W104" s="369"/>
    </row>
    <row r="105" spans="1:24" s="368" customFormat="1" x14ac:dyDescent="0.3">
      <c r="A105" s="369"/>
      <c r="B105" s="369"/>
      <c r="C105" s="369"/>
      <c r="E105" s="369"/>
      <c r="F105" s="369"/>
      <c r="G105" s="369"/>
      <c r="H105" s="369"/>
      <c r="I105" s="369"/>
      <c r="J105" s="369"/>
      <c r="K105" s="369"/>
      <c r="L105" s="369"/>
      <c r="M105" s="369"/>
      <c r="N105" s="369"/>
      <c r="O105" s="370"/>
      <c r="P105" s="371"/>
      <c r="Q105" s="371"/>
      <c r="R105" s="371"/>
      <c r="S105" s="369"/>
      <c r="T105" s="369"/>
      <c r="U105" s="369"/>
      <c r="V105" s="372"/>
      <c r="W105" s="369"/>
    </row>
    <row r="106" spans="1:24" s="368" customFormat="1" x14ac:dyDescent="0.3">
      <c r="A106" s="369"/>
      <c r="B106" s="369"/>
      <c r="C106" s="369"/>
      <c r="E106" s="369"/>
      <c r="F106" s="369"/>
      <c r="G106" s="369"/>
      <c r="H106" s="369"/>
      <c r="I106" s="369"/>
      <c r="J106" s="369"/>
      <c r="K106" s="369"/>
      <c r="L106" s="369"/>
      <c r="M106" s="369"/>
      <c r="N106" s="369"/>
      <c r="O106" s="370"/>
      <c r="P106" s="371"/>
      <c r="Q106" s="371"/>
      <c r="R106" s="371"/>
      <c r="S106" s="369"/>
      <c r="T106" s="369"/>
      <c r="U106" s="369"/>
      <c r="V106" s="372"/>
      <c r="W106" s="369"/>
    </row>
    <row r="107" spans="1:24" s="368" customFormat="1" x14ac:dyDescent="0.3">
      <c r="A107" s="369"/>
      <c r="B107" s="369"/>
      <c r="C107" s="369"/>
      <c r="E107" s="369"/>
      <c r="F107" s="369"/>
      <c r="G107" s="369"/>
      <c r="H107" s="369"/>
      <c r="I107" s="369"/>
      <c r="J107" s="369"/>
      <c r="K107" s="369"/>
      <c r="L107" s="369"/>
      <c r="M107" s="369"/>
      <c r="N107" s="369"/>
      <c r="O107" s="370"/>
      <c r="P107" s="371"/>
      <c r="Q107" s="371"/>
      <c r="R107" s="371"/>
      <c r="S107" s="369"/>
      <c r="T107" s="369"/>
      <c r="U107" s="369"/>
      <c r="V107" s="372"/>
      <c r="W107" s="369"/>
    </row>
    <row r="108" spans="1:24" s="368" customFormat="1" x14ac:dyDescent="0.3">
      <c r="A108" s="369"/>
      <c r="B108" s="369"/>
      <c r="C108" s="369"/>
      <c r="E108" s="369"/>
      <c r="F108" s="369"/>
      <c r="G108" s="369"/>
      <c r="H108" s="369"/>
      <c r="I108" s="369"/>
      <c r="J108" s="369"/>
      <c r="K108" s="369"/>
      <c r="L108" s="369"/>
      <c r="M108" s="369"/>
      <c r="N108" s="369"/>
      <c r="O108" s="370"/>
      <c r="P108" s="371"/>
      <c r="Q108" s="371"/>
      <c r="R108" s="371"/>
      <c r="S108" s="369"/>
      <c r="T108" s="369"/>
      <c r="U108" s="369"/>
      <c r="V108" s="372"/>
      <c r="W108" s="369"/>
    </row>
    <row r="109" spans="1:24" s="368" customFormat="1" x14ac:dyDescent="0.3">
      <c r="A109" s="369"/>
      <c r="B109" s="369"/>
      <c r="C109" s="369"/>
      <c r="E109" s="369"/>
      <c r="F109" s="369"/>
      <c r="G109" s="369"/>
      <c r="H109" s="369"/>
      <c r="I109" s="369"/>
      <c r="J109" s="369"/>
      <c r="K109" s="369"/>
      <c r="L109" s="369"/>
      <c r="M109" s="369"/>
      <c r="N109" s="369"/>
      <c r="O109" s="370"/>
      <c r="P109" s="371"/>
      <c r="Q109" s="371"/>
      <c r="R109" s="371"/>
      <c r="S109" s="369"/>
      <c r="T109" s="369"/>
      <c r="U109" s="369"/>
      <c r="V109" s="372"/>
      <c r="W109" s="369"/>
    </row>
    <row r="110" spans="1:24" s="368" customFormat="1" x14ac:dyDescent="0.3">
      <c r="A110" s="369"/>
      <c r="B110" s="369"/>
      <c r="C110" s="369"/>
      <c r="E110" s="369"/>
      <c r="F110" s="369"/>
      <c r="G110" s="369"/>
      <c r="H110" s="369"/>
      <c r="I110" s="369"/>
      <c r="J110" s="369"/>
      <c r="K110" s="369"/>
      <c r="L110" s="369"/>
      <c r="M110" s="369"/>
      <c r="N110" s="369"/>
      <c r="O110" s="370"/>
      <c r="P110" s="371"/>
      <c r="Q110" s="371"/>
      <c r="R110" s="371"/>
      <c r="S110" s="369"/>
      <c r="T110" s="369"/>
      <c r="U110" s="369"/>
      <c r="V110" s="372"/>
      <c r="W110" s="369"/>
    </row>
    <row r="111" spans="1:24" s="368" customFormat="1" x14ac:dyDescent="0.3">
      <c r="A111" s="369"/>
      <c r="B111" s="369"/>
      <c r="C111" s="369"/>
      <c r="E111" s="369"/>
      <c r="F111" s="369"/>
      <c r="G111" s="369"/>
      <c r="H111" s="369"/>
      <c r="I111" s="369"/>
      <c r="J111" s="369"/>
      <c r="K111" s="369"/>
      <c r="L111" s="369"/>
      <c r="M111" s="369"/>
      <c r="N111" s="369"/>
      <c r="O111" s="370"/>
      <c r="P111" s="371"/>
      <c r="Q111" s="371"/>
      <c r="R111" s="371"/>
      <c r="S111" s="369"/>
      <c r="T111" s="369"/>
      <c r="U111" s="369"/>
      <c r="V111" s="372"/>
      <c r="W111" s="369"/>
    </row>
    <row r="112" spans="1:24" s="368" customFormat="1" x14ac:dyDescent="0.3">
      <c r="A112" s="369"/>
      <c r="B112" s="369"/>
      <c r="C112" s="369"/>
      <c r="E112" s="369"/>
      <c r="F112" s="369"/>
      <c r="G112" s="369"/>
      <c r="H112" s="369"/>
      <c r="I112" s="369"/>
      <c r="J112" s="369"/>
      <c r="K112" s="369"/>
      <c r="L112" s="369"/>
      <c r="M112" s="369"/>
      <c r="N112" s="369"/>
      <c r="O112" s="370"/>
      <c r="P112" s="371"/>
      <c r="Q112" s="371"/>
      <c r="R112" s="371"/>
      <c r="S112" s="369"/>
      <c r="T112" s="369"/>
      <c r="U112" s="369"/>
      <c r="V112" s="372"/>
      <c r="W112" s="369"/>
    </row>
    <row r="113" spans="1:23" s="368" customFormat="1" x14ac:dyDescent="0.3">
      <c r="A113" s="369"/>
      <c r="B113" s="369"/>
      <c r="C113" s="369"/>
      <c r="E113" s="369"/>
      <c r="F113" s="369"/>
      <c r="G113" s="369"/>
      <c r="H113" s="369"/>
      <c r="I113" s="369"/>
      <c r="J113" s="369"/>
      <c r="K113" s="369"/>
      <c r="L113" s="369"/>
      <c r="M113" s="369"/>
      <c r="N113" s="369"/>
      <c r="O113" s="370"/>
      <c r="P113" s="371"/>
      <c r="Q113" s="371"/>
      <c r="R113" s="371"/>
      <c r="S113" s="369"/>
      <c r="T113" s="369"/>
      <c r="U113" s="369"/>
      <c r="V113" s="372"/>
      <c r="W113" s="369"/>
    </row>
    <row r="114" spans="1:23" s="368" customFormat="1" x14ac:dyDescent="0.3">
      <c r="A114" s="369"/>
      <c r="B114" s="369"/>
      <c r="C114" s="369"/>
      <c r="E114" s="369"/>
      <c r="F114" s="369"/>
      <c r="G114" s="369"/>
      <c r="H114" s="369"/>
      <c r="I114" s="369"/>
      <c r="J114" s="369"/>
      <c r="K114" s="369"/>
      <c r="L114" s="369"/>
      <c r="M114" s="369"/>
      <c r="N114" s="369"/>
      <c r="O114" s="370"/>
      <c r="P114" s="371"/>
      <c r="Q114" s="371"/>
      <c r="R114" s="371"/>
      <c r="S114" s="369"/>
      <c r="T114" s="369"/>
      <c r="U114" s="369"/>
      <c r="V114" s="372"/>
      <c r="W114" s="369"/>
    </row>
    <row r="115" spans="1:23" s="368" customFormat="1" x14ac:dyDescent="0.3">
      <c r="A115" s="369"/>
      <c r="B115" s="369"/>
      <c r="C115" s="369"/>
      <c r="E115" s="369"/>
      <c r="F115" s="369"/>
      <c r="G115" s="369"/>
      <c r="H115" s="369"/>
      <c r="I115" s="369"/>
      <c r="J115" s="369"/>
      <c r="K115" s="369"/>
      <c r="L115" s="369"/>
      <c r="M115" s="369"/>
      <c r="N115" s="369"/>
      <c r="O115" s="370"/>
      <c r="P115" s="371"/>
      <c r="Q115" s="371"/>
      <c r="R115" s="371"/>
      <c r="S115" s="369"/>
      <c r="T115" s="369"/>
      <c r="U115" s="369"/>
      <c r="V115" s="372"/>
      <c r="W115" s="369"/>
    </row>
    <row r="116" spans="1:23" s="368" customFormat="1" x14ac:dyDescent="0.3">
      <c r="A116" s="369"/>
      <c r="B116" s="369"/>
      <c r="C116" s="369"/>
      <c r="E116" s="369"/>
      <c r="F116" s="369"/>
      <c r="G116" s="369"/>
      <c r="H116" s="369"/>
      <c r="I116" s="369"/>
      <c r="J116" s="369"/>
      <c r="K116" s="369"/>
      <c r="L116" s="369"/>
      <c r="M116" s="369"/>
      <c r="N116" s="369"/>
      <c r="O116" s="370"/>
      <c r="P116" s="371"/>
      <c r="Q116" s="371"/>
      <c r="R116" s="371"/>
      <c r="S116" s="369"/>
      <c r="T116" s="369"/>
      <c r="U116" s="369"/>
      <c r="V116" s="372"/>
      <c r="W116" s="369"/>
    </row>
    <row r="117" spans="1:23" s="368" customFormat="1" x14ac:dyDescent="0.3">
      <c r="A117" s="369"/>
      <c r="B117" s="369"/>
      <c r="C117" s="369"/>
      <c r="E117" s="369"/>
      <c r="F117" s="369"/>
      <c r="G117" s="369"/>
      <c r="H117" s="369"/>
      <c r="I117" s="369"/>
      <c r="J117" s="369"/>
      <c r="K117" s="369"/>
      <c r="L117" s="369"/>
      <c r="M117" s="369"/>
      <c r="N117" s="369"/>
      <c r="O117" s="370"/>
      <c r="P117" s="371"/>
      <c r="Q117" s="371"/>
      <c r="R117" s="371"/>
      <c r="S117" s="369"/>
      <c r="T117" s="369"/>
      <c r="U117" s="369"/>
      <c r="V117" s="372"/>
      <c r="W117" s="369"/>
    </row>
    <row r="118" spans="1:23" s="368" customFormat="1" x14ac:dyDescent="0.3">
      <c r="A118" s="369"/>
      <c r="B118" s="369"/>
      <c r="C118" s="369"/>
      <c r="E118" s="369"/>
      <c r="F118" s="369"/>
      <c r="G118" s="369"/>
      <c r="H118" s="369"/>
      <c r="I118" s="369"/>
      <c r="J118" s="369"/>
      <c r="K118" s="369"/>
      <c r="L118" s="369"/>
      <c r="M118" s="369"/>
      <c r="N118" s="369"/>
      <c r="O118" s="370"/>
      <c r="P118" s="371"/>
      <c r="Q118" s="371"/>
      <c r="R118" s="371"/>
      <c r="S118" s="369"/>
      <c r="T118" s="369"/>
      <c r="U118" s="369"/>
      <c r="V118" s="372"/>
      <c r="W118" s="369"/>
    </row>
    <row r="119" spans="1:23" s="368" customFormat="1" x14ac:dyDescent="0.3">
      <c r="A119" s="369"/>
      <c r="B119" s="369"/>
      <c r="C119" s="369"/>
      <c r="E119" s="369"/>
      <c r="F119" s="369"/>
      <c r="G119" s="369"/>
      <c r="H119" s="369"/>
      <c r="I119" s="369"/>
      <c r="J119" s="369"/>
      <c r="K119" s="369"/>
      <c r="L119" s="369"/>
      <c r="M119" s="369"/>
      <c r="N119" s="369"/>
      <c r="O119" s="370"/>
      <c r="P119" s="371"/>
      <c r="Q119" s="371"/>
      <c r="R119" s="371"/>
      <c r="S119" s="369"/>
      <c r="T119" s="369"/>
      <c r="U119" s="369"/>
      <c r="V119" s="372"/>
      <c r="W119" s="369"/>
    </row>
    <row r="120" spans="1:23" s="368" customFormat="1" x14ac:dyDescent="0.3">
      <c r="A120" s="369"/>
      <c r="B120" s="369"/>
      <c r="C120" s="369"/>
      <c r="E120" s="369"/>
      <c r="F120" s="369"/>
      <c r="G120" s="369"/>
      <c r="H120" s="369"/>
      <c r="I120" s="369"/>
      <c r="J120" s="369"/>
      <c r="K120" s="369"/>
      <c r="L120" s="369"/>
      <c r="M120" s="369"/>
      <c r="N120" s="369"/>
      <c r="O120" s="370"/>
      <c r="P120" s="371"/>
      <c r="Q120" s="371"/>
      <c r="R120" s="371"/>
      <c r="S120" s="369"/>
      <c r="T120" s="369"/>
      <c r="U120" s="369"/>
      <c r="V120" s="372"/>
      <c r="W120" s="369"/>
    </row>
    <row r="121" spans="1:23" s="368" customFormat="1" x14ac:dyDescent="0.3">
      <c r="A121" s="369"/>
      <c r="B121" s="369"/>
      <c r="C121" s="369"/>
      <c r="E121" s="369"/>
      <c r="F121" s="369"/>
      <c r="G121" s="369"/>
      <c r="H121" s="369"/>
      <c r="I121" s="369"/>
      <c r="J121" s="369"/>
      <c r="K121" s="369"/>
      <c r="L121" s="369"/>
      <c r="M121" s="369"/>
      <c r="N121" s="369"/>
      <c r="O121" s="370"/>
      <c r="P121" s="371"/>
      <c r="Q121" s="371"/>
      <c r="R121" s="371"/>
      <c r="S121" s="369"/>
      <c r="T121" s="369"/>
      <c r="U121" s="369"/>
      <c r="V121" s="372"/>
      <c r="W121" s="369"/>
    </row>
    <row r="122" spans="1:23" s="368" customFormat="1" x14ac:dyDescent="0.3">
      <c r="A122" s="369"/>
      <c r="B122" s="369"/>
      <c r="C122" s="369"/>
      <c r="E122" s="369"/>
      <c r="F122" s="369"/>
      <c r="G122" s="369"/>
      <c r="H122" s="369"/>
      <c r="I122" s="369"/>
      <c r="J122" s="369"/>
      <c r="K122" s="369"/>
      <c r="L122" s="369"/>
      <c r="M122" s="369"/>
      <c r="N122" s="369"/>
      <c r="O122" s="370"/>
      <c r="P122" s="371"/>
      <c r="Q122" s="371"/>
      <c r="R122" s="371"/>
      <c r="S122" s="369"/>
      <c r="T122" s="369"/>
      <c r="U122" s="369"/>
      <c r="V122" s="372"/>
      <c r="W122" s="369"/>
    </row>
    <row r="123" spans="1:23" s="368" customFormat="1" x14ac:dyDescent="0.3">
      <c r="A123" s="369"/>
      <c r="B123" s="369"/>
      <c r="C123" s="369"/>
      <c r="E123" s="369"/>
      <c r="F123" s="369"/>
      <c r="G123" s="369"/>
      <c r="H123" s="369"/>
      <c r="I123" s="369"/>
      <c r="J123" s="369"/>
      <c r="K123" s="369"/>
      <c r="L123" s="369"/>
      <c r="M123" s="369"/>
      <c r="N123" s="369"/>
      <c r="O123" s="370"/>
      <c r="P123" s="371"/>
      <c r="Q123" s="371"/>
      <c r="R123" s="371"/>
      <c r="S123" s="369"/>
      <c r="T123" s="369"/>
      <c r="U123" s="369"/>
      <c r="V123" s="372"/>
      <c r="W123" s="369"/>
    </row>
    <row r="124" spans="1:23" s="368" customFormat="1" x14ac:dyDescent="0.3">
      <c r="A124" s="369"/>
      <c r="B124" s="369"/>
      <c r="C124" s="369"/>
      <c r="E124" s="369"/>
      <c r="F124" s="369"/>
      <c r="G124" s="369"/>
      <c r="H124" s="369"/>
      <c r="I124" s="369"/>
      <c r="J124" s="369"/>
      <c r="K124" s="369"/>
      <c r="L124" s="369"/>
      <c r="M124" s="369"/>
      <c r="N124" s="369"/>
      <c r="O124" s="370"/>
      <c r="P124" s="371"/>
      <c r="Q124" s="371"/>
      <c r="R124" s="371"/>
      <c r="S124" s="369"/>
      <c r="T124" s="369"/>
      <c r="U124" s="369"/>
      <c r="V124" s="372"/>
      <c r="W124" s="369"/>
    </row>
    <row r="125" spans="1:23" s="368" customFormat="1" x14ac:dyDescent="0.3">
      <c r="A125" s="369"/>
      <c r="B125" s="369"/>
      <c r="C125" s="369"/>
      <c r="E125" s="369"/>
      <c r="F125" s="369"/>
      <c r="G125" s="369"/>
      <c r="H125" s="369"/>
      <c r="I125" s="369"/>
      <c r="J125" s="369"/>
      <c r="K125" s="369"/>
      <c r="L125" s="369"/>
      <c r="M125" s="369"/>
      <c r="N125" s="369"/>
      <c r="O125" s="370"/>
      <c r="P125" s="371"/>
      <c r="Q125" s="371"/>
      <c r="R125" s="371"/>
      <c r="S125" s="369"/>
      <c r="T125" s="369"/>
      <c r="U125" s="369"/>
      <c r="V125" s="372"/>
      <c r="W125" s="369"/>
    </row>
    <row r="126" spans="1:23" s="368" customFormat="1" x14ac:dyDescent="0.3">
      <c r="A126" s="369"/>
      <c r="B126" s="369"/>
      <c r="C126" s="369"/>
      <c r="E126" s="369"/>
      <c r="F126" s="369"/>
      <c r="G126" s="369"/>
      <c r="H126" s="369"/>
      <c r="I126" s="369"/>
      <c r="J126" s="369"/>
      <c r="K126" s="369"/>
      <c r="L126" s="369"/>
      <c r="M126" s="369"/>
      <c r="N126" s="369"/>
      <c r="O126" s="370"/>
      <c r="P126" s="371"/>
      <c r="Q126" s="371"/>
      <c r="R126" s="371"/>
      <c r="S126" s="369"/>
      <c r="T126" s="369"/>
      <c r="U126" s="369"/>
      <c r="V126" s="372"/>
      <c r="W126" s="369"/>
    </row>
    <row r="127" spans="1:23" s="368" customFormat="1" x14ac:dyDescent="0.3">
      <c r="A127" s="369"/>
      <c r="B127" s="369"/>
      <c r="C127" s="369"/>
      <c r="E127" s="369"/>
      <c r="F127" s="369"/>
      <c r="G127" s="369"/>
      <c r="H127" s="369"/>
      <c r="I127" s="369"/>
      <c r="J127" s="369"/>
      <c r="K127" s="369"/>
      <c r="L127" s="369"/>
      <c r="M127" s="369"/>
      <c r="N127" s="369"/>
      <c r="O127" s="370"/>
      <c r="P127" s="371"/>
      <c r="Q127" s="371"/>
      <c r="R127" s="371"/>
      <c r="S127" s="369"/>
      <c r="T127" s="369"/>
      <c r="U127" s="369"/>
      <c r="V127" s="372"/>
      <c r="W127" s="369"/>
    </row>
    <row r="128" spans="1:23" s="368" customFormat="1" x14ac:dyDescent="0.3">
      <c r="A128" s="369"/>
      <c r="B128" s="369"/>
      <c r="C128" s="369"/>
      <c r="E128" s="369"/>
      <c r="F128" s="369"/>
      <c r="G128" s="369"/>
      <c r="H128" s="369"/>
      <c r="I128" s="369"/>
      <c r="J128" s="369"/>
      <c r="K128" s="369"/>
      <c r="L128" s="369"/>
      <c r="M128" s="369"/>
      <c r="N128" s="369"/>
      <c r="O128" s="370"/>
      <c r="P128" s="371"/>
      <c r="Q128" s="371"/>
      <c r="R128" s="371"/>
      <c r="S128" s="369"/>
      <c r="T128" s="369"/>
      <c r="U128" s="369"/>
      <c r="V128" s="372"/>
      <c r="W128" s="369"/>
    </row>
    <row r="129" spans="1:25" s="368" customFormat="1" x14ac:dyDescent="0.3">
      <c r="A129" s="369"/>
      <c r="B129" s="369"/>
      <c r="C129" s="369"/>
      <c r="E129" s="369"/>
      <c r="F129" s="369"/>
      <c r="G129" s="369"/>
      <c r="H129" s="369"/>
      <c r="I129" s="369"/>
      <c r="J129" s="369"/>
      <c r="K129" s="369"/>
      <c r="L129" s="369"/>
      <c r="M129" s="369"/>
      <c r="N129" s="369"/>
      <c r="O129" s="370"/>
      <c r="P129" s="371"/>
      <c r="Q129" s="371"/>
      <c r="R129" s="371"/>
      <c r="S129" s="369"/>
      <c r="T129" s="369"/>
      <c r="U129" s="369"/>
      <c r="V129" s="372"/>
      <c r="W129" s="369"/>
    </row>
    <row r="130" spans="1:25" s="368" customFormat="1" x14ac:dyDescent="0.3">
      <c r="A130" s="369"/>
      <c r="B130" s="369"/>
      <c r="C130" s="369"/>
      <c r="E130" s="369"/>
      <c r="F130" s="369"/>
      <c r="G130" s="369"/>
      <c r="H130" s="369"/>
      <c r="I130" s="369"/>
      <c r="J130" s="369"/>
      <c r="K130" s="369"/>
      <c r="L130" s="369"/>
      <c r="M130" s="369"/>
      <c r="N130" s="369"/>
      <c r="O130" s="370"/>
      <c r="P130" s="371"/>
      <c r="Q130" s="371"/>
      <c r="R130" s="371"/>
      <c r="S130" s="369"/>
      <c r="T130" s="369"/>
      <c r="U130" s="369"/>
      <c r="V130" s="372"/>
      <c r="W130" s="369"/>
    </row>
    <row r="131" spans="1:25" s="368" customFormat="1" x14ac:dyDescent="0.3">
      <c r="A131" s="369"/>
      <c r="B131" s="369"/>
      <c r="C131" s="369"/>
      <c r="E131" s="369"/>
      <c r="F131" s="369"/>
      <c r="G131" s="369"/>
      <c r="H131" s="369"/>
      <c r="I131" s="369"/>
      <c r="J131" s="369"/>
      <c r="K131" s="369"/>
      <c r="L131" s="369"/>
      <c r="M131" s="369"/>
      <c r="N131" s="369"/>
      <c r="O131" s="370"/>
      <c r="P131" s="371"/>
      <c r="Q131" s="371"/>
      <c r="R131" s="371"/>
      <c r="S131" s="369"/>
      <c r="T131" s="369"/>
      <c r="U131" s="369"/>
      <c r="V131" s="372"/>
      <c r="W131" s="369"/>
    </row>
    <row r="132" spans="1:25" s="368" customFormat="1" x14ac:dyDescent="0.3">
      <c r="A132" s="369"/>
      <c r="B132" s="369"/>
      <c r="C132" s="369"/>
      <c r="E132" s="369"/>
      <c r="F132" s="369"/>
      <c r="G132" s="369"/>
      <c r="H132" s="369"/>
      <c r="I132" s="369"/>
      <c r="J132" s="369"/>
      <c r="K132" s="369"/>
      <c r="L132" s="369"/>
      <c r="M132" s="369"/>
      <c r="N132" s="369"/>
      <c r="O132" s="370"/>
      <c r="P132" s="371"/>
      <c r="Q132" s="371"/>
      <c r="R132" s="371"/>
      <c r="S132" s="369"/>
      <c r="T132" s="369"/>
      <c r="U132" s="369"/>
      <c r="V132" s="372"/>
      <c r="W132" s="369"/>
    </row>
    <row r="133" spans="1:25" s="368" customFormat="1" x14ac:dyDescent="0.3">
      <c r="A133" s="369"/>
      <c r="B133" s="369"/>
      <c r="C133" s="369"/>
      <c r="E133" s="369"/>
      <c r="F133" s="369"/>
      <c r="G133" s="369"/>
      <c r="H133" s="369"/>
      <c r="I133" s="369"/>
      <c r="J133" s="369"/>
      <c r="K133" s="369"/>
      <c r="L133" s="369"/>
      <c r="M133" s="369"/>
      <c r="N133" s="369"/>
      <c r="O133" s="370"/>
      <c r="P133" s="371"/>
      <c r="Q133" s="371"/>
      <c r="R133" s="371"/>
      <c r="S133" s="369"/>
      <c r="T133" s="369"/>
      <c r="U133" s="369"/>
      <c r="V133" s="372"/>
      <c r="W133" s="369"/>
    </row>
    <row r="134" spans="1:25" s="368" customFormat="1" x14ac:dyDescent="0.3">
      <c r="A134" s="369"/>
      <c r="B134" s="369"/>
      <c r="C134" s="369"/>
      <c r="E134" s="369"/>
      <c r="F134" s="369"/>
      <c r="G134" s="369"/>
      <c r="H134" s="369"/>
      <c r="I134" s="369"/>
      <c r="J134" s="369"/>
      <c r="K134" s="369"/>
      <c r="L134" s="369"/>
      <c r="M134" s="369"/>
      <c r="N134" s="369"/>
      <c r="O134" s="370"/>
      <c r="P134" s="371"/>
      <c r="Q134" s="371"/>
      <c r="R134" s="371"/>
      <c r="S134" s="369"/>
      <c r="T134" s="369"/>
      <c r="U134" s="369"/>
      <c r="V134" s="372"/>
      <c r="W134" s="369"/>
    </row>
    <row r="135" spans="1:25" s="368" customFormat="1" x14ac:dyDescent="0.3">
      <c r="A135" s="369"/>
      <c r="B135" s="369"/>
      <c r="C135" s="369"/>
      <c r="E135" s="369"/>
      <c r="F135" s="369"/>
      <c r="G135" s="369"/>
      <c r="H135" s="369"/>
      <c r="I135" s="369"/>
      <c r="J135" s="369"/>
      <c r="K135" s="369"/>
      <c r="L135" s="369"/>
      <c r="M135" s="369"/>
      <c r="N135" s="369"/>
      <c r="O135" s="370"/>
      <c r="P135" s="371"/>
      <c r="Q135" s="371"/>
      <c r="R135" s="371"/>
      <c r="S135" s="369"/>
      <c r="T135" s="369"/>
      <c r="U135" s="369"/>
      <c r="V135" s="372"/>
      <c r="W135" s="369"/>
    </row>
    <row r="139" spans="1:25" s="256" customFormat="1" ht="16.5" customHeight="1" x14ac:dyDescent="0.2">
      <c r="A139" s="287">
        <v>60</v>
      </c>
      <c r="B139" s="245"/>
      <c r="C139" s="246">
        <v>2022</v>
      </c>
      <c r="D139" s="269" t="s">
        <v>1273</v>
      </c>
      <c r="E139" s="292" t="s">
        <v>1274</v>
      </c>
      <c r="F139" s="242">
        <v>7</v>
      </c>
      <c r="G139" s="242"/>
      <c r="H139" s="242"/>
      <c r="I139" s="242"/>
      <c r="J139" s="242"/>
      <c r="K139" s="242"/>
      <c r="L139" s="242"/>
      <c r="M139" s="242"/>
      <c r="N139" s="242"/>
      <c r="O139" s="243">
        <f>SUM(F139:N139)/10</f>
        <v>0.7</v>
      </c>
      <c r="P139" s="242"/>
      <c r="Q139" s="242"/>
      <c r="R139" s="242"/>
      <c r="S139" s="277"/>
      <c r="T139" s="277"/>
      <c r="U139" s="252"/>
      <c r="V139" s="273"/>
      <c r="W139" s="305" t="s">
        <v>1788</v>
      </c>
      <c r="X139" s="374"/>
      <c r="Y139" s="357">
        <f>AVERAGE(F139:N139)</f>
        <v>7</v>
      </c>
    </row>
  </sheetData>
  <autoFilter ref="O6:X92">
    <filterColumn colId="1" showButton="0"/>
    <filterColumn colId="2" showButton="0"/>
    <filterColumn colId="3" showButton="0"/>
  </autoFilter>
  <mergeCells count="15">
    <mergeCell ref="E1:Y1"/>
    <mergeCell ref="E2:Y2"/>
    <mergeCell ref="E3:Y3"/>
    <mergeCell ref="E4:Y4"/>
    <mergeCell ref="A6:A7"/>
    <mergeCell ref="D6:D7"/>
    <mergeCell ref="B6:C7"/>
    <mergeCell ref="P6:S6"/>
    <mergeCell ref="E6:E7"/>
    <mergeCell ref="O6:O7"/>
    <mergeCell ref="T6:T7"/>
    <mergeCell ref="W6:W7"/>
    <mergeCell ref="U6:U7"/>
    <mergeCell ref="V6:V7"/>
    <mergeCell ref="F6:N6"/>
  </mergeCells>
  <phoneticPr fontId="0" type="noConversion"/>
  <printOptions horizontalCentered="1"/>
  <pageMargins left="0.63" right="0.16" top="0.27" bottom="0.31" header="0.23" footer="0.27"/>
  <pageSetup scale="98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FF00"/>
  </sheetPr>
  <dimension ref="A1:AG179"/>
  <sheetViews>
    <sheetView topLeftCell="A128" zoomScale="120" zoomScaleNormal="120" workbookViewId="0">
      <selection activeCell="AF128" sqref="AF1:AF1048576"/>
    </sheetView>
  </sheetViews>
  <sheetFormatPr defaultRowHeight="18.75" x14ac:dyDescent="0.3"/>
  <cols>
    <col min="1" max="1" width="2.8984375" style="1" customWidth="1"/>
    <col min="2" max="3" width="3.796875" style="1" customWidth="1"/>
    <col min="4" max="4" width="14.59765625" customWidth="1"/>
    <col min="5" max="5" width="8" style="1" customWidth="1"/>
    <col min="6" max="8" width="2.69921875" style="1" customWidth="1"/>
    <col min="9" max="9" width="2.69921875" style="36" customWidth="1"/>
    <col min="10" max="21" width="2.69921875" style="1" customWidth="1"/>
    <col min="22" max="22" width="3.69921875" style="370" customWidth="1"/>
    <col min="23" max="25" width="2.19921875" style="22" hidden="1" customWidth="1"/>
    <col min="26" max="27" width="3.3984375" style="1" hidden="1" customWidth="1"/>
    <col min="28" max="28" width="2.8984375" style="40" customWidth="1"/>
    <col min="29" max="29" width="4.3984375" style="15" hidden="1" customWidth="1"/>
    <col min="30" max="30" width="20.09765625" style="1" customWidth="1"/>
    <col min="31" max="31" width="1.5" customWidth="1"/>
    <col min="32" max="32" width="5.59765625" customWidth="1"/>
  </cols>
  <sheetData>
    <row r="1" spans="1:32" s="780" customFormat="1" ht="15.75" x14ac:dyDescent="0.25">
      <c r="B1" s="991"/>
      <c r="C1" s="991"/>
      <c r="D1" s="991"/>
      <c r="E1" s="1075" t="s">
        <v>2237</v>
      </c>
      <c r="F1" s="1075"/>
      <c r="G1" s="1075"/>
      <c r="H1" s="1075"/>
      <c r="I1" s="1075"/>
      <c r="J1" s="1075"/>
      <c r="K1" s="1075"/>
      <c r="L1" s="1075"/>
      <c r="M1" s="1075"/>
      <c r="N1" s="1075"/>
      <c r="O1" s="1075"/>
      <c r="P1" s="1075"/>
      <c r="Q1" s="1075"/>
      <c r="R1" s="1075"/>
      <c r="S1" s="1075"/>
      <c r="T1" s="1075"/>
      <c r="U1" s="1075"/>
      <c r="V1" s="1075"/>
      <c r="W1" s="1075"/>
      <c r="X1" s="1075"/>
      <c r="Y1" s="1075"/>
      <c r="Z1" s="1075"/>
      <c r="AA1" s="1075"/>
      <c r="AB1" s="1075"/>
      <c r="AC1" s="1075"/>
      <c r="AD1" s="1075"/>
    </row>
    <row r="2" spans="1:32" s="780" customFormat="1" ht="15.75" hidden="1" x14ac:dyDescent="0.25">
      <c r="B2" s="991"/>
      <c r="C2" s="991"/>
      <c r="D2" s="991"/>
      <c r="E2" s="1071" t="s">
        <v>105</v>
      </c>
      <c r="F2" s="1071"/>
      <c r="G2" s="1071"/>
      <c r="H2" s="1071"/>
      <c r="I2" s="1071"/>
      <c r="J2" s="1071"/>
      <c r="K2" s="1071"/>
      <c r="L2" s="1071"/>
      <c r="M2" s="1071"/>
      <c r="N2" s="1071"/>
      <c r="O2" s="1071"/>
      <c r="P2" s="1071"/>
      <c r="Q2" s="1071"/>
      <c r="R2" s="1071"/>
      <c r="S2" s="1071"/>
      <c r="T2" s="1071"/>
      <c r="U2" s="1071"/>
      <c r="V2" s="1071"/>
      <c r="W2" s="1071"/>
      <c r="X2" s="1071"/>
      <c r="Y2" s="1071"/>
      <c r="Z2" s="1071"/>
      <c r="AA2" s="1071"/>
      <c r="AB2" s="1071"/>
      <c r="AC2" s="1071"/>
      <c r="AD2" s="1071"/>
    </row>
    <row r="3" spans="1:32" s="780" customFormat="1" ht="15.75" x14ac:dyDescent="0.25">
      <c r="B3" s="991"/>
      <c r="C3" s="991"/>
      <c r="D3" s="991"/>
      <c r="E3" s="1071" t="s">
        <v>2298</v>
      </c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1071"/>
      <c r="W3" s="1071"/>
      <c r="X3" s="1071"/>
      <c r="Y3" s="1071"/>
      <c r="Z3" s="1071"/>
      <c r="AA3" s="1071"/>
      <c r="AB3" s="1071"/>
      <c r="AC3" s="1071"/>
      <c r="AD3" s="1071"/>
    </row>
    <row r="4" spans="1:32" s="780" customFormat="1" ht="15.75" hidden="1" x14ac:dyDescent="0.25">
      <c r="B4" s="992"/>
      <c r="C4" s="992"/>
      <c r="D4" s="992"/>
      <c r="E4" s="1076" t="s">
        <v>32</v>
      </c>
      <c r="F4" s="1076"/>
      <c r="G4" s="1076"/>
      <c r="H4" s="1076"/>
      <c r="I4" s="1076"/>
      <c r="J4" s="1076"/>
      <c r="K4" s="1076"/>
      <c r="L4" s="1076"/>
      <c r="M4" s="1076"/>
      <c r="N4" s="1076"/>
      <c r="O4" s="1076"/>
      <c r="P4" s="1076"/>
      <c r="Q4" s="1076"/>
      <c r="R4" s="1076"/>
      <c r="S4" s="1076"/>
      <c r="T4" s="1076"/>
      <c r="U4" s="1076"/>
      <c r="V4" s="1076"/>
      <c r="W4" s="1076"/>
      <c r="X4" s="1076"/>
      <c r="Y4" s="1076"/>
      <c r="Z4" s="1076"/>
      <c r="AA4" s="1076"/>
      <c r="AB4" s="1076"/>
      <c r="AC4" s="1076"/>
      <c r="AD4" s="1076"/>
    </row>
    <row r="5" spans="1:32" s="780" customFormat="1" ht="15.75" customHeight="1" x14ac:dyDescent="0.25">
      <c r="B5" s="991"/>
      <c r="C5" s="991"/>
      <c r="D5" s="991"/>
      <c r="E5" s="1071" t="s">
        <v>2299</v>
      </c>
      <c r="F5" s="1071"/>
      <c r="G5" s="1071"/>
      <c r="H5" s="1071"/>
      <c r="I5" s="1071"/>
      <c r="J5" s="1071"/>
      <c r="K5" s="1071"/>
      <c r="L5" s="1071"/>
      <c r="M5" s="1071"/>
      <c r="N5" s="1071"/>
      <c r="O5" s="1071"/>
      <c r="P5" s="1071"/>
      <c r="Q5" s="1071"/>
      <c r="R5" s="1071"/>
      <c r="S5" s="1071"/>
      <c r="T5" s="1071"/>
      <c r="U5" s="1071"/>
      <c r="V5" s="1071"/>
      <c r="W5" s="1071"/>
      <c r="X5" s="1071"/>
      <c r="Y5" s="1071"/>
      <c r="Z5" s="1071"/>
      <c r="AA5" s="1071"/>
      <c r="AB5" s="1071"/>
      <c r="AC5" s="1071"/>
      <c r="AD5" s="1071"/>
    </row>
    <row r="6" spans="1:32" s="368" customFormat="1" ht="10.5" customHeight="1" thickBot="1" x14ac:dyDescent="0.3">
      <c r="A6" s="596"/>
      <c r="B6" s="596"/>
      <c r="C6" s="596"/>
      <c r="D6" s="597"/>
      <c r="E6" s="597"/>
      <c r="F6" s="597"/>
      <c r="G6" s="597"/>
      <c r="H6" s="597"/>
      <c r="I6" s="597"/>
      <c r="J6" s="597"/>
      <c r="K6" s="597"/>
      <c r="L6" s="597"/>
      <c r="M6" s="597"/>
      <c r="N6" s="597"/>
      <c r="O6" s="597"/>
      <c r="P6" s="597"/>
      <c r="Q6" s="597"/>
      <c r="R6" s="597"/>
      <c r="S6" s="597"/>
      <c r="T6" s="597"/>
      <c r="U6" s="597"/>
      <c r="V6" s="597"/>
      <c r="W6" s="993"/>
      <c r="X6" s="993"/>
      <c r="Y6" s="993"/>
      <c r="Z6" s="597"/>
      <c r="AA6" s="597"/>
      <c r="AB6" s="597"/>
      <c r="AC6" s="597"/>
      <c r="AD6" s="597"/>
    </row>
    <row r="7" spans="1:32" s="780" customFormat="1" ht="18.75" customHeight="1" thickTop="1" x14ac:dyDescent="0.25">
      <c r="A7" s="1056" t="s">
        <v>91</v>
      </c>
      <c r="B7" s="1060" t="s">
        <v>2118</v>
      </c>
      <c r="C7" s="1061"/>
      <c r="D7" s="1058" t="s">
        <v>2119</v>
      </c>
      <c r="E7" s="1058" t="s">
        <v>2120</v>
      </c>
      <c r="F7" s="1053" t="s">
        <v>2300</v>
      </c>
      <c r="G7" s="1054"/>
      <c r="H7" s="1054"/>
      <c r="I7" s="1054"/>
      <c r="J7" s="1054"/>
      <c r="K7" s="1054"/>
      <c r="L7" s="1054"/>
      <c r="M7" s="1054"/>
      <c r="N7" s="1054"/>
      <c r="O7" s="1054"/>
      <c r="P7" s="1054"/>
      <c r="Q7" s="1054"/>
      <c r="R7" s="1054"/>
      <c r="S7" s="1054"/>
      <c r="T7" s="1054"/>
      <c r="U7" s="1054"/>
      <c r="V7" s="1069" t="s">
        <v>2107</v>
      </c>
      <c r="W7" s="1053" t="s">
        <v>104</v>
      </c>
      <c r="X7" s="1054"/>
      <c r="Y7" s="1054"/>
      <c r="Z7" s="1055"/>
      <c r="AA7" s="1048" t="s">
        <v>99</v>
      </c>
      <c r="AB7" s="1048" t="s">
        <v>2108</v>
      </c>
      <c r="AC7" s="1077" t="s">
        <v>103</v>
      </c>
      <c r="AD7" s="1067" t="s">
        <v>2121</v>
      </c>
      <c r="AE7" s="780">
        <v>18</v>
      </c>
    </row>
    <row r="8" spans="1:32" s="780" customFormat="1" ht="173.25" customHeight="1" x14ac:dyDescent="0.25">
      <c r="A8" s="1057"/>
      <c r="B8" s="1062"/>
      <c r="C8" s="1063"/>
      <c r="D8" s="1059"/>
      <c r="E8" s="1059"/>
      <c r="F8" s="994" t="s">
        <v>2094</v>
      </c>
      <c r="G8" s="995" t="s">
        <v>2095</v>
      </c>
      <c r="H8" s="996" t="s">
        <v>2096</v>
      </c>
      <c r="I8" s="994" t="s">
        <v>2097</v>
      </c>
      <c r="J8" s="994" t="s">
        <v>2098</v>
      </c>
      <c r="K8" s="994" t="s">
        <v>2089</v>
      </c>
      <c r="L8" s="996" t="s">
        <v>2099</v>
      </c>
      <c r="M8" s="996" t="s">
        <v>2100</v>
      </c>
      <c r="N8" s="996" t="s">
        <v>2101</v>
      </c>
      <c r="O8" s="996" t="s">
        <v>2102</v>
      </c>
      <c r="P8" s="997" t="s">
        <v>2103</v>
      </c>
      <c r="Q8" s="994" t="s">
        <v>2105</v>
      </c>
      <c r="R8" s="994" t="s">
        <v>2104</v>
      </c>
      <c r="S8" s="994" t="s">
        <v>2090</v>
      </c>
      <c r="T8" s="994" t="s">
        <v>2106</v>
      </c>
      <c r="U8" s="994" t="s">
        <v>2091</v>
      </c>
      <c r="V8" s="1074"/>
      <c r="W8" s="834" t="s">
        <v>108</v>
      </c>
      <c r="X8" s="834" t="s">
        <v>97</v>
      </c>
      <c r="Y8" s="834" t="s">
        <v>96</v>
      </c>
      <c r="Z8" s="835" t="s">
        <v>98</v>
      </c>
      <c r="AA8" s="1073"/>
      <c r="AB8" s="1073"/>
      <c r="AC8" s="1077"/>
      <c r="AD8" s="1068"/>
      <c r="AE8" s="780" t="s">
        <v>94</v>
      </c>
    </row>
    <row r="9" spans="1:32" s="780" customFormat="1" ht="18" customHeight="1" x14ac:dyDescent="0.25">
      <c r="A9" s="747">
        <v>1</v>
      </c>
      <c r="B9" s="753" t="s">
        <v>1808</v>
      </c>
      <c r="C9" s="748">
        <v>2026</v>
      </c>
      <c r="D9" s="758" t="s">
        <v>2742</v>
      </c>
      <c r="E9" s="687" t="s">
        <v>2621</v>
      </c>
      <c r="F9" s="705"/>
      <c r="G9" s="706"/>
      <c r="H9" s="706"/>
      <c r="I9" s="706"/>
      <c r="J9" s="705"/>
      <c r="K9" s="705"/>
      <c r="L9" s="705"/>
      <c r="M9" s="705"/>
      <c r="N9" s="705"/>
      <c r="O9" s="705"/>
      <c r="P9" s="705"/>
      <c r="Q9" s="705"/>
      <c r="R9" s="706"/>
      <c r="S9" s="706"/>
      <c r="T9" s="706"/>
      <c r="U9" s="706"/>
      <c r="V9" s="776">
        <f>SUM(F9:U9)/16</f>
        <v>0</v>
      </c>
      <c r="W9" s="777"/>
      <c r="X9" s="777"/>
      <c r="Y9" s="777"/>
      <c r="Z9" s="776">
        <f t="shared" ref="Z9:Z84" si="0">SUM(W9:Y9)/3</f>
        <v>0</v>
      </c>
      <c r="AA9" s="776">
        <f t="shared" ref="AA9:AA84" si="1">SUM(V9+Z9)/2</f>
        <v>0</v>
      </c>
      <c r="AB9" s="778"/>
      <c r="AC9" s="779"/>
      <c r="AD9" s="693" t="s">
        <v>2966</v>
      </c>
      <c r="AF9" s="781" t="e">
        <f t="shared" ref="AF9:AF139" si="2">AVERAGE(F9:U9)</f>
        <v>#DIV/0!</v>
      </c>
    </row>
    <row r="10" spans="1:32" s="784" customFormat="1" ht="18" customHeight="1" x14ac:dyDescent="0.25">
      <c r="A10" s="749">
        <v>2</v>
      </c>
      <c r="B10" s="750"/>
      <c r="C10" s="751">
        <v>2026</v>
      </c>
      <c r="D10" s="688" t="s">
        <v>2743</v>
      </c>
      <c r="E10" s="689" t="s">
        <v>2744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7"/>
      <c r="R10" s="707"/>
      <c r="S10" s="707"/>
      <c r="T10" s="707"/>
      <c r="U10" s="707"/>
      <c r="V10" s="782">
        <f>SUM(F10:U10)/16</f>
        <v>0</v>
      </c>
      <c r="W10" s="707"/>
      <c r="X10" s="707"/>
      <c r="Y10" s="707"/>
      <c r="Z10" s="782">
        <f t="shared" si="0"/>
        <v>0</v>
      </c>
      <c r="AA10" s="782">
        <f t="shared" si="1"/>
        <v>0</v>
      </c>
      <c r="AB10" s="778"/>
      <c r="AC10" s="783"/>
      <c r="AD10" s="692" t="s">
        <v>2967</v>
      </c>
      <c r="AE10" s="780"/>
      <c r="AF10" s="781" t="e">
        <f t="shared" si="2"/>
        <v>#DIV/0!</v>
      </c>
    </row>
    <row r="11" spans="1:32" s="784" customFormat="1" ht="18" customHeight="1" x14ac:dyDescent="0.25">
      <c r="A11" s="749">
        <v>3</v>
      </c>
      <c r="B11" s="750"/>
      <c r="C11" s="751">
        <v>2026</v>
      </c>
      <c r="D11" s="688" t="s">
        <v>2745</v>
      </c>
      <c r="E11" s="689" t="s">
        <v>2746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07"/>
      <c r="R11" s="707"/>
      <c r="S11" s="707"/>
      <c r="T11" s="707"/>
      <c r="U11" s="707"/>
      <c r="V11" s="782">
        <f t="shared" ref="V11:V74" si="3">SUM(F11:U11)/16</f>
        <v>0</v>
      </c>
      <c r="W11" s="707"/>
      <c r="X11" s="707"/>
      <c r="Y11" s="707"/>
      <c r="Z11" s="782">
        <f t="shared" si="0"/>
        <v>0</v>
      </c>
      <c r="AA11" s="782">
        <f t="shared" si="1"/>
        <v>0</v>
      </c>
      <c r="AB11" s="778"/>
      <c r="AC11" s="783"/>
      <c r="AD11" s="692" t="s">
        <v>2968</v>
      </c>
      <c r="AE11" s="780"/>
      <c r="AF11" s="781" t="e">
        <f t="shared" si="2"/>
        <v>#DIV/0!</v>
      </c>
    </row>
    <row r="12" spans="1:32" s="784" customFormat="1" ht="18" customHeight="1" x14ac:dyDescent="0.25">
      <c r="A12" s="749">
        <v>4</v>
      </c>
      <c r="B12" s="750"/>
      <c r="C12" s="751">
        <v>2026</v>
      </c>
      <c r="D12" s="688" t="s">
        <v>2747</v>
      </c>
      <c r="E12" s="689" t="s">
        <v>2748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07"/>
      <c r="R12" s="707"/>
      <c r="S12" s="707"/>
      <c r="T12" s="707"/>
      <c r="U12" s="707"/>
      <c r="V12" s="782">
        <f t="shared" si="3"/>
        <v>0</v>
      </c>
      <c r="W12" s="707"/>
      <c r="X12" s="707"/>
      <c r="Y12" s="707"/>
      <c r="Z12" s="782">
        <f t="shared" si="0"/>
        <v>0</v>
      </c>
      <c r="AA12" s="782">
        <f t="shared" si="1"/>
        <v>0</v>
      </c>
      <c r="AB12" s="778"/>
      <c r="AC12" s="783"/>
      <c r="AD12" s="692" t="s">
        <v>2969</v>
      </c>
      <c r="AE12" s="780"/>
      <c r="AF12" s="781" t="e">
        <f t="shared" si="2"/>
        <v>#DIV/0!</v>
      </c>
    </row>
    <row r="13" spans="1:32" s="784" customFormat="1" ht="18" customHeight="1" x14ac:dyDescent="0.25">
      <c r="A13" s="749">
        <v>5</v>
      </c>
      <c r="B13" s="750"/>
      <c r="C13" s="751">
        <v>2026</v>
      </c>
      <c r="D13" s="688" t="s">
        <v>2749</v>
      </c>
      <c r="E13" s="689" t="s">
        <v>2750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07"/>
      <c r="R13" s="707"/>
      <c r="S13" s="707"/>
      <c r="T13" s="707"/>
      <c r="U13" s="707"/>
      <c r="V13" s="782">
        <f t="shared" si="3"/>
        <v>0</v>
      </c>
      <c r="W13" s="707"/>
      <c r="X13" s="707"/>
      <c r="Y13" s="707"/>
      <c r="Z13" s="782">
        <f t="shared" si="0"/>
        <v>0</v>
      </c>
      <c r="AA13" s="782">
        <f t="shared" si="1"/>
        <v>0</v>
      </c>
      <c r="AB13" s="778"/>
      <c r="AC13" s="783"/>
      <c r="AD13" s="692" t="s">
        <v>2516</v>
      </c>
      <c r="AE13" s="780"/>
      <c r="AF13" s="781" t="e">
        <f t="shared" si="2"/>
        <v>#DIV/0!</v>
      </c>
    </row>
    <row r="14" spans="1:32" s="784" customFormat="1" ht="18" customHeight="1" x14ac:dyDescent="0.25">
      <c r="A14" s="749">
        <v>6</v>
      </c>
      <c r="B14" s="750"/>
      <c r="C14" s="751">
        <v>2026</v>
      </c>
      <c r="D14" s="688" t="s">
        <v>2751</v>
      </c>
      <c r="E14" s="689" t="s">
        <v>2752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07"/>
      <c r="S14" s="707"/>
      <c r="T14" s="707"/>
      <c r="U14" s="707"/>
      <c r="V14" s="782">
        <f t="shared" si="3"/>
        <v>0</v>
      </c>
      <c r="W14" s="707"/>
      <c r="X14" s="707"/>
      <c r="Y14" s="707"/>
      <c r="Z14" s="782"/>
      <c r="AA14" s="782"/>
      <c r="AB14" s="778"/>
      <c r="AC14" s="783"/>
      <c r="AD14" s="692" t="s">
        <v>2970</v>
      </c>
      <c r="AE14" s="780"/>
      <c r="AF14" s="781" t="e">
        <f t="shared" si="2"/>
        <v>#DIV/0!</v>
      </c>
    </row>
    <row r="15" spans="1:32" s="784" customFormat="1" ht="18" customHeight="1" x14ac:dyDescent="0.25">
      <c r="A15" s="749">
        <v>7</v>
      </c>
      <c r="B15" s="750"/>
      <c r="C15" s="751">
        <v>2026</v>
      </c>
      <c r="D15" s="688" t="s">
        <v>2753</v>
      </c>
      <c r="E15" s="689" t="s">
        <v>2754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07"/>
      <c r="R15" s="707"/>
      <c r="S15" s="707"/>
      <c r="T15" s="707"/>
      <c r="U15" s="707"/>
      <c r="V15" s="782">
        <f t="shared" si="3"/>
        <v>0</v>
      </c>
      <c r="W15" s="707"/>
      <c r="X15" s="707"/>
      <c r="Y15" s="707"/>
      <c r="Z15" s="782"/>
      <c r="AA15" s="782"/>
      <c r="AB15" s="778"/>
      <c r="AC15" s="783"/>
      <c r="AD15" s="692" t="s">
        <v>2966</v>
      </c>
      <c r="AE15" s="780"/>
      <c r="AF15" s="781" t="e">
        <f t="shared" si="2"/>
        <v>#DIV/0!</v>
      </c>
    </row>
    <row r="16" spans="1:32" s="784" customFormat="1" ht="18" customHeight="1" x14ac:dyDescent="0.25">
      <c r="A16" s="749">
        <v>8</v>
      </c>
      <c r="B16" s="750"/>
      <c r="C16" s="751">
        <v>2026</v>
      </c>
      <c r="D16" s="688" t="s">
        <v>2755</v>
      </c>
      <c r="E16" s="689" t="s">
        <v>2756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07"/>
      <c r="R16" s="707"/>
      <c r="S16" s="707"/>
      <c r="T16" s="707"/>
      <c r="U16" s="707"/>
      <c r="V16" s="782">
        <f t="shared" si="3"/>
        <v>0</v>
      </c>
      <c r="W16" s="707"/>
      <c r="X16" s="707"/>
      <c r="Y16" s="707"/>
      <c r="Z16" s="782"/>
      <c r="AA16" s="782"/>
      <c r="AB16" s="778"/>
      <c r="AC16" s="783"/>
      <c r="AD16" s="692" t="s">
        <v>2971</v>
      </c>
      <c r="AE16" s="780"/>
      <c r="AF16" s="781" t="e">
        <f t="shared" si="2"/>
        <v>#DIV/0!</v>
      </c>
    </row>
    <row r="17" spans="1:32" s="784" customFormat="1" ht="18" customHeight="1" x14ac:dyDescent="0.25">
      <c r="A17" s="749">
        <v>9</v>
      </c>
      <c r="B17" s="750"/>
      <c r="C17" s="751">
        <v>2026</v>
      </c>
      <c r="D17" s="688" t="s">
        <v>2757</v>
      </c>
      <c r="E17" s="689" t="s">
        <v>2758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07"/>
      <c r="S17" s="707"/>
      <c r="T17" s="707"/>
      <c r="U17" s="707"/>
      <c r="V17" s="782">
        <f t="shared" si="3"/>
        <v>0</v>
      </c>
      <c r="W17" s="707"/>
      <c r="X17" s="707"/>
      <c r="Y17" s="707"/>
      <c r="Z17" s="782"/>
      <c r="AA17" s="782"/>
      <c r="AB17" s="778"/>
      <c r="AC17" s="783"/>
      <c r="AD17" s="692" t="s">
        <v>2972</v>
      </c>
      <c r="AE17" s="780"/>
      <c r="AF17" s="781" t="e">
        <f t="shared" si="2"/>
        <v>#DIV/0!</v>
      </c>
    </row>
    <row r="18" spans="1:32" s="784" customFormat="1" ht="18" customHeight="1" x14ac:dyDescent="0.25">
      <c r="A18" s="749">
        <v>10</v>
      </c>
      <c r="B18" s="750"/>
      <c r="C18" s="751">
        <v>2026</v>
      </c>
      <c r="D18" s="688" t="s">
        <v>2759</v>
      </c>
      <c r="E18" s="689" t="s">
        <v>2760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07"/>
      <c r="R18" s="707"/>
      <c r="S18" s="707"/>
      <c r="T18" s="707"/>
      <c r="U18" s="707"/>
      <c r="V18" s="782">
        <f t="shared" si="3"/>
        <v>0</v>
      </c>
      <c r="W18" s="707"/>
      <c r="X18" s="707"/>
      <c r="Y18" s="707"/>
      <c r="Z18" s="782"/>
      <c r="AA18" s="782"/>
      <c r="AB18" s="778"/>
      <c r="AC18" s="783"/>
      <c r="AD18" s="692" t="s">
        <v>2973</v>
      </c>
      <c r="AE18" s="780"/>
      <c r="AF18" s="781" t="e">
        <f t="shared" si="2"/>
        <v>#DIV/0!</v>
      </c>
    </row>
    <row r="19" spans="1:32" s="784" customFormat="1" ht="18" customHeight="1" x14ac:dyDescent="0.25">
      <c r="A19" s="749">
        <v>11</v>
      </c>
      <c r="B19" s="750"/>
      <c r="C19" s="751">
        <v>2026</v>
      </c>
      <c r="D19" s="688" t="s">
        <v>2761</v>
      </c>
      <c r="E19" s="689" t="s">
        <v>2762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07"/>
      <c r="S19" s="707"/>
      <c r="T19" s="707"/>
      <c r="U19" s="707"/>
      <c r="V19" s="782">
        <f t="shared" si="3"/>
        <v>0</v>
      </c>
      <c r="W19" s="707"/>
      <c r="X19" s="707"/>
      <c r="Y19" s="707"/>
      <c r="Z19" s="782"/>
      <c r="AA19" s="782"/>
      <c r="AB19" s="778"/>
      <c r="AC19" s="783"/>
      <c r="AD19" s="692" t="s">
        <v>2974</v>
      </c>
      <c r="AE19" s="780"/>
      <c r="AF19" s="781" t="e">
        <f t="shared" si="2"/>
        <v>#DIV/0!</v>
      </c>
    </row>
    <row r="20" spans="1:32" s="784" customFormat="1" ht="18" customHeight="1" x14ac:dyDescent="0.25">
      <c r="A20" s="749">
        <v>12</v>
      </c>
      <c r="B20" s="750"/>
      <c r="C20" s="751">
        <v>2026</v>
      </c>
      <c r="D20" s="688" t="s">
        <v>2763</v>
      </c>
      <c r="E20" s="689" t="s">
        <v>2764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82">
        <f t="shared" si="3"/>
        <v>0</v>
      </c>
      <c r="W20" s="707"/>
      <c r="X20" s="707"/>
      <c r="Y20" s="707"/>
      <c r="Z20" s="782"/>
      <c r="AA20" s="782"/>
      <c r="AB20" s="778"/>
      <c r="AC20" s="783"/>
      <c r="AD20" s="692" t="s">
        <v>2975</v>
      </c>
      <c r="AE20" s="780"/>
      <c r="AF20" s="781" t="e">
        <f t="shared" si="2"/>
        <v>#DIV/0!</v>
      </c>
    </row>
    <row r="21" spans="1:32" s="784" customFormat="1" ht="18" customHeight="1" x14ac:dyDescent="0.25">
      <c r="A21" s="749">
        <v>13</v>
      </c>
      <c r="B21" s="750"/>
      <c r="C21" s="751">
        <v>2026</v>
      </c>
      <c r="D21" s="688" t="s">
        <v>2765</v>
      </c>
      <c r="E21" s="689" t="s">
        <v>2766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07"/>
      <c r="R21" s="707"/>
      <c r="S21" s="707"/>
      <c r="T21" s="707"/>
      <c r="U21" s="707"/>
      <c r="V21" s="782">
        <f t="shared" si="3"/>
        <v>0</v>
      </c>
      <c r="W21" s="707"/>
      <c r="X21" s="707"/>
      <c r="Y21" s="707"/>
      <c r="Z21" s="782"/>
      <c r="AA21" s="782"/>
      <c r="AB21" s="778"/>
      <c r="AC21" s="783"/>
      <c r="AD21" s="692" t="s">
        <v>2976</v>
      </c>
      <c r="AE21" s="780"/>
      <c r="AF21" s="781" t="e">
        <f t="shared" si="2"/>
        <v>#DIV/0!</v>
      </c>
    </row>
    <row r="22" spans="1:32" s="784" customFormat="1" ht="18" customHeight="1" x14ac:dyDescent="0.25">
      <c r="A22" s="749">
        <v>14</v>
      </c>
      <c r="B22" s="750"/>
      <c r="C22" s="751">
        <v>2026</v>
      </c>
      <c r="D22" s="688" t="s">
        <v>2767</v>
      </c>
      <c r="E22" s="689" t="s">
        <v>2768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07"/>
      <c r="R22" s="707"/>
      <c r="S22" s="707"/>
      <c r="T22" s="707"/>
      <c r="U22" s="707"/>
      <c r="V22" s="782">
        <f t="shared" si="3"/>
        <v>0</v>
      </c>
      <c r="W22" s="707"/>
      <c r="X22" s="707"/>
      <c r="Y22" s="707"/>
      <c r="Z22" s="782"/>
      <c r="AA22" s="782"/>
      <c r="AB22" s="778"/>
      <c r="AC22" s="783"/>
      <c r="AD22" s="692" t="s">
        <v>2711</v>
      </c>
      <c r="AE22" s="780"/>
      <c r="AF22" s="781" t="e">
        <f t="shared" si="2"/>
        <v>#DIV/0!</v>
      </c>
    </row>
    <row r="23" spans="1:32" s="784" customFormat="1" ht="18" customHeight="1" x14ac:dyDescent="0.25">
      <c r="A23" s="749">
        <v>15</v>
      </c>
      <c r="B23" s="750"/>
      <c r="C23" s="751">
        <v>2026</v>
      </c>
      <c r="D23" s="688" t="s">
        <v>2769</v>
      </c>
      <c r="E23" s="689" t="s">
        <v>2635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07"/>
      <c r="R23" s="707"/>
      <c r="S23" s="707"/>
      <c r="T23" s="707"/>
      <c r="U23" s="707"/>
      <c r="V23" s="782">
        <f t="shared" si="3"/>
        <v>0</v>
      </c>
      <c r="W23" s="707"/>
      <c r="X23" s="707"/>
      <c r="Y23" s="707"/>
      <c r="Z23" s="782"/>
      <c r="AA23" s="782"/>
      <c r="AB23" s="778"/>
      <c r="AC23" s="783"/>
      <c r="AD23" s="692" t="s">
        <v>2977</v>
      </c>
      <c r="AE23" s="780"/>
      <c r="AF23" s="781" t="e">
        <f t="shared" si="2"/>
        <v>#DIV/0!</v>
      </c>
    </row>
    <row r="24" spans="1:32" s="784" customFormat="1" ht="18" customHeight="1" x14ac:dyDescent="0.25">
      <c r="A24" s="749">
        <v>16</v>
      </c>
      <c r="B24" s="750"/>
      <c r="C24" s="751">
        <v>2026</v>
      </c>
      <c r="D24" s="688" t="s">
        <v>2770</v>
      </c>
      <c r="E24" s="689" t="s">
        <v>2771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07"/>
      <c r="R24" s="707"/>
      <c r="S24" s="707"/>
      <c r="T24" s="707"/>
      <c r="U24" s="707"/>
      <c r="V24" s="782">
        <f t="shared" si="3"/>
        <v>0</v>
      </c>
      <c r="W24" s="707"/>
      <c r="X24" s="707"/>
      <c r="Y24" s="707"/>
      <c r="Z24" s="782"/>
      <c r="AA24" s="782"/>
      <c r="AB24" s="778"/>
      <c r="AC24" s="783"/>
      <c r="AD24" s="692" t="s">
        <v>2714</v>
      </c>
      <c r="AE24" s="780"/>
      <c r="AF24" s="781" t="e">
        <f t="shared" si="2"/>
        <v>#DIV/0!</v>
      </c>
    </row>
    <row r="25" spans="1:32" s="784" customFormat="1" ht="18" customHeight="1" x14ac:dyDescent="0.25">
      <c r="A25" s="749">
        <v>17</v>
      </c>
      <c r="B25" s="750"/>
      <c r="C25" s="751">
        <v>2026</v>
      </c>
      <c r="D25" s="688" t="s">
        <v>2772</v>
      </c>
      <c r="E25" s="689" t="s">
        <v>2773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07"/>
      <c r="R25" s="707"/>
      <c r="S25" s="707"/>
      <c r="T25" s="707"/>
      <c r="U25" s="707"/>
      <c r="V25" s="782">
        <f t="shared" si="3"/>
        <v>0</v>
      </c>
      <c r="W25" s="707"/>
      <c r="X25" s="707"/>
      <c r="Y25" s="707"/>
      <c r="Z25" s="782"/>
      <c r="AA25" s="782"/>
      <c r="AB25" s="778"/>
      <c r="AC25" s="783"/>
      <c r="AD25" s="692" t="s">
        <v>2978</v>
      </c>
      <c r="AE25" s="780"/>
      <c r="AF25" s="781" t="e">
        <f t="shared" si="2"/>
        <v>#DIV/0!</v>
      </c>
    </row>
    <row r="26" spans="1:32" s="784" customFormat="1" ht="18" customHeight="1" x14ac:dyDescent="0.25">
      <c r="A26" s="749">
        <v>18</v>
      </c>
      <c r="B26" s="750"/>
      <c r="C26" s="751">
        <v>2026</v>
      </c>
      <c r="D26" s="688" t="s">
        <v>2774</v>
      </c>
      <c r="E26" s="689" t="s">
        <v>2775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07"/>
      <c r="R26" s="707"/>
      <c r="S26" s="707"/>
      <c r="T26" s="707"/>
      <c r="U26" s="707"/>
      <c r="V26" s="782">
        <f t="shared" si="3"/>
        <v>0</v>
      </c>
      <c r="W26" s="707"/>
      <c r="X26" s="707"/>
      <c r="Y26" s="707"/>
      <c r="Z26" s="782"/>
      <c r="AA26" s="782"/>
      <c r="AB26" s="778"/>
      <c r="AC26" s="783"/>
      <c r="AD26" s="692" t="s">
        <v>2979</v>
      </c>
      <c r="AE26" s="780"/>
      <c r="AF26" s="781" t="e">
        <f t="shared" si="2"/>
        <v>#DIV/0!</v>
      </c>
    </row>
    <row r="27" spans="1:32" s="784" customFormat="1" ht="18" customHeight="1" x14ac:dyDescent="0.25">
      <c r="A27" s="749">
        <v>19</v>
      </c>
      <c r="B27" s="750"/>
      <c r="C27" s="751">
        <v>2026</v>
      </c>
      <c r="D27" s="688" t="s">
        <v>2776</v>
      </c>
      <c r="E27" s="689" t="s">
        <v>2456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07"/>
      <c r="R27" s="707"/>
      <c r="S27" s="707"/>
      <c r="T27" s="707"/>
      <c r="U27" s="707"/>
      <c r="V27" s="782">
        <f t="shared" si="3"/>
        <v>0</v>
      </c>
      <c r="W27" s="707"/>
      <c r="X27" s="707"/>
      <c r="Y27" s="707"/>
      <c r="Z27" s="782"/>
      <c r="AA27" s="782"/>
      <c r="AB27" s="778"/>
      <c r="AC27" s="783"/>
      <c r="AD27" s="692" t="s">
        <v>2973</v>
      </c>
      <c r="AE27" s="780"/>
      <c r="AF27" s="781" t="e">
        <f t="shared" si="2"/>
        <v>#DIV/0!</v>
      </c>
    </row>
    <row r="28" spans="1:32" s="784" customFormat="1" ht="18" customHeight="1" x14ac:dyDescent="0.25">
      <c r="A28" s="749">
        <v>20</v>
      </c>
      <c r="B28" s="750"/>
      <c r="C28" s="751">
        <v>2026</v>
      </c>
      <c r="D28" s="688" t="s">
        <v>2579</v>
      </c>
      <c r="E28" s="689" t="s">
        <v>2752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07"/>
      <c r="R28" s="707"/>
      <c r="S28" s="707"/>
      <c r="T28" s="707"/>
      <c r="U28" s="707"/>
      <c r="V28" s="782">
        <f t="shared" si="3"/>
        <v>0</v>
      </c>
      <c r="W28" s="707"/>
      <c r="X28" s="707"/>
      <c r="Y28" s="707"/>
      <c r="Z28" s="782"/>
      <c r="AA28" s="782"/>
      <c r="AB28" s="778"/>
      <c r="AC28" s="783"/>
      <c r="AD28" s="692" t="s">
        <v>2733</v>
      </c>
      <c r="AE28" s="780"/>
      <c r="AF28" s="781" t="e">
        <f t="shared" si="2"/>
        <v>#DIV/0!</v>
      </c>
    </row>
    <row r="29" spans="1:32" s="784" customFormat="1" ht="18" customHeight="1" x14ac:dyDescent="0.25">
      <c r="A29" s="749">
        <v>21</v>
      </c>
      <c r="B29" s="750"/>
      <c r="C29" s="751">
        <v>2026</v>
      </c>
      <c r="D29" s="688" t="s">
        <v>2777</v>
      </c>
      <c r="E29" s="689" t="s">
        <v>2778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07"/>
      <c r="R29" s="707"/>
      <c r="S29" s="707"/>
      <c r="T29" s="707"/>
      <c r="U29" s="707"/>
      <c r="V29" s="782">
        <f t="shared" si="3"/>
        <v>0</v>
      </c>
      <c r="W29" s="707"/>
      <c r="X29" s="707"/>
      <c r="Y29" s="707"/>
      <c r="Z29" s="782"/>
      <c r="AA29" s="782"/>
      <c r="AB29" s="778"/>
      <c r="AC29" s="783"/>
      <c r="AD29" s="692" t="s">
        <v>2698</v>
      </c>
      <c r="AE29" s="780"/>
      <c r="AF29" s="781" t="e">
        <f t="shared" si="2"/>
        <v>#DIV/0!</v>
      </c>
    </row>
    <row r="30" spans="1:32" s="784" customFormat="1" ht="18" customHeight="1" x14ac:dyDescent="0.25">
      <c r="A30" s="749">
        <v>22</v>
      </c>
      <c r="B30" s="750"/>
      <c r="C30" s="751">
        <v>2026</v>
      </c>
      <c r="D30" s="688" t="s">
        <v>2779</v>
      </c>
      <c r="E30" s="689" t="s">
        <v>561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07"/>
      <c r="R30" s="707"/>
      <c r="S30" s="707"/>
      <c r="T30" s="707"/>
      <c r="U30" s="707"/>
      <c r="V30" s="782">
        <f t="shared" si="3"/>
        <v>0</v>
      </c>
      <c r="W30" s="707"/>
      <c r="X30" s="707"/>
      <c r="Y30" s="707"/>
      <c r="Z30" s="782"/>
      <c r="AA30" s="782"/>
      <c r="AB30" s="778"/>
      <c r="AC30" s="783"/>
      <c r="AD30" s="692" t="s">
        <v>2966</v>
      </c>
      <c r="AE30" s="780"/>
      <c r="AF30" s="781" t="e">
        <f t="shared" si="2"/>
        <v>#DIV/0!</v>
      </c>
    </row>
    <row r="31" spans="1:32" s="784" customFormat="1" ht="18" customHeight="1" x14ac:dyDescent="0.25">
      <c r="A31" s="749">
        <v>23</v>
      </c>
      <c r="B31" s="750"/>
      <c r="C31" s="751">
        <v>2026</v>
      </c>
      <c r="D31" s="688" t="s">
        <v>2780</v>
      </c>
      <c r="E31" s="689" t="s">
        <v>2781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07"/>
      <c r="R31" s="707"/>
      <c r="S31" s="707"/>
      <c r="T31" s="707"/>
      <c r="U31" s="707"/>
      <c r="V31" s="782">
        <f t="shared" si="3"/>
        <v>0</v>
      </c>
      <c r="W31" s="707"/>
      <c r="X31" s="707"/>
      <c r="Y31" s="707"/>
      <c r="Z31" s="782"/>
      <c r="AA31" s="782"/>
      <c r="AB31" s="778"/>
      <c r="AC31" s="783"/>
      <c r="AD31" s="692" t="s">
        <v>2713</v>
      </c>
      <c r="AE31" s="780"/>
      <c r="AF31" s="781" t="e">
        <f t="shared" si="2"/>
        <v>#DIV/0!</v>
      </c>
    </row>
    <row r="32" spans="1:32" s="784" customFormat="1" ht="18" customHeight="1" x14ac:dyDescent="0.25">
      <c r="A32" s="749">
        <v>24</v>
      </c>
      <c r="B32" s="750"/>
      <c r="C32" s="751">
        <v>2026</v>
      </c>
      <c r="D32" s="688" t="s">
        <v>2782</v>
      </c>
      <c r="E32" s="689" t="s">
        <v>2783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07"/>
      <c r="R32" s="707"/>
      <c r="S32" s="707"/>
      <c r="T32" s="707"/>
      <c r="U32" s="707"/>
      <c r="V32" s="782">
        <f t="shared" si="3"/>
        <v>0</v>
      </c>
      <c r="W32" s="707"/>
      <c r="X32" s="707"/>
      <c r="Y32" s="707"/>
      <c r="Z32" s="782"/>
      <c r="AA32" s="782"/>
      <c r="AB32" s="778"/>
      <c r="AC32" s="783"/>
      <c r="AD32" s="692" t="s">
        <v>2980</v>
      </c>
      <c r="AE32" s="780"/>
      <c r="AF32" s="781" t="e">
        <f t="shared" si="2"/>
        <v>#DIV/0!</v>
      </c>
    </row>
    <row r="33" spans="1:32" s="784" customFormat="1" ht="18" customHeight="1" x14ac:dyDescent="0.25">
      <c r="A33" s="749">
        <v>25</v>
      </c>
      <c r="B33" s="750"/>
      <c r="C33" s="751">
        <v>2026</v>
      </c>
      <c r="D33" s="688" t="s">
        <v>2784</v>
      </c>
      <c r="E33" s="689" t="s">
        <v>2785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07"/>
      <c r="S33" s="707"/>
      <c r="T33" s="707"/>
      <c r="U33" s="707"/>
      <c r="V33" s="782">
        <f t="shared" si="3"/>
        <v>0</v>
      </c>
      <c r="W33" s="707"/>
      <c r="X33" s="707"/>
      <c r="Y33" s="707"/>
      <c r="Z33" s="782"/>
      <c r="AA33" s="782"/>
      <c r="AB33" s="778"/>
      <c r="AC33" s="783"/>
      <c r="AD33" s="692" t="s">
        <v>2981</v>
      </c>
      <c r="AE33" s="780"/>
      <c r="AF33" s="781" t="e">
        <f t="shared" si="2"/>
        <v>#DIV/0!</v>
      </c>
    </row>
    <row r="34" spans="1:32" s="784" customFormat="1" ht="18" customHeight="1" x14ac:dyDescent="0.25">
      <c r="A34" s="749">
        <v>26</v>
      </c>
      <c r="B34" s="750"/>
      <c r="C34" s="751">
        <v>2026</v>
      </c>
      <c r="D34" s="688" t="s">
        <v>2786</v>
      </c>
      <c r="E34" s="689" t="s">
        <v>2787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07"/>
      <c r="T34" s="707"/>
      <c r="U34" s="707"/>
      <c r="V34" s="782">
        <f t="shared" si="3"/>
        <v>0</v>
      </c>
      <c r="W34" s="707"/>
      <c r="X34" s="707"/>
      <c r="Y34" s="707"/>
      <c r="Z34" s="782"/>
      <c r="AA34" s="782"/>
      <c r="AB34" s="778"/>
      <c r="AC34" s="783"/>
      <c r="AD34" s="692" t="s">
        <v>2515</v>
      </c>
      <c r="AE34" s="780"/>
      <c r="AF34" s="781" t="e">
        <f t="shared" si="2"/>
        <v>#DIV/0!</v>
      </c>
    </row>
    <row r="35" spans="1:32" s="784" customFormat="1" ht="18" customHeight="1" x14ac:dyDescent="0.25">
      <c r="A35" s="749">
        <v>27</v>
      </c>
      <c r="B35" s="750"/>
      <c r="C35" s="751">
        <v>2026</v>
      </c>
      <c r="D35" s="688" t="s">
        <v>2583</v>
      </c>
      <c r="E35" s="689" t="s">
        <v>2788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07"/>
      <c r="S35" s="707"/>
      <c r="T35" s="707"/>
      <c r="U35" s="707"/>
      <c r="V35" s="782">
        <f t="shared" si="3"/>
        <v>0</v>
      </c>
      <c r="W35" s="707"/>
      <c r="X35" s="707"/>
      <c r="Y35" s="707"/>
      <c r="Z35" s="782"/>
      <c r="AA35" s="782"/>
      <c r="AB35" s="778"/>
      <c r="AC35" s="783"/>
      <c r="AD35" s="692" t="s">
        <v>2715</v>
      </c>
      <c r="AE35" s="780"/>
      <c r="AF35" s="781" t="e">
        <f t="shared" si="2"/>
        <v>#DIV/0!</v>
      </c>
    </row>
    <row r="36" spans="1:32" s="784" customFormat="1" ht="18" customHeight="1" x14ac:dyDescent="0.25">
      <c r="A36" s="749">
        <v>28</v>
      </c>
      <c r="B36" s="750"/>
      <c r="C36" s="751">
        <v>2026</v>
      </c>
      <c r="D36" s="688" t="s">
        <v>2789</v>
      </c>
      <c r="E36" s="689" t="s">
        <v>990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7"/>
      <c r="Q36" s="707"/>
      <c r="R36" s="707"/>
      <c r="S36" s="707"/>
      <c r="T36" s="707"/>
      <c r="U36" s="707"/>
      <c r="V36" s="782">
        <f t="shared" si="3"/>
        <v>0</v>
      </c>
      <c r="W36" s="707"/>
      <c r="X36" s="707"/>
      <c r="Y36" s="707"/>
      <c r="Z36" s="782"/>
      <c r="AA36" s="782"/>
      <c r="AB36" s="778"/>
      <c r="AC36" s="783"/>
      <c r="AD36" s="692" t="s">
        <v>2982</v>
      </c>
      <c r="AE36" s="780"/>
      <c r="AF36" s="781" t="e">
        <f t="shared" si="2"/>
        <v>#DIV/0!</v>
      </c>
    </row>
    <row r="37" spans="1:32" s="784" customFormat="1" ht="18" customHeight="1" x14ac:dyDescent="0.25">
      <c r="A37" s="749">
        <v>29</v>
      </c>
      <c r="B37" s="750"/>
      <c r="C37" s="751">
        <v>2026</v>
      </c>
      <c r="D37" s="688" t="s">
        <v>2790</v>
      </c>
      <c r="E37" s="689" t="s">
        <v>2791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7"/>
      <c r="Q37" s="707"/>
      <c r="R37" s="707"/>
      <c r="S37" s="707"/>
      <c r="T37" s="707"/>
      <c r="U37" s="707"/>
      <c r="V37" s="782">
        <f t="shared" si="3"/>
        <v>0</v>
      </c>
      <c r="W37" s="707"/>
      <c r="X37" s="707"/>
      <c r="Y37" s="707"/>
      <c r="Z37" s="782"/>
      <c r="AA37" s="782"/>
      <c r="AB37" s="778"/>
      <c r="AC37" s="783"/>
      <c r="AD37" s="692" t="s">
        <v>2968</v>
      </c>
      <c r="AE37" s="780"/>
      <c r="AF37" s="781" t="e">
        <f t="shared" si="2"/>
        <v>#DIV/0!</v>
      </c>
    </row>
    <row r="38" spans="1:32" s="784" customFormat="1" ht="18" customHeight="1" x14ac:dyDescent="0.25">
      <c r="A38" s="749">
        <v>30</v>
      </c>
      <c r="B38" s="750"/>
      <c r="C38" s="751">
        <v>2026</v>
      </c>
      <c r="D38" s="688" t="s">
        <v>2792</v>
      </c>
      <c r="E38" s="689" t="s">
        <v>2793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7"/>
      <c r="Q38" s="707"/>
      <c r="R38" s="707"/>
      <c r="S38" s="707"/>
      <c r="T38" s="707"/>
      <c r="U38" s="707"/>
      <c r="V38" s="782">
        <f t="shared" si="3"/>
        <v>0</v>
      </c>
      <c r="W38" s="707"/>
      <c r="X38" s="707"/>
      <c r="Y38" s="707"/>
      <c r="Z38" s="782"/>
      <c r="AA38" s="782"/>
      <c r="AB38" s="778"/>
      <c r="AC38" s="783"/>
      <c r="AD38" s="692" t="s">
        <v>2983</v>
      </c>
      <c r="AE38" s="780"/>
      <c r="AF38" s="781" t="e">
        <f t="shared" si="2"/>
        <v>#DIV/0!</v>
      </c>
    </row>
    <row r="39" spans="1:32" s="784" customFormat="1" ht="18" customHeight="1" x14ac:dyDescent="0.25">
      <c r="A39" s="749">
        <v>31</v>
      </c>
      <c r="B39" s="750"/>
      <c r="C39" s="751">
        <v>2026</v>
      </c>
      <c r="D39" s="688" t="s">
        <v>2794</v>
      </c>
      <c r="E39" s="689" t="s">
        <v>2795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82">
        <f t="shared" si="3"/>
        <v>0</v>
      </c>
      <c r="W39" s="707"/>
      <c r="X39" s="707"/>
      <c r="Y39" s="707"/>
      <c r="Z39" s="782"/>
      <c r="AA39" s="782"/>
      <c r="AB39" s="778"/>
      <c r="AC39" s="783"/>
      <c r="AD39" s="692" t="s">
        <v>2984</v>
      </c>
      <c r="AE39" s="780"/>
      <c r="AF39" s="781" t="e">
        <f t="shared" si="2"/>
        <v>#DIV/0!</v>
      </c>
    </row>
    <row r="40" spans="1:32" s="784" customFormat="1" ht="18" customHeight="1" x14ac:dyDescent="0.25">
      <c r="A40" s="749">
        <v>32</v>
      </c>
      <c r="B40" s="750"/>
      <c r="C40" s="751">
        <v>2026</v>
      </c>
      <c r="D40" s="688" t="s">
        <v>2595</v>
      </c>
      <c r="E40" s="689" t="s">
        <v>2796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07"/>
      <c r="R40" s="707"/>
      <c r="S40" s="707"/>
      <c r="T40" s="707"/>
      <c r="U40" s="707"/>
      <c r="V40" s="782">
        <f t="shared" si="3"/>
        <v>0</v>
      </c>
      <c r="W40" s="707"/>
      <c r="X40" s="707"/>
      <c r="Y40" s="707"/>
      <c r="Z40" s="782"/>
      <c r="AA40" s="782"/>
      <c r="AB40" s="778"/>
      <c r="AC40" s="783"/>
      <c r="AD40" s="692" t="s">
        <v>2985</v>
      </c>
      <c r="AE40" s="780"/>
      <c r="AF40" s="781" t="e">
        <f t="shared" si="2"/>
        <v>#DIV/0!</v>
      </c>
    </row>
    <row r="41" spans="1:32" s="784" customFormat="1" ht="18" customHeight="1" x14ac:dyDescent="0.25">
      <c r="A41" s="749">
        <v>33</v>
      </c>
      <c r="B41" s="750"/>
      <c r="C41" s="751">
        <v>2026</v>
      </c>
      <c r="D41" s="688" t="s">
        <v>2797</v>
      </c>
      <c r="E41" s="689" t="s">
        <v>655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07"/>
      <c r="R41" s="707"/>
      <c r="S41" s="707"/>
      <c r="T41" s="707"/>
      <c r="U41" s="707"/>
      <c r="V41" s="782">
        <f t="shared" si="3"/>
        <v>0</v>
      </c>
      <c r="W41" s="707"/>
      <c r="X41" s="707"/>
      <c r="Y41" s="707"/>
      <c r="Z41" s="782"/>
      <c r="AA41" s="782"/>
      <c r="AB41" s="778"/>
      <c r="AC41" s="783"/>
      <c r="AD41" s="692" t="s">
        <v>2986</v>
      </c>
      <c r="AE41" s="780"/>
      <c r="AF41" s="781" t="e">
        <f t="shared" si="2"/>
        <v>#DIV/0!</v>
      </c>
    </row>
    <row r="42" spans="1:32" s="784" customFormat="1" ht="18" customHeight="1" x14ac:dyDescent="0.25">
      <c r="A42" s="749">
        <v>34</v>
      </c>
      <c r="B42" s="750"/>
      <c r="C42" s="751">
        <v>2026</v>
      </c>
      <c r="D42" s="688" t="s">
        <v>2798</v>
      </c>
      <c r="E42" s="689" t="s">
        <v>2783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07"/>
      <c r="R42" s="707"/>
      <c r="S42" s="707"/>
      <c r="T42" s="707"/>
      <c r="U42" s="707"/>
      <c r="V42" s="782">
        <f t="shared" si="3"/>
        <v>0</v>
      </c>
      <c r="W42" s="707"/>
      <c r="X42" s="707"/>
      <c r="Y42" s="707"/>
      <c r="Z42" s="782"/>
      <c r="AA42" s="782"/>
      <c r="AB42" s="778"/>
      <c r="AC42" s="783"/>
      <c r="AD42" s="692" t="s">
        <v>2535</v>
      </c>
      <c r="AE42" s="780"/>
      <c r="AF42" s="781" t="e">
        <f t="shared" si="2"/>
        <v>#DIV/0!</v>
      </c>
    </row>
    <row r="43" spans="1:32" s="784" customFormat="1" ht="18" customHeight="1" x14ac:dyDescent="0.25">
      <c r="A43" s="749">
        <v>35</v>
      </c>
      <c r="B43" s="750"/>
      <c r="C43" s="751">
        <v>2026</v>
      </c>
      <c r="D43" s="688" t="s">
        <v>2799</v>
      </c>
      <c r="E43" s="689" t="s">
        <v>2800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07"/>
      <c r="R43" s="707"/>
      <c r="S43" s="707"/>
      <c r="T43" s="707"/>
      <c r="U43" s="707"/>
      <c r="V43" s="782">
        <f t="shared" si="3"/>
        <v>0</v>
      </c>
      <c r="W43" s="707"/>
      <c r="X43" s="707"/>
      <c r="Y43" s="707"/>
      <c r="Z43" s="782"/>
      <c r="AA43" s="782"/>
      <c r="AB43" s="778"/>
      <c r="AC43" s="783"/>
      <c r="AD43" s="692" t="s">
        <v>2987</v>
      </c>
      <c r="AE43" s="780"/>
      <c r="AF43" s="781" t="e">
        <f t="shared" si="2"/>
        <v>#DIV/0!</v>
      </c>
    </row>
    <row r="44" spans="1:32" s="784" customFormat="1" ht="18" customHeight="1" x14ac:dyDescent="0.25">
      <c r="A44" s="749">
        <v>36</v>
      </c>
      <c r="B44" s="750"/>
      <c r="C44" s="751">
        <v>2026</v>
      </c>
      <c r="D44" s="688" t="s">
        <v>2381</v>
      </c>
      <c r="E44" s="689" t="s">
        <v>2596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07"/>
      <c r="S44" s="707"/>
      <c r="T44" s="707"/>
      <c r="U44" s="707"/>
      <c r="V44" s="782">
        <f t="shared" si="3"/>
        <v>0</v>
      </c>
      <c r="W44" s="707"/>
      <c r="X44" s="707"/>
      <c r="Y44" s="707"/>
      <c r="Z44" s="782"/>
      <c r="AA44" s="782"/>
      <c r="AB44" s="778"/>
      <c r="AC44" s="783"/>
      <c r="AD44" s="692" t="s">
        <v>2523</v>
      </c>
      <c r="AE44" s="780"/>
      <c r="AF44" s="781" t="e">
        <f t="shared" si="2"/>
        <v>#DIV/0!</v>
      </c>
    </row>
    <row r="45" spans="1:32" s="784" customFormat="1" ht="18" customHeight="1" x14ac:dyDescent="0.25">
      <c r="A45" s="749">
        <v>37</v>
      </c>
      <c r="B45" s="750"/>
      <c r="C45" s="751">
        <v>2026</v>
      </c>
      <c r="D45" s="688" t="s">
        <v>2801</v>
      </c>
      <c r="E45" s="689" t="s">
        <v>2802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07"/>
      <c r="R45" s="707"/>
      <c r="S45" s="707"/>
      <c r="T45" s="707"/>
      <c r="U45" s="707"/>
      <c r="V45" s="782">
        <f t="shared" si="3"/>
        <v>0</v>
      </c>
      <c r="W45" s="707"/>
      <c r="X45" s="707"/>
      <c r="Y45" s="707"/>
      <c r="Z45" s="782"/>
      <c r="AA45" s="782"/>
      <c r="AB45" s="778"/>
      <c r="AC45" s="783"/>
      <c r="AD45" s="692" t="s">
        <v>2988</v>
      </c>
      <c r="AE45" s="780"/>
      <c r="AF45" s="781" t="e">
        <f t="shared" si="2"/>
        <v>#DIV/0!</v>
      </c>
    </row>
    <row r="46" spans="1:32" s="784" customFormat="1" ht="18" customHeight="1" x14ac:dyDescent="0.25">
      <c r="A46" s="749">
        <v>38</v>
      </c>
      <c r="B46" s="750"/>
      <c r="C46" s="751">
        <v>2026</v>
      </c>
      <c r="D46" s="688" t="s">
        <v>2803</v>
      </c>
      <c r="E46" s="689" t="s">
        <v>2804</v>
      </c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07"/>
      <c r="T46" s="707"/>
      <c r="U46" s="707"/>
      <c r="V46" s="782">
        <f t="shared" si="3"/>
        <v>0</v>
      </c>
      <c r="W46" s="707"/>
      <c r="X46" s="707"/>
      <c r="Y46" s="707"/>
      <c r="Z46" s="782"/>
      <c r="AA46" s="782"/>
      <c r="AB46" s="778"/>
      <c r="AC46" s="783"/>
      <c r="AD46" s="692" t="s">
        <v>2989</v>
      </c>
      <c r="AE46" s="780"/>
      <c r="AF46" s="781" t="e">
        <f t="shared" si="2"/>
        <v>#DIV/0!</v>
      </c>
    </row>
    <row r="47" spans="1:32" s="784" customFormat="1" ht="18" customHeight="1" x14ac:dyDescent="0.25">
      <c r="A47" s="749">
        <v>39</v>
      </c>
      <c r="B47" s="750"/>
      <c r="C47" s="751">
        <v>2026</v>
      </c>
      <c r="D47" s="688" t="s">
        <v>2805</v>
      </c>
      <c r="E47" s="689" t="s">
        <v>2806</v>
      </c>
      <c r="F47" s="707"/>
      <c r="G47" s="707"/>
      <c r="H47" s="707"/>
      <c r="I47" s="707"/>
      <c r="J47" s="707"/>
      <c r="K47" s="707"/>
      <c r="L47" s="707"/>
      <c r="M47" s="707"/>
      <c r="N47" s="707"/>
      <c r="O47" s="707"/>
      <c r="P47" s="707"/>
      <c r="Q47" s="707"/>
      <c r="R47" s="707"/>
      <c r="S47" s="707"/>
      <c r="T47" s="707"/>
      <c r="U47" s="707"/>
      <c r="V47" s="782">
        <f t="shared" si="3"/>
        <v>0</v>
      </c>
      <c r="W47" s="707"/>
      <c r="X47" s="707"/>
      <c r="Y47" s="707"/>
      <c r="Z47" s="782"/>
      <c r="AA47" s="782"/>
      <c r="AB47" s="778"/>
      <c r="AC47" s="783"/>
      <c r="AD47" s="692" t="s">
        <v>2482</v>
      </c>
      <c r="AE47" s="780"/>
      <c r="AF47" s="781" t="e">
        <f t="shared" si="2"/>
        <v>#DIV/0!</v>
      </c>
    </row>
    <row r="48" spans="1:32" s="784" customFormat="1" ht="18" customHeight="1" x14ac:dyDescent="0.25">
      <c r="A48" s="749">
        <v>40</v>
      </c>
      <c r="B48" s="750"/>
      <c r="C48" s="751">
        <v>2026</v>
      </c>
      <c r="D48" s="688" t="s">
        <v>2807</v>
      </c>
      <c r="E48" s="689" t="s">
        <v>2808</v>
      </c>
      <c r="F48" s="707"/>
      <c r="G48" s="707"/>
      <c r="H48" s="707"/>
      <c r="I48" s="707"/>
      <c r="J48" s="707"/>
      <c r="K48" s="707"/>
      <c r="L48" s="707"/>
      <c r="M48" s="707"/>
      <c r="N48" s="707"/>
      <c r="O48" s="707"/>
      <c r="P48" s="707"/>
      <c r="Q48" s="707"/>
      <c r="R48" s="707"/>
      <c r="S48" s="707"/>
      <c r="T48" s="707"/>
      <c r="U48" s="707"/>
      <c r="V48" s="782">
        <f t="shared" si="3"/>
        <v>0</v>
      </c>
      <c r="W48" s="707"/>
      <c r="X48" s="707"/>
      <c r="Y48" s="707"/>
      <c r="Z48" s="782"/>
      <c r="AA48" s="782"/>
      <c r="AB48" s="778"/>
      <c r="AC48" s="783"/>
      <c r="AD48" s="692" t="s">
        <v>2714</v>
      </c>
      <c r="AE48" s="780"/>
      <c r="AF48" s="781" t="e">
        <f t="shared" si="2"/>
        <v>#DIV/0!</v>
      </c>
    </row>
    <row r="49" spans="1:33" s="784" customFormat="1" ht="18" customHeight="1" x14ac:dyDescent="0.25">
      <c r="A49" s="749">
        <v>41</v>
      </c>
      <c r="B49" s="750"/>
      <c r="C49" s="751">
        <v>2026</v>
      </c>
      <c r="D49" s="688" t="s">
        <v>2809</v>
      </c>
      <c r="E49" s="689" t="s">
        <v>2810</v>
      </c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82">
        <f t="shared" si="3"/>
        <v>0</v>
      </c>
      <c r="W49" s="707"/>
      <c r="X49" s="707"/>
      <c r="Y49" s="707"/>
      <c r="Z49" s="782"/>
      <c r="AA49" s="782"/>
      <c r="AB49" s="778"/>
      <c r="AC49" s="783"/>
      <c r="AD49" s="692" t="s">
        <v>2990</v>
      </c>
      <c r="AE49" s="780"/>
      <c r="AF49" s="781" t="e">
        <f t="shared" si="2"/>
        <v>#DIV/0!</v>
      </c>
    </row>
    <row r="50" spans="1:33" s="784" customFormat="1" ht="18" customHeight="1" x14ac:dyDescent="0.25">
      <c r="A50" s="749">
        <v>42</v>
      </c>
      <c r="B50" s="750"/>
      <c r="C50" s="751">
        <v>2026</v>
      </c>
      <c r="D50" s="688" t="s">
        <v>2811</v>
      </c>
      <c r="E50" s="689" t="s">
        <v>2812</v>
      </c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07"/>
      <c r="R50" s="707"/>
      <c r="S50" s="707"/>
      <c r="T50" s="707"/>
      <c r="U50" s="707"/>
      <c r="V50" s="782">
        <f t="shared" si="3"/>
        <v>0</v>
      </c>
      <c r="W50" s="707"/>
      <c r="X50" s="707"/>
      <c r="Y50" s="707"/>
      <c r="Z50" s="782"/>
      <c r="AA50" s="782"/>
      <c r="AB50" s="778"/>
      <c r="AC50" s="783"/>
      <c r="AD50" s="692" t="s">
        <v>2969</v>
      </c>
      <c r="AE50" s="780"/>
      <c r="AF50" s="781" t="e">
        <f t="shared" si="2"/>
        <v>#DIV/0!</v>
      </c>
    </row>
    <row r="51" spans="1:33" s="784" customFormat="1" ht="18" customHeight="1" x14ac:dyDescent="0.25">
      <c r="A51" s="749">
        <v>43</v>
      </c>
      <c r="B51" s="750"/>
      <c r="C51" s="751">
        <v>2026</v>
      </c>
      <c r="D51" s="688" t="s">
        <v>2813</v>
      </c>
      <c r="E51" s="689" t="s">
        <v>2814</v>
      </c>
      <c r="F51" s="707"/>
      <c r="G51" s="707"/>
      <c r="H51" s="707"/>
      <c r="I51" s="707"/>
      <c r="J51" s="707"/>
      <c r="K51" s="707"/>
      <c r="L51" s="707"/>
      <c r="M51" s="707"/>
      <c r="N51" s="707"/>
      <c r="O51" s="707"/>
      <c r="P51" s="707"/>
      <c r="Q51" s="707"/>
      <c r="R51" s="707"/>
      <c r="S51" s="707"/>
      <c r="T51" s="707"/>
      <c r="U51" s="707"/>
      <c r="V51" s="782">
        <f t="shared" si="3"/>
        <v>0</v>
      </c>
      <c r="W51" s="707"/>
      <c r="X51" s="707"/>
      <c r="Y51" s="707"/>
      <c r="Z51" s="782"/>
      <c r="AA51" s="782"/>
      <c r="AB51" s="778"/>
      <c r="AC51" s="783"/>
      <c r="AD51" s="692" t="s">
        <v>2737</v>
      </c>
      <c r="AE51" s="780"/>
      <c r="AF51" s="781" t="e">
        <f t="shared" si="2"/>
        <v>#DIV/0!</v>
      </c>
    </row>
    <row r="52" spans="1:33" s="784" customFormat="1" ht="18" customHeight="1" x14ac:dyDescent="0.25">
      <c r="A52" s="749">
        <v>44</v>
      </c>
      <c r="B52" s="750"/>
      <c r="C52" s="751">
        <v>2026</v>
      </c>
      <c r="D52" s="688" t="s">
        <v>2395</v>
      </c>
      <c r="E52" s="689" t="s">
        <v>2815</v>
      </c>
      <c r="F52" s="707"/>
      <c r="G52" s="707"/>
      <c r="H52" s="707"/>
      <c r="I52" s="707"/>
      <c r="J52" s="707"/>
      <c r="K52" s="707"/>
      <c r="L52" s="707"/>
      <c r="M52" s="707"/>
      <c r="N52" s="707"/>
      <c r="O52" s="707"/>
      <c r="P52" s="707"/>
      <c r="Q52" s="707"/>
      <c r="R52" s="707"/>
      <c r="S52" s="707"/>
      <c r="T52" s="707"/>
      <c r="U52" s="707"/>
      <c r="V52" s="782">
        <f t="shared" si="3"/>
        <v>0</v>
      </c>
      <c r="W52" s="707"/>
      <c r="X52" s="707"/>
      <c r="Y52" s="707"/>
      <c r="Z52" s="782"/>
      <c r="AA52" s="782"/>
      <c r="AB52" s="778"/>
      <c r="AC52" s="783"/>
      <c r="AD52" s="692" t="s">
        <v>2991</v>
      </c>
      <c r="AE52" s="780"/>
      <c r="AF52" s="781" t="e">
        <f t="shared" si="2"/>
        <v>#DIV/0!</v>
      </c>
    </row>
    <row r="53" spans="1:33" s="784" customFormat="1" ht="18" customHeight="1" x14ac:dyDescent="0.25">
      <c r="A53" s="749">
        <v>45</v>
      </c>
      <c r="B53" s="750"/>
      <c r="C53" s="751">
        <v>2026</v>
      </c>
      <c r="D53" s="688" t="s">
        <v>2816</v>
      </c>
      <c r="E53" s="689" t="s">
        <v>2817</v>
      </c>
      <c r="F53" s="707"/>
      <c r="G53" s="707"/>
      <c r="H53" s="707"/>
      <c r="I53" s="707"/>
      <c r="J53" s="707"/>
      <c r="K53" s="707"/>
      <c r="L53" s="707"/>
      <c r="M53" s="707"/>
      <c r="N53" s="707"/>
      <c r="O53" s="707"/>
      <c r="P53" s="707"/>
      <c r="Q53" s="707"/>
      <c r="R53" s="707"/>
      <c r="S53" s="707"/>
      <c r="T53" s="707"/>
      <c r="U53" s="707"/>
      <c r="V53" s="782">
        <f t="shared" si="3"/>
        <v>0</v>
      </c>
      <c r="W53" s="707"/>
      <c r="X53" s="707"/>
      <c r="Y53" s="707"/>
      <c r="Z53" s="782"/>
      <c r="AA53" s="782"/>
      <c r="AB53" s="778"/>
      <c r="AC53" s="783"/>
      <c r="AD53" s="692" t="s">
        <v>2731</v>
      </c>
      <c r="AE53" s="780"/>
      <c r="AF53" s="781" t="e">
        <f t="shared" si="2"/>
        <v>#DIV/0!</v>
      </c>
    </row>
    <row r="54" spans="1:33" s="784" customFormat="1" ht="18" customHeight="1" x14ac:dyDescent="0.25">
      <c r="A54" s="749">
        <v>46</v>
      </c>
      <c r="B54" s="750"/>
      <c r="C54" s="751">
        <v>2026</v>
      </c>
      <c r="D54" s="688" t="s">
        <v>2818</v>
      </c>
      <c r="E54" s="689" t="s">
        <v>2819</v>
      </c>
      <c r="F54" s="707"/>
      <c r="G54" s="707"/>
      <c r="H54" s="707"/>
      <c r="I54" s="707"/>
      <c r="J54" s="707"/>
      <c r="K54" s="707"/>
      <c r="L54" s="707"/>
      <c r="M54" s="707"/>
      <c r="N54" s="707"/>
      <c r="O54" s="707"/>
      <c r="P54" s="707"/>
      <c r="Q54" s="707"/>
      <c r="R54" s="707"/>
      <c r="S54" s="707"/>
      <c r="T54" s="707"/>
      <c r="U54" s="707"/>
      <c r="V54" s="782">
        <f t="shared" si="3"/>
        <v>0</v>
      </c>
      <c r="W54" s="707"/>
      <c r="X54" s="707"/>
      <c r="Y54" s="707"/>
      <c r="Z54" s="782"/>
      <c r="AA54" s="782"/>
      <c r="AB54" s="778"/>
      <c r="AC54" s="783"/>
      <c r="AD54" s="692" t="s">
        <v>2978</v>
      </c>
      <c r="AE54" s="780"/>
      <c r="AF54" s="781" t="e">
        <f t="shared" si="2"/>
        <v>#DIV/0!</v>
      </c>
    </row>
    <row r="55" spans="1:33" s="784" customFormat="1" ht="18" customHeight="1" x14ac:dyDescent="0.25">
      <c r="A55" s="749">
        <v>47</v>
      </c>
      <c r="B55" s="750"/>
      <c r="C55" s="751">
        <v>2026</v>
      </c>
      <c r="D55" s="688" t="s">
        <v>2820</v>
      </c>
      <c r="E55" s="689" t="s">
        <v>2821</v>
      </c>
      <c r="F55" s="707"/>
      <c r="G55" s="707"/>
      <c r="H55" s="707"/>
      <c r="I55" s="707"/>
      <c r="J55" s="707"/>
      <c r="K55" s="707"/>
      <c r="L55" s="707"/>
      <c r="M55" s="707"/>
      <c r="N55" s="707"/>
      <c r="O55" s="707"/>
      <c r="P55" s="707"/>
      <c r="Q55" s="707"/>
      <c r="R55" s="707"/>
      <c r="S55" s="707"/>
      <c r="T55" s="707"/>
      <c r="U55" s="707"/>
      <c r="V55" s="782">
        <f t="shared" si="3"/>
        <v>0</v>
      </c>
      <c r="W55" s="707"/>
      <c r="X55" s="707"/>
      <c r="Y55" s="707"/>
      <c r="Z55" s="782"/>
      <c r="AA55" s="782"/>
      <c r="AB55" s="778"/>
      <c r="AC55" s="783"/>
      <c r="AD55" s="692" t="s">
        <v>2984</v>
      </c>
      <c r="AE55" s="780"/>
      <c r="AF55" s="781" t="e">
        <f t="shared" si="2"/>
        <v>#DIV/0!</v>
      </c>
      <c r="AG55" s="990" t="s">
        <v>2223</v>
      </c>
    </row>
    <row r="56" spans="1:33" s="784" customFormat="1" ht="18" customHeight="1" x14ac:dyDescent="0.25">
      <c r="A56" s="749">
        <v>48</v>
      </c>
      <c r="B56" s="750"/>
      <c r="C56" s="751">
        <v>2026</v>
      </c>
      <c r="D56" s="688" t="s">
        <v>2822</v>
      </c>
      <c r="E56" s="689" t="s">
        <v>2823</v>
      </c>
      <c r="F56" s="707"/>
      <c r="G56" s="707"/>
      <c r="H56" s="707"/>
      <c r="I56" s="707"/>
      <c r="J56" s="707"/>
      <c r="K56" s="707"/>
      <c r="L56" s="707"/>
      <c r="M56" s="707"/>
      <c r="N56" s="707"/>
      <c r="O56" s="707"/>
      <c r="P56" s="707"/>
      <c r="Q56" s="707"/>
      <c r="R56" s="707"/>
      <c r="S56" s="707"/>
      <c r="T56" s="707"/>
      <c r="U56" s="707"/>
      <c r="V56" s="782">
        <f t="shared" si="3"/>
        <v>0</v>
      </c>
      <c r="W56" s="707"/>
      <c r="X56" s="707"/>
      <c r="Y56" s="707"/>
      <c r="Z56" s="782"/>
      <c r="AA56" s="782"/>
      <c r="AB56" s="778"/>
      <c r="AC56" s="783"/>
      <c r="AD56" s="692" t="s">
        <v>2478</v>
      </c>
      <c r="AE56" s="780"/>
      <c r="AF56" s="781" t="e">
        <f t="shared" si="2"/>
        <v>#DIV/0!</v>
      </c>
    </row>
    <row r="57" spans="1:33" s="784" customFormat="1" ht="18" customHeight="1" x14ac:dyDescent="0.25">
      <c r="A57" s="749">
        <v>49</v>
      </c>
      <c r="B57" s="750"/>
      <c r="C57" s="751">
        <v>2026</v>
      </c>
      <c r="D57" s="688" t="s">
        <v>2824</v>
      </c>
      <c r="E57" s="689" t="s">
        <v>2825</v>
      </c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82">
        <f t="shared" si="3"/>
        <v>0</v>
      </c>
      <c r="W57" s="707"/>
      <c r="X57" s="707"/>
      <c r="Y57" s="707"/>
      <c r="Z57" s="782"/>
      <c r="AA57" s="782"/>
      <c r="AB57" s="778"/>
      <c r="AC57" s="783"/>
      <c r="AD57" s="692" t="s">
        <v>2723</v>
      </c>
      <c r="AE57" s="780"/>
      <c r="AF57" s="781" t="e">
        <f t="shared" si="2"/>
        <v>#DIV/0!</v>
      </c>
    </row>
    <row r="58" spans="1:33" s="784" customFormat="1" ht="18" customHeight="1" x14ac:dyDescent="0.25">
      <c r="A58" s="749">
        <v>50</v>
      </c>
      <c r="B58" s="750"/>
      <c r="C58" s="751">
        <v>2026</v>
      </c>
      <c r="D58" s="688" t="s">
        <v>2826</v>
      </c>
      <c r="E58" s="689" t="s">
        <v>2827</v>
      </c>
      <c r="F58" s="707"/>
      <c r="G58" s="707"/>
      <c r="H58" s="707"/>
      <c r="I58" s="707"/>
      <c r="J58" s="707"/>
      <c r="K58" s="707"/>
      <c r="L58" s="707"/>
      <c r="M58" s="707"/>
      <c r="N58" s="707"/>
      <c r="O58" s="707"/>
      <c r="P58" s="707"/>
      <c r="Q58" s="707"/>
      <c r="R58" s="707"/>
      <c r="S58" s="707"/>
      <c r="T58" s="707"/>
      <c r="U58" s="707"/>
      <c r="V58" s="782">
        <f t="shared" si="3"/>
        <v>0</v>
      </c>
      <c r="W58" s="707"/>
      <c r="X58" s="707"/>
      <c r="Y58" s="707"/>
      <c r="Z58" s="782"/>
      <c r="AA58" s="782"/>
      <c r="AB58" s="778"/>
      <c r="AC58" s="783"/>
      <c r="AD58" s="692" t="s">
        <v>2478</v>
      </c>
      <c r="AE58" s="780"/>
      <c r="AF58" s="781" t="e">
        <f t="shared" si="2"/>
        <v>#DIV/0!</v>
      </c>
    </row>
    <row r="59" spans="1:33" s="784" customFormat="1" ht="18" customHeight="1" x14ac:dyDescent="0.25">
      <c r="A59" s="749">
        <v>51</v>
      </c>
      <c r="B59" s="750"/>
      <c r="C59" s="751">
        <v>2026</v>
      </c>
      <c r="D59" s="688" t="s">
        <v>2828</v>
      </c>
      <c r="E59" s="689" t="s">
        <v>2829</v>
      </c>
      <c r="F59" s="707"/>
      <c r="G59" s="707"/>
      <c r="H59" s="707"/>
      <c r="I59" s="707"/>
      <c r="J59" s="707"/>
      <c r="K59" s="707"/>
      <c r="L59" s="707"/>
      <c r="M59" s="707"/>
      <c r="N59" s="707"/>
      <c r="O59" s="707"/>
      <c r="P59" s="707"/>
      <c r="Q59" s="707"/>
      <c r="R59" s="707"/>
      <c r="S59" s="707"/>
      <c r="T59" s="707"/>
      <c r="U59" s="707"/>
      <c r="V59" s="782">
        <f t="shared" si="3"/>
        <v>0</v>
      </c>
      <c r="W59" s="707"/>
      <c r="X59" s="707"/>
      <c r="Y59" s="707"/>
      <c r="Z59" s="782"/>
      <c r="AA59" s="782"/>
      <c r="AB59" s="778"/>
      <c r="AC59" s="783"/>
      <c r="AD59" s="692" t="s">
        <v>2992</v>
      </c>
      <c r="AE59" s="780"/>
      <c r="AF59" s="781" t="e">
        <f t="shared" si="2"/>
        <v>#DIV/0!</v>
      </c>
    </row>
    <row r="60" spans="1:33" s="784" customFormat="1" ht="18" customHeight="1" x14ac:dyDescent="0.25">
      <c r="A60" s="749">
        <v>52</v>
      </c>
      <c r="B60" s="750"/>
      <c r="C60" s="751">
        <v>2026</v>
      </c>
      <c r="D60" s="688" t="s">
        <v>2830</v>
      </c>
      <c r="E60" s="689" t="s">
        <v>2831</v>
      </c>
      <c r="F60" s="707"/>
      <c r="G60" s="707"/>
      <c r="H60" s="707"/>
      <c r="I60" s="707"/>
      <c r="J60" s="707"/>
      <c r="K60" s="707"/>
      <c r="L60" s="707"/>
      <c r="M60" s="707"/>
      <c r="N60" s="707"/>
      <c r="O60" s="707"/>
      <c r="P60" s="707"/>
      <c r="Q60" s="707"/>
      <c r="R60" s="707"/>
      <c r="S60" s="707"/>
      <c r="T60" s="707"/>
      <c r="U60" s="707"/>
      <c r="V60" s="782">
        <f t="shared" si="3"/>
        <v>0</v>
      </c>
      <c r="W60" s="707"/>
      <c r="X60" s="707"/>
      <c r="Y60" s="707"/>
      <c r="Z60" s="782"/>
      <c r="AA60" s="782"/>
      <c r="AB60" s="778"/>
      <c r="AC60" s="783"/>
      <c r="AD60" s="692" t="s">
        <v>2982</v>
      </c>
      <c r="AE60" s="780"/>
      <c r="AF60" s="781" t="e">
        <f t="shared" si="2"/>
        <v>#DIV/0!</v>
      </c>
    </row>
    <row r="61" spans="1:33" s="784" customFormat="1" ht="18" customHeight="1" x14ac:dyDescent="0.25">
      <c r="A61" s="749">
        <v>53</v>
      </c>
      <c r="B61" s="750"/>
      <c r="C61" s="751">
        <v>2026</v>
      </c>
      <c r="D61" s="688" t="s">
        <v>2832</v>
      </c>
      <c r="E61" s="689" t="s">
        <v>2546</v>
      </c>
      <c r="F61" s="707"/>
      <c r="G61" s="707"/>
      <c r="H61" s="707"/>
      <c r="I61" s="707"/>
      <c r="J61" s="707"/>
      <c r="K61" s="707"/>
      <c r="L61" s="707"/>
      <c r="M61" s="707"/>
      <c r="N61" s="707"/>
      <c r="O61" s="707"/>
      <c r="P61" s="707"/>
      <c r="Q61" s="707"/>
      <c r="R61" s="707"/>
      <c r="S61" s="707"/>
      <c r="T61" s="707"/>
      <c r="U61" s="707"/>
      <c r="V61" s="782">
        <f t="shared" si="3"/>
        <v>0</v>
      </c>
      <c r="W61" s="707"/>
      <c r="X61" s="707"/>
      <c r="Y61" s="707"/>
      <c r="Z61" s="782"/>
      <c r="AA61" s="782"/>
      <c r="AB61" s="778"/>
      <c r="AC61" s="783"/>
      <c r="AD61" s="692" t="s">
        <v>2516</v>
      </c>
      <c r="AE61" s="780"/>
      <c r="AF61" s="781" t="e">
        <f t="shared" si="2"/>
        <v>#DIV/0!</v>
      </c>
    </row>
    <row r="62" spans="1:33" s="784" customFormat="1" ht="18" customHeight="1" x14ac:dyDescent="0.25">
      <c r="A62" s="749">
        <v>54</v>
      </c>
      <c r="B62" s="750"/>
      <c r="C62" s="751">
        <v>2026</v>
      </c>
      <c r="D62" s="688" t="s">
        <v>2833</v>
      </c>
      <c r="E62" s="689" t="s">
        <v>2834</v>
      </c>
      <c r="F62" s="707"/>
      <c r="G62" s="707"/>
      <c r="H62" s="707"/>
      <c r="I62" s="707"/>
      <c r="J62" s="707"/>
      <c r="K62" s="707"/>
      <c r="L62" s="707"/>
      <c r="M62" s="707"/>
      <c r="N62" s="707"/>
      <c r="O62" s="707"/>
      <c r="P62" s="707"/>
      <c r="Q62" s="707"/>
      <c r="R62" s="707"/>
      <c r="S62" s="707"/>
      <c r="T62" s="707"/>
      <c r="U62" s="707"/>
      <c r="V62" s="782">
        <f t="shared" si="3"/>
        <v>0</v>
      </c>
      <c r="W62" s="707"/>
      <c r="X62" s="707"/>
      <c r="Y62" s="707"/>
      <c r="Z62" s="782"/>
      <c r="AA62" s="782"/>
      <c r="AB62" s="778"/>
      <c r="AC62" s="783"/>
      <c r="AD62" s="692" t="s">
        <v>2993</v>
      </c>
      <c r="AE62" s="780"/>
      <c r="AF62" s="781" t="e">
        <f t="shared" si="2"/>
        <v>#DIV/0!</v>
      </c>
    </row>
    <row r="63" spans="1:33" s="784" customFormat="1" ht="18" customHeight="1" x14ac:dyDescent="0.25">
      <c r="A63" s="749">
        <v>55</v>
      </c>
      <c r="B63" s="750"/>
      <c r="C63" s="751">
        <v>2026</v>
      </c>
      <c r="D63" s="688" t="s">
        <v>2835</v>
      </c>
      <c r="E63" s="689" t="s">
        <v>2836</v>
      </c>
      <c r="F63" s="707"/>
      <c r="G63" s="707"/>
      <c r="H63" s="707"/>
      <c r="I63" s="707"/>
      <c r="J63" s="707"/>
      <c r="K63" s="707"/>
      <c r="L63" s="707"/>
      <c r="M63" s="707"/>
      <c r="N63" s="707"/>
      <c r="O63" s="707"/>
      <c r="P63" s="707"/>
      <c r="Q63" s="707"/>
      <c r="R63" s="707"/>
      <c r="S63" s="707"/>
      <c r="T63" s="707"/>
      <c r="U63" s="707"/>
      <c r="V63" s="782">
        <f t="shared" si="3"/>
        <v>0</v>
      </c>
      <c r="W63" s="707"/>
      <c r="X63" s="707"/>
      <c r="Y63" s="707"/>
      <c r="Z63" s="782"/>
      <c r="AA63" s="782"/>
      <c r="AB63" s="778"/>
      <c r="AC63" s="783"/>
      <c r="AD63" s="692" t="s">
        <v>2497</v>
      </c>
      <c r="AE63" s="780"/>
      <c r="AF63" s="781" t="e">
        <f t="shared" si="2"/>
        <v>#DIV/0!</v>
      </c>
    </row>
    <row r="64" spans="1:33" s="784" customFormat="1" ht="18" customHeight="1" x14ac:dyDescent="0.25">
      <c r="A64" s="749">
        <v>56</v>
      </c>
      <c r="B64" s="750"/>
      <c r="C64" s="751">
        <v>2026</v>
      </c>
      <c r="D64" s="688" t="s">
        <v>2837</v>
      </c>
      <c r="E64" s="689" t="s">
        <v>2838</v>
      </c>
      <c r="F64" s="707"/>
      <c r="G64" s="707"/>
      <c r="H64" s="707"/>
      <c r="I64" s="707"/>
      <c r="J64" s="707"/>
      <c r="K64" s="707"/>
      <c r="L64" s="707"/>
      <c r="M64" s="707"/>
      <c r="N64" s="707"/>
      <c r="O64" s="707"/>
      <c r="P64" s="707"/>
      <c r="Q64" s="707"/>
      <c r="R64" s="707"/>
      <c r="S64" s="707"/>
      <c r="T64" s="707"/>
      <c r="U64" s="707"/>
      <c r="V64" s="782">
        <f t="shared" si="3"/>
        <v>0</v>
      </c>
      <c r="W64" s="707"/>
      <c r="X64" s="707"/>
      <c r="Y64" s="707"/>
      <c r="Z64" s="782"/>
      <c r="AA64" s="782"/>
      <c r="AB64" s="778"/>
      <c r="AC64" s="783"/>
      <c r="AD64" s="692" t="s">
        <v>2994</v>
      </c>
      <c r="AE64" s="780"/>
      <c r="AF64" s="781" t="e">
        <f t="shared" si="2"/>
        <v>#DIV/0!</v>
      </c>
    </row>
    <row r="65" spans="1:33" s="784" customFormat="1" ht="18" customHeight="1" x14ac:dyDescent="0.25">
      <c r="A65" s="749">
        <v>57</v>
      </c>
      <c r="B65" s="750"/>
      <c r="C65" s="751">
        <v>2026</v>
      </c>
      <c r="D65" s="688" t="s">
        <v>2839</v>
      </c>
      <c r="E65" s="689" t="s">
        <v>2840</v>
      </c>
      <c r="F65" s="707"/>
      <c r="G65" s="707"/>
      <c r="H65" s="707"/>
      <c r="I65" s="707"/>
      <c r="J65" s="707"/>
      <c r="K65" s="707"/>
      <c r="L65" s="707"/>
      <c r="M65" s="707"/>
      <c r="N65" s="707"/>
      <c r="O65" s="707"/>
      <c r="P65" s="707"/>
      <c r="Q65" s="707"/>
      <c r="R65" s="707"/>
      <c r="S65" s="707"/>
      <c r="T65" s="707"/>
      <c r="U65" s="707"/>
      <c r="V65" s="782">
        <f t="shared" si="3"/>
        <v>0</v>
      </c>
      <c r="W65" s="707"/>
      <c r="X65" s="707"/>
      <c r="Y65" s="707"/>
      <c r="Z65" s="782"/>
      <c r="AA65" s="782"/>
      <c r="AB65" s="778"/>
      <c r="AC65" s="783"/>
      <c r="AD65" s="692" t="s">
        <v>2986</v>
      </c>
      <c r="AE65" s="780"/>
      <c r="AF65" s="781" t="e">
        <f t="shared" si="2"/>
        <v>#DIV/0!</v>
      </c>
    </row>
    <row r="66" spans="1:33" s="784" customFormat="1" ht="18" customHeight="1" x14ac:dyDescent="0.25">
      <c r="A66" s="749">
        <v>58</v>
      </c>
      <c r="B66" s="750"/>
      <c r="C66" s="751">
        <v>2026</v>
      </c>
      <c r="D66" s="688" t="s">
        <v>2841</v>
      </c>
      <c r="E66" s="689" t="s">
        <v>2842</v>
      </c>
      <c r="F66" s="707"/>
      <c r="G66" s="707"/>
      <c r="H66" s="707"/>
      <c r="I66" s="707"/>
      <c r="J66" s="707"/>
      <c r="K66" s="707"/>
      <c r="L66" s="707"/>
      <c r="M66" s="707"/>
      <c r="N66" s="707"/>
      <c r="O66" s="707"/>
      <c r="P66" s="707"/>
      <c r="Q66" s="707"/>
      <c r="R66" s="707"/>
      <c r="S66" s="707"/>
      <c r="T66" s="707"/>
      <c r="U66" s="707"/>
      <c r="V66" s="782">
        <f t="shared" si="3"/>
        <v>0</v>
      </c>
      <c r="W66" s="707"/>
      <c r="X66" s="707"/>
      <c r="Y66" s="707"/>
      <c r="Z66" s="782"/>
      <c r="AA66" s="782"/>
      <c r="AB66" s="778"/>
      <c r="AC66" s="783"/>
      <c r="AD66" s="692" t="s">
        <v>2995</v>
      </c>
      <c r="AE66" s="780"/>
      <c r="AF66" s="781" t="e">
        <f t="shared" si="2"/>
        <v>#DIV/0!</v>
      </c>
    </row>
    <row r="67" spans="1:33" s="784" customFormat="1" ht="18" customHeight="1" x14ac:dyDescent="0.25">
      <c r="A67" s="749">
        <v>59</v>
      </c>
      <c r="B67" s="750"/>
      <c r="C67" s="751">
        <v>2026</v>
      </c>
      <c r="D67" s="688" t="s">
        <v>2843</v>
      </c>
      <c r="E67" s="689" t="s">
        <v>2844</v>
      </c>
      <c r="F67" s="707"/>
      <c r="G67" s="707"/>
      <c r="H67" s="707"/>
      <c r="I67" s="707"/>
      <c r="J67" s="707"/>
      <c r="K67" s="707"/>
      <c r="L67" s="707"/>
      <c r="M67" s="707"/>
      <c r="N67" s="707"/>
      <c r="O67" s="707"/>
      <c r="P67" s="707"/>
      <c r="Q67" s="707"/>
      <c r="R67" s="707"/>
      <c r="S67" s="707"/>
      <c r="T67" s="707"/>
      <c r="U67" s="707"/>
      <c r="V67" s="782">
        <f t="shared" si="3"/>
        <v>0</v>
      </c>
      <c r="W67" s="707"/>
      <c r="X67" s="707"/>
      <c r="Y67" s="707"/>
      <c r="Z67" s="782"/>
      <c r="AA67" s="782"/>
      <c r="AB67" s="778"/>
      <c r="AC67" s="783"/>
      <c r="AD67" s="692" t="s">
        <v>2730</v>
      </c>
      <c r="AE67" s="780"/>
      <c r="AF67" s="781" t="e">
        <f t="shared" si="2"/>
        <v>#DIV/0!</v>
      </c>
    </row>
    <row r="68" spans="1:33" s="784" customFormat="1" ht="18" customHeight="1" x14ac:dyDescent="0.25">
      <c r="A68" s="749">
        <v>60</v>
      </c>
      <c r="B68" s="750"/>
      <c r="C68" s="751">
        <v>2026</v>
      </c>
      <c r="D68" s="688" t="s">
        <v>2845</v>
      </c>
      <c r="E68" s="689" t="s">
        <v>2846</v>
      </c>
      <c r="F68" s="707"/>
      <c r="G68" s="707"/>
      <c r="H68" s="707"/>
      <c r="I68" s="707"/>
      <c r="J68" s="707"/>
      <c r="K68" s="707"/>
      <c r="L68" s="707"/>
      <c r="M68" s="707"/>
      <c r="N68" s="707"/>
      <c r="O68" s="707"/>
      <c r="P68" s="707"/>
      <c r="Q68" s="707"/>
      <c r="R68" s="707"/>
      <c r="S68" s="707"/>
      <c r="T68" s="707"/>
      <c r="U68" s="707"/>
      <c r="V68" s="782">
        <f t="shared" si="3"/>
        <v>0</v>
      </c>
      <c r="W68" s="707"/>
      <c r="X68" s="707"/>
      <c r="Y68" s="707"/>
      <c r="Z68" s="782"/>
      <c r="AA68" s="782"/>
      <c r="AB68" s="778"/>
      <c r="AC68" s="783"/>
      <c r="AD68" s="692" t="s">
        <v>2982</v>
      </c>
      <c r="AE68" s="780"/>
      <c r="AF68" s="781" t="e">
        <f t="shared" si="2"/>
        <v>#DIV/0!</v>
      </c>
    </row>
    <row r="69" spans="1:33" s="784" customFormat="1" ht="18" customHeight="1" x14ac:dyDescent="0.25">
      <c r="A69" s="749">
        <v>61</v>
      </c>
      <c r="B69" s="750"/>
      <c r="C69" s="751">
        <v>2026</v>
      </c>
      <c r="D69" s="688" t="s">
        <v>2847</v>
      </c>
      <c r="E69" s="689" t="s">
        <v>2848</v>
      </c>
      <c r="F69" s="707"/>
      <c r="G69" s="707"/>
      <c r="H69" s="707"/>
      <c r="I69" s="707"/>
      <c r="J69" s="707"/>
      <c r="K69" s="707"/>
      <c r="L69" s="707"/>
      <c r="M69" s="707"/>
      <c r="N69" s="707"/>
      <c r="O69" s="707"/>
      <c r="P69" s="707"/>
      <c r="Q69" s="707"/>
      <c r="R69" s="707"/>
      <c r="S69" s="707"/>
      <c r="T69" s="707"/>
      <c r="U69" s="707"/>
      <c r="V69" s="782">
        <f t="shared" si="3"/>
        <v>0</v>
      </c>
      <c r="W69" s="707"/>
      <c r="X69" s="707"/>
      <c r="Y69" s="707"/>
      <c r="Z69" s="782"/>
      <c r="AA69" s="782"/>
      <c r="AB69" s="778"/>
      <c r="AC69" s="783"/>
      <c r="AD69" s="692" t="s">
        <v>2967</v>
      </c>
      <c r="AE69" s="780"/>
      <c r="AF69" s="781" t="e">
        <f t="shared" si="2"/>
        <v>#DIV/0!</v>
      </c>
    </row>
    <row r="70" spans="1:33" s="784" customFormat="1" ht="18" customHeight="1" x14ac:dyDescent="0.25">
      <c r="A70" s="749">
        <v>62</v>
      </c>
      <c r="B70" s="750"/>
      <c r="C70" s="751">
        <v>2026</v>
      </c>
      <c r="D70" s="688" t="s">
        <v>2849</v>
      </c>
      <c r="E70" s="689" t="s">
        <v>2568</v>
      </c>
      <c r="F70" s="707"/>
      <c r="G70" s="707"/>
      <c r="H70" s="707"/>
      <c r="I70" s="707"/>
      <c r="J70" s="707"/>
      <c r="K70" s="707"/>
      <c r="L70" s="707"/>
      <c r="M70" s="707"/>
      <c r="N70" s="707"/>
      <c r="O70" s="707"/>
      <c r="P70" s="707"/>
      <c r="Q70" s="707"/>
      <c r="R70" s="707"/>
      <c r="S70" s="707"/>
      <c r="T70" s="707"/>
      <c r="U70" s="707"/>
      <c r="V70" s="782">
        <f t="shared" si="3"/>
        <v>0</v>
      </c>
      <c r="W70" s="707"/>
      <c r="X70" s="707"/>
      <c r="Y70" s="707"/>
      <c r="Z70" s="782"/>
      <c r="AA70" s="782"/>
      <c r="AB70" s="778"/>
      <c r="AC70" s="783"/>
      <c r="AD70" s="692" t="s">
        <v>2996</v>
      </c>
      <c r="AE70" s="780"/>
      <c r="AF70" s="781" t="e">
        <f t="shared" si="2"/>
        <v>#DIV/0!</v>
      </c>
    </row>
    <row r="71" spans="1:33" s="784" customFormat="1" ht="18" customHeight="1" x14ac:dyDescent="0.25">
      <c r="A71" s="749">
        <v>63</v>
      </c>
      <c r="B71" s="750"/>
      <c r="C71" s="751">
        <v>2026</v>
      </c>
      <c r="D71" s="688" t="s">
        <v>2850</v>
      </c>
      <c r="E71" s="689" t="s">
        <v>2851</v>
      </c>
      <c r="F71" s="707"/>
      <c r="G71" s="707"/>
      <c r="H71" s="707"/>
      <c r="I71" s="707"/>
      <c r="J71" s="707"/>
      <c r="K71" s="707"/>
      <c r="L71" s="707"/>
      <c r="M71" s="707"/>
      <c r="N71" s="707"/>
      <c r="O71" s="707"/>
      <c r="P71" s="707"/>
      <c r="Q71" s="707"/>
      <c r="R71" s="707"/>
      <c r="S71" s="707"/>
      <c r="T71" s="707"/>
      <c r="U71" s="707"/>
      <c r="V71" s="782">
        <f t="shared" si="3"/>
        <v>0</v>
      </c>
      <c r="W71" s="707"/>
      <c r="X71" s="707"/>
      <c r="Y71" s="707"/>
      <c r="Z71" s="782"/>
      <c r="AA71" s="782"/>
      <c r="AB71" s="778"/>
      <c r="AC71" s="783"/>
      <c r="AD71" s="692" t="s">
        <v>2983</v>
      </c>
      <c r="AE71" s="780"/>
      <c r="AF71" s="781" t="e">
        <f t="shared" si="2"/>
        <v>#DIV/0!</v>
      </c>
    </row>
    <row r="72" spans="1:33" s="784" customFormat="1" ht="18" customHeight="1" x14ac:dyDescent="0.25">
      <c r="A72" s="749">
        <v>64</v>
      </c>
      <c r="B72" s="750"/>
      <c r="C72" s="751">
        <v>2026</v>
      </c>
      <c r="D72" s="688" t="s">
        <v>2852</v>
      </c>
      <c r="E72" s="689" t="s">
        <v>2853</v>
      </c>
      <c r="F72" s="707"/>
      <c r="G72" s="707"/>
      <c r="H72" s="707"/>
      <c r="I72" s="707"/>
      <c r="J72" s="707"/>
      <c r="K72" s="707"/>
      <c r="L72" s="707"/>
      <c r="M72" s="707"/>
      <c r="N72" s="707"/>
      <c r="O72" s="707"/>
      <c r="P72" s="707"/>
      <c r="Q72" s="707"/>
      <c r="R72" s="707"/>
      <c r="S72" s="707"/>
      <c r="T72" s="707"/>
      <c r="U72" s="707"/>
      <c r="V72" s="782">
        <f t="shared" si="3"/>
        <v>0</v>
      </c>
      <c r="W72" s="707"/>
      <c r="X72" s="707"/>
      <c r="Y72" s="707"/>
      <c r="Z72" s="782"/>
      <c r="AA72" s="782"/>
      <c r="AB72" s="778"/>
      <c r="AC72" s="783"/>
      <c r="AD72" s="692" t="s">
        <v>2966</v>
      </c>
      <c r="AE72" s="780"/>
      <c r="AF72" s="781" t="e">
        <f t="shared" si="2"/>
        <v>#DIV/0!</v>
      </c>
    </row>
    <row r="73" spans="1:33" s="784" customFormat="1" ht="18" customHeight="1" x14ac:dyDescent="0.25">
      <c r="A73" s="749">
        <v>65</v>
      </c>
      <c r="B73" s="750"/>
      <c r="C73" s="751">
        <v>2026</v>
      </c>
      <c r="D73" s="688" t="s">
        <v>2854</v>
      </c>
      <c r="E73" s="689" t="s">
        <v>2855</v>
      </c>
      <c r="F73" s="707"/>
      <c r="G73" s="707"/>
      <c r="H73" s="707"/>
      <c r="I73" s="707"/>
      <c r="J73" s="707"/>
      <c r="K73" s="707"/>
      <c r="L73" s="707"/>
      <c r="M73" s="707"/>
      <c r="N73" s="707"/>
      <c r="O73" s="707"/>
      <c r="P73" s="707"/>
      <c r="Q73" s="707"/>
      <c r="R73" s="707"/>
      <c r="S73" s="707"/>
      <c r="T73" s="707"/>
      <c r="U73" s="707"/>
      <c r="V73" s="782">
        <f t="shared" si="3"/>
        <v>0</v>
      </c>
      <c r="W73" s="707"/>
      <c r="X73" s="707"/>
      <c r="Y73" s="707"/>
      <c r="Z73" s="782"/>
      <c r="AA73" s="782"/>
      <c r="AB73" s="778"/>
      <c r="AC73" s="783"/>
      <c r="AD73" s="692" t="s">
        <v>2997</v>
      </c>
      <c r="AE73" s="780"/>
      <c r="AF73" s="781" t="e">
        <f t="shared" si="2"/>
        <v>#DIV/0!</v>
      </c>
    </row>
    <row r="74" spans="1:33" s="784" customFormat="1" ht="18" customHeight="1" x14ac:dyDescent="0.25">
      <c r="A74" s="749">
        <v>66</v>
      </c>
      <c r="B74" s="750"/>
      <c r="C74" s="751">
        <v>2026</v>
      </c>
      <c r="D74" s="688" t="s">
        <v>2856</v>
      </c>
      <c r="E74" s="689" t="s">
        <v>2857</v>
      </c>
      <c r="F74" s="707"/>
      <c r="G74" s="707"/>
      <c r="H74" s="707"/>
      <c r="I74" s="707"/>
      <c r="J74" s="707"/>
      <c r="K74" s="707"/>
      <c r="L74" s="707"/>
      <c r="M74" s="707"/>
      <c r="N74" s="707"/>
      <c r="O74" s="707"/>
      <c r="P74" s="707"/>
      <c r="Q74" s="707"/>
      <c r="R74" s="707"/>
      <c r="S74" s="707"/>
      <c r="T74" s="707"/>
      <c r="U74" s="707"/>
      <c r="V74" s="782">
        <f t="shared" si="3"/>
        <v>0</v>
      </c>
      <c r="W74" s="707"/>
      <c r="X74" s="707"/>
      <c r="Y74" s="707"/>
      <c r="Z74" s="782"/>
      <c r="AA74" s="782"/>
      <c r="AB74" s="778"/>
      <c r="AC74" s="783"/>
      <c r="AD74" s="692" t="s">
        <v>2998</v>
      </c>
      <c r="AE74" s="780"/>
      <c r="AF74" s="781" t="e">
        <f t="shared" si="2"/>
        <v>#DIV/0!</v>
      </c>
    </row>
    <row r="75" spans="1:33" s="784" customFormat="1" ht="18" customHeight="1" x14ac:dyDescent="0.25">
      <c r="A75" s="749">
        <v>67</v>
      </c>
      <c r="B75" s="750"/>
      <c r="C75" s="751">
        <v>2026</v>
      </c>
      <c r="D75" s="688" t="s">
        <v>2858</v>
      </c>
      <c r="E75" s="689" t="s">
        <v>2859</v>
      </c>
      <c r="F75" s="707"/>
      <c r="G75" s="707"/>
      <c r="H75" s="707"/>
      <c r="I75" s="707"/>
      <c r="J75" s="707"/>
      <c r="K75" s="707"/>
      <c r="L75" s="707"/>
      <c r="M75" s="707"/>
      <c r="N75" s="707"/>
      <c r="O75" s="707"/>
      <c r="P75" s="707"/>
      <c r="Q75" s="707"/>
      <c r="R75" s="707"/>
      <c r="S75" s="707"/>
      <c r="T75" s="707"/>
      <c r="U75" s="707"/>
      <c r="V75" s="782">
        <f t="shared" ref="V75:V139" si="4">SUM(F75:U75)/16</f>
        <v>0</v>
      </c>
      <c r="W75" s="707"/>
      <c r="X75" s="707"/>
      <c r="Y75" s="707"/>
      <c r="Z75" s="782"/>
      <c r="AA75" s="782"/>
      <c r="AB75" s="778"/>
      <c r="AC75" s="783"/>
      <c r="AD75" s="692" t="s">
        <v>2978</v>
      </c>
      <c r="AE75" s="780"/>
      <c r="AF75" s="781" t="e">
        <f t="shared" si="2"/>
        <v>#DIV/0!</v>
      </c>
    </row>
    <row r="76" spans="1:33" s="784" customFormat="1" ht="18" customHeight="1" x14ac:dyDescent="0.25">
      <c r="A76" s="749">
        <v>68</v>
      </c>
      <c r="B76" s="750"/>
      <c r="C76" s="751">
        <v>2026</v>
      </c>
      <c r="D76" s="688" t="s">
        <v>2860</v>
      </c>
      <c r="E76" s="689" t="s">
        <v>2861</v>
      </c>
      <c r="F76" s="707"/>
      <c r="G76" s="707"/>
      <c r="H76" s="707"/>
      <c r="I76" s="707"/>
      <c r="J76" s="707"/>
      <c r="K76" s="707"/>
      <c r="L76" s="707"/>
      <c r="M76" s="707"/>
      <c r="N76" s="707"/>
      <c r="O76" s="707"/>
      <c r="P76" s="707"/>
      <c r="Q76" s="707"/>
      <c r="R76" s="707"/>
      <c r="S76" s="707"/>
      <c r="T76" s="707"/>
      <c r="U76" s="707"/>
      <c r="V76" s="782">
        <f t="shared" si="4"/>
        <v>0</v>
      </c>
      <c r="W76" s="707"/>
      <c r="X76" s="707"/>
      <c r="Y76" s="707"/>
      <c r="Z76" s="782"/>
      <c r="AA76" s="782"/>
      <c r="AB76" s="778"/>
      <c r="AC76" s="783"/>
      <c r="AD76" s="692" t="s">
        <v>2999</v>
      </c>
      <c r="AE76" s="780"/>
      <c r="AF76" s="781" t="e">
        <f t="shared" si="2"/>
        <v>#DIV/0!</v>
      </c>
    </row>
    <row r="77" spans="1:33" s="784" customFormat="1" ht="18" customHeight="1" x14ac:dyDescent="0.25">
      <c r="A77" s="749">
        <v>69</v>
      </c>
      <c r="B77" s="750"/>
      <c r="C77" s="751">
        <v>2026</v>
      </c>
      <c r="D77" s="688" t="s">
        <v>2862</v>
      </c>
      <c r="E77" s="689" t="s">
        <v>2863</v>
      </c>
      <c r="F77" s="707"/>
      <c r="G77" s="707"/>
      <c r="H77" s="707"/>
      <c r="I77" s="707"/>
      <c r="J77" s="707"/>
      <c r="K77" s="707"/>
      <c r="L77" s="707"/>
      <c r="M77" s="707"/>
      <c r="N77" s="707"/>
      <c r="O77" s="707"/>
      <c r="P77" s="707"/>
      <c r="Q77" s="707"/>
      <c r="R77" s="707"/>
      <c r="S77" s="707"/>
      <c r="T77" s="707"/>
      <c r="U77" s="707"/>
      <c r="V77" s="782">
        <f t="shared" si="4"/>
        <v>0</v>
      </c>
      <c r="W77" s="707"/>
      <c r="X77" s="707"/>
      <c r="Y77" s="707"/>
      <c r="Z77" s="782"/>
      <c r="AA77" s="782"/>
      <c r="AB77" s="778"/>
      <c r="AC77" s="783"/>
      <c r="AD77" s="692" t="s">
        <v>3000</v>
      </c>
      <c r="AE77" s="780"/>
      <c r="AF77" s="781" t="e">
        <f t="shared" si="2"/>
        <v>#DIV/0!</v>
      </c>
      <c r="AG77" s="784" t="s">
        <v>2225</v>
      </c>
    </row>
    <row r="78" spans="1:33" s="784" customFormat="1" ht="18" customHeight="1" x14ac:dyDescent="0.25">
      <c r="A78" s="749">
        <v>70</v>
      </c>
      <c r="B78" s="750"/>
      <c r="C78" s="751">
        <v>2026</v>
      </c>
      <c r="D78" s="688" t="s">
        <v>2864</v>
      </c>
      <c r="E78" s="689" t="s">
        <v>2865</v>
      </c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82">
        <f t="shared" si="4"/>
        <v>0</v>
      </c>
      <c r="W78" s="707"/>
      <c r="X78" s="707"/>
      <c r="Y78" s="707"/>
      <c r="Z78" s="782"/>
      <c r="AA78" s="782"/>
      <c r="AB78" s="778"/>
      <c r="AC78" s="783"/>
      <c r="AD78" s="692" t="s">
        <v>2713</v>
      </c>
      <c r="AE78" s="780"/>
      <c r="AF78" s="781" t="e">
        <f t="shared" si="2"/>
        <v>#DIV/0!</v>
      </c>
    </row>
    <row r="79" spans="1:33" s="784" customFormat="1" ht="18" customHeight="1" x14ac:dyDescent="0.25">
      <c r="A79" s="749">
        <v>71</v>
      </c>
      <c r="B79" s="750"/>
      <c r="C79" s="751">
        <v>2026</v>
      </c>
      <c r="D79" s="688" t="s">
        <v>2866</v>
      </c>
      <c r="E79" s="689" t="s">
        <v>2867</v>
      </c>
      <c r="F79" s="707"/>
      <c r="G79" s="707"/>
      <c r="H79" s="707"/>
      <c r="I79" s="707"/>
      <c r="J79" s="707"/>
      <c r="K79" s="707"/>
      <c r="L79" s="707"/>
      <c r="M79" s="707"/>
      <c r="N79" s="707"/>
      <c r="O79" s="707"/>
      <c r="P79" s="707"/>
      <c r="Q79" s="707"/>
      <c r="R79" s="707"/>
      <c r="S79" s="707"/>
      <c r="T79" s="707"/>
      <c r="U79" s="707"/>
      <c r="V79" s="782">
        <f t="shared" si="4"/>
        <v>0</v>
      </c>
      <c r="W79" s="707"/>
      <c r="X79" s="707"/>
      <c r="Y79" s="707"/>
      <c r="Z79" s="782"/>
      <c r="AA79" s="782"/>
      <c r="AB79" s="778"/>
      <c r="AC79" s="783"/>
      <c r="AD79" s="692" t="s">
        <v>3001</v>
      </c>
      <c r="AE79" s="780"/>
      <c r="AF79" s="781" t="e">
        <f t="shared" si="2"/>
        <v>#DIV/0!</v>
      </c>
    </row>
    <row r="80" spans="1:33" s="784" customFormat="1" ht="18" customHeight="1" x14ac:dyDescent="0.25">
      <c r="A80" s="749">
        <v>72</v>
      </c>
      <c r="B80" s="750"/>
      <c r="C80" s="751">
        <v>2026</v>
      </c>
      <c r="D80" s="688" t="s">
        <v>2868</v>
      </c>
      <c r="E80" s="689" t="s">
        <v>1307</v>
      </c>
      <c r="F80" s="707"/>
      <c r="G80" s="707"/>
      <c r="H80" s="707"/>
      <c r="I80" s="707"/>
      <c r="J80" s="707"/>
      <c r="K80" s="707"/>
      <c r="L80" s="707"/>
      <c r="M80" s="707"/>
      <c r="N80" s="707"/>
      <c r="O80" s="707"/>
      <c r="P80" s="707"/>
      <c r="Q80" s="707"/>
      <c r="R80" s="707"/>
      <c r="S80" s="707"/>
      <c r="T80" s="707"/>
      <c r="U80" s="707"/>
      <c r="V80" s="782">
        <f t="shared" si="4"/>
        <v>0</v>
      </c>
      <c r="W80" s="707"/>
      <c r="X80" s="707"/>
      <c r="Y80" s="707"/>
      <c r="Z80" s="782"/>
      <c r="AA80" s="782"/>
      <c r="AB80" s="778"/>
      <c r="AC80" s="783"/>
      <c r="AD80" s="692" t="s">
        <v>2697</v>
      </c>
      <c r="AE80" s="780"/>
      <c r="AF80" s="781" t="e">
        <f t="shared" si="2"/>
        <v>#DIV/0!</v>
      </c>
    </row>
    <row r="81" spans="1:32" s="784" customFormat="1" ht="18" customHeight="1" x14ac:dyDescent="0.25">
      <c r="A81" s="749">
        <v>73</v>
      </c>
      <c r="B81" s="750"/>
      <c r="C81" s="751">
        <v>2026</v>
      </c>
      <c r="D81" s="688" t="s">
        <v>2869</v>
      </c>
      <c r="E81" s="689" t="s">
        <v>2870</v>
      </c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07"/>
      <c r="R81" s="707"/>
      <c r="S81" s="707"/>
      <c r="T81" s="707"/>
      <c r="U81" s="707"/>
      <c r="V81" s="782">
        <f t="shared" si="4"/>
        <v>0</v>
      </c>
      <c r="W81" s="707"/>
      <c r="X81" s="707"/>
      <c r="Y81" s="707"/>
      <c r="Z81" s="782"/>
      <c r="AA81" s="782"/>
      <c r="AB81" s="778"/>
      <c r="AC81" s="783"/>
      <c r="AD81" s="692" t="s">
        <v>3002</v>
      </c>
      <c r="AE81" s="780"/>
      <c r="AF81" s="781" t="e">
        <f t="shared" si="2"/>
        <v>#DIV/0!</v>
      </c>
    </row>
    <row r="82" spans="1:32" s="784" customFormat="1" ht="18" customHeight="1" x14ac:dyDescent="0.25">
      <c r="A82" s="749">
        <v>74</v>
      </c>
      <c r="B82" s="750"/>
      <c r="C82" s="751">
        <v>2026</v>
      </c>
      <c r="D82" s="688" t="s">
        <v>2871</v>
      </c>
      <c r="E82" s="689" t="s">
        <v>1681</v>
      </c>
      <c r="F82" s="707"/>
      <c r="G82" s="707"/>
      <c r="H82" s="707"/>
      <c r="I82" s="707"/>
      <c r="J82" s="707"/>
      <c r="K82" s="707"/>
      <c r="L82" s="707"/>
      <c r="M82" s="707"/>
      <c r="N82" s="707"/>
      <c r="O82" s="707"/>
      <c r="P82" s="707"/>
      <c r="Q82" s="707"/>
      <c r="R82" s="707"/>
      <c r="S82" s="707"/>
      <c r="T82" s="707"/>
      <c r="U82" s="707"/>
      <c r="V82" s="782">
        <f t="shared" si="4"/>
        <v>0</v>
      </c>
      <c r="W82" s="707"/>
      <c r="X82" s="707"/>
      <c r="Y82" s="707"/>
      <c r="Z82" s="782"/>
      <c r="AA82" s="782"/>
      <c r="AB82" s="778"/>
      <c r="AC82" s="783"/>
      <c r="AD82" s="692" t="s">
        <v>2986</v>
      </c>
      <c r="AE82" s="780"/>
      <c r="AF82" s="781" t="e">
        <f>AVERAGE(F82:U82)</f>
        <v>#DIV/0!</v>
      </c>
    </row>
    <row r="83" spans="1:32" s="784" customFormat="1" ht="18" customHeight="1" x14ac:dyDescent="0.25">
      <c r="A83" s="749">
        <v>75</v>
      </c>
      <c r="B83" s="750"/>
      <c r="C83" s="751">
        <v>2026</v>
      </c>
      <c r="D83" s="688" t="s">
        <v>2872</v>
      </c>
      <c r="E83" s="689" t="s">
        <v>2873</v>
      </c>
      <c r="F83" s="707"/>
      <c r="G83" s="707"/>
      <c r="H83" s="707"/>
      <c r="I83" s="707"/>
      <c r="J83" s="707"/>
      <c r="K83" s="707"/>
      <c r="L83" s="707"/>
      <c r="M83" s="707"/>
      <c r="N83" s="707"/>
      <c r="O83" s="707"/>
      <c r="P83" s="707"/>
      <c r="Q83" s="707"/>
      <c r="R83" s="707"/>
      <c r="S83" s="707"/>
      <c r="T83" s="707"/>
      <c r="U83" s="707"/>
      <c r="V83" s="782">
        <f t="shared" si="4"/>
        <v>0</v>
      </c>
      <c r="W83" s="707"/>
      <c r="X83" s="707"/>
      <c r="Y83" s="707"/>
      <c r="Z83" s="782">
        <f t="shared" si="0"/>
        <v>0</v>
      </c>
      <c r="AA83" s="782">
        <f t="shared" si="1"/>
        <v>0</v>
      </c>
      <c r="AB83" s="778"/>
      <c r="AC83" s="783"/>
      <c r="AD83" s="692" t="s">
        <v>2715</v>
      </c>
      <c r="AE83" s="780"/>
      <c r="AF83" s="781" t="e">
        <f t="shared" si="2"/>
        <v>#DIV/0!</v>
      </c>
    </row>
    <row r="84" spans="1:32" s="784" customFormat="1" ht="18" customHeight="1" x14ac:dyDescent="0.25">
      <c r="A84" s="749">
        <v>76</v>
      </c>
      <c r="B84" s="750"/>
      <c r="C84" s="751">
        <v>2026</v>
      </c>
      <c r="D84" s="688" t="s">
        <v>2874</v>
      </c>
      <c r="E84" s="689" t="s">
        <v>2596</v>
      </c>
      <c r="F84" s="707"/>
      <c r="G84" s="707"/>
      <c r="H84" s="707"/>
      <c r="I84" s="707"/>
      <c r="J84" s="707"/>
      <c r="K84" s="707"/>
      <c r="L84" s="707"/>
      <c r="M84" s="707"/>
      <c r="N84" s="707"/>
      <c r="O84" s="707"/>
      <c r="P84" s="707"/>
      <c r="Q84" s="707"/>
      <c r="R84" s="707"/>
      <c r="S84" s="707"/>
      <c r="T84" s="707"/>
      <c r="U84" s="707"/>
      <c r="V84" s="782">
        <f t="shared" si="4"/>
        <v>0</v>
      </c>
      <c r="W84" s="707"/>
      <c r="X84" s="707"/>
      <c r="Y84" s="707"/>
      <c r="Z84" s="782">
        <f t="shared" si="0"/>
        <v>0</v>
      </c>
      <c r="AA84" s="782">
        <f t="shared" si="1"/>
        <v>0</v>
      </c>
      <c r="AB84" s="778"/>
      <c r="AC84" s="783"/>
      <c r="AD84" s="692" t="s">
        <v>2999</v>
      </c>
      <c r="AE84" s="780"/>
      <c r="AF84" s="781" t="e">
        <f t="shared" si="2"/>
        <v>#DIV/0!</v>
      </c>
    </row>
    <row r="85" spans="1:32" s="784" customFormat="1" ht="18" customHeight="1" x14ac:dyDescent="0.25">
      <c r="A85" s="749">
        <v>77</v>
      </c>
      <c r="B85" s="750"/>
      <c r="C85" s="751">
        <v>2026</v>
      </c>
      <c r="D85" s="688" t="s">
        <v>2875</v>
      </c>
      <c r="E85" s="689" t="s">
        <v>2876</v>
      </c>
      <c r="F85" s="707"/>
      <c r="G85" s="707"/>
      <c r="H85" s="707"/>
      <c r="I85" s="707"/>
      <c r="J85" s="707"/>
      <c r="K85" s="707"/>
      <c r="L85" s="707"/>
      <c r="M85" s="707"/>
      <c r="N85" s="707"/>
      <c r="O85" s="707"/>
      <c r="P85" s="707"/>
      <c r="Q85" s="707"/>
      <c r="R85" s="707"/>
      <c r="S85" s="707"/>
      <c r="T85" s="707"/>
      <c r="U85" s="707"/>
      <c r="V85" s="782">
        <f t="shared" si="4"/>
        <v>0</v>
      </c>
      <c r="W85" s="707"/>
      <c r="X85" s="707"/>
      <c r="Y85" s="707"/>
      <c r="Z85" s="782"/>
      <c r="AA85" s="782"/>
      <c r="AB85" s="778"/>
      <c r="AC85" s="783"/>
      <c r="AD85" s="692" t="s">
        <v>3003</v>
      </c>
      <c r="AE85" s="780"/>
      <c r="AF85" s="781" t="e">
        <f t="shared" si="2"/>
        <v>#DIV/0!</v>
      </c>
    </row>
    <row r="86" spans="1:32" s="784" customFormat="1" ht="18" customHeight="1" x14ac:dyDescent="0.25">
      <c r="A86" s="749">
        <v>78</v>
      </c>
      <c r="B86" s="750"/>
      <c r="C86" s="751">
        <v>2026</v>
      </c>
      <c r="D86" s="688" t="s">
        <v>2877</v>
      </c>
      <c r="E86" s="689" t="s">
        <v>2831</v>
      </c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82">
        <f t="shared" si="4"/>
        <v>0</v>
      </c>
      <c r="W86" s="707"/>
      <c r="X86" s="707"/>
      <c r="Y86" s="707"/>
      <c r="Z86" s="782"/>
      <c r="AA86" s="782"/>
      <c r="AB86" s="778"/>
      <c r="AC86" s="783"/>
      <c r="AD86" s="692" t="s">
        <v>3004</v>
      </c>
      <c r="AE86" s="780"/>
      <c r="AF86" s="781" t="e">
        <f t="shared" si="2"/>
        <v>#DIV/0!</v>
      </c>
    </row>
    <row r="87" spans="1:32" s="784" customFormat="1" ht="18" customHeight="1" x14ac:dyDescent="0.25">
      <c r="A87" s="749">
        <v>79</v>
      </c>
      <c r="B87" s="750"/>
      <c r="C87" s="751">
        <v>2026</v>
      </c>
      <c r="D87" s="688" t="s">
        <v>2878</v>
      </c>
      <c r="E87" s="689" t="s">
        <v>1318</v>
      </c>
      <c r="F87" s="707"/>
      <c r="G87" s="707"/>
      <c r="H87" s="707"/>
      <c r="I87" s="707"/>
      <c r="J87" s="707"/>
      <c r="K87" s="707"/>
      <c r="L87" s="707"/>
      <c r="M87" s="707"/>
      <c r="N87" s="707"/>
      <c r="O87" s="707"/>
      <c r="P87" s="707"/>
      <c r="Q87" s="707"/>
      <c r="R87" s="707"/>
      <c r="S87" s="707"/>
      <c r="T87" s="707"/>
      <c r="U87" s="707"/>
      <c r="V87" s="782">
        <f t="shared" si="4"/>
        <v>0</v>
      </c>
      <c r="W87" s="707"/>
      <c r="X87" s="707"/>
      <c r="Y87" s="707"/>
      <c r="Z87" s="782"/>
      <c r="AA87" s="782"/>
      <c r="AB87" s="778"/>
      <c r="AC87" s="783"/>
      <c r="AD87" s="692" t="s">
        <v>3005</v>
      </c>
      <c r="AE87" s="780"/>
      <c r="AF87" s="781" t="e">
        <f t="shared" si="2"/>
        <v>#DIV/0!</v>
      </c>
    </row>
    <row r="88" spans="1:32" s="784" customFormat="1" ht="18" customHeight="1" x14ac:dyDescent="0.25">
      <c r="A88" s="749">
        <v>80</v>
      </c>
      <c r="B88" s="750"/>
      <c r="C88" s="751">
        <v>2026</v>
      </c>
      <c r="D88" s="688" t="s">
        <v>2879</v>
      </c>
      <c r="E88" s="689" t="s">
        <v>2880</v>
      </c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82">
        <f t="shared" si="4"/>
        <v>0</v>
      </c>
      <c r="W88" s="707"/>
      <c r="X88" s="707"/>
      <c r="Y88" s="707"/>
      <c r="Z88" s="782"/>
      <c r="AA88" s="782"/>
      <c r="AB88" s="778"/>
      <c r="AC88" s="783"/>
      <c r="AD88" s="692" t="s">
        <v>2996</v>
      </c>
      <c r="AE88" s="780"/>
      <c r="AF88" s="781" t="e">
        <f t="shared" si="2"/>
        <v>#DIV/0!</v>
      </c>
    </row>
    <row r="89" spans="1:32" s="784" customFormat="1" ht="18" customHeight="1" x14ac:dyDescent="0.25">
      <c r="A89" s="749">
        <v>81</v>
      </c>
      <c r="B89" s="750"/>
      <c r="C89" s="751">
        <v>2026</v>
      </c>
      <c r="D89" s="688" t="s">
        <v>2881</v>
      </c>
      <c r="E89" s="689" t="s">
        <v>2409</v>
      </c>
      <c r="F89" s="707"/>
      <c r="G89" s="707"/>
      <c r="H89" s="707"/>
      <c r="I89" s="707"/>
      <c r="J89" s="707"/>
      <c r="K89" s="707"/>
      <c r="L89" s="707"/>
      <c r="M89" s="707"/>
      <c r="N89" s="707"/>
      <c r="O89" s="707"/>
      <c r="P89" s="707"/>
      <c r="Q89" s="707"/>
      <c r="R89" s="707"/>
      <c r="S89" s="707"/>
      <c r="T89" s="707"/>
      <c r="U89" s="707"/>
      <c r="V89" s="782">
        <f t="shared" si="4"/>
        <v>0</v>
      </c>
      <c r="W89" s="707"/>
      <c r="X89" s="707"/>
      <c r="Y89" s="707"/>
      <c r="Z89" s="782"/>
      <c r="AA89" s="782"/>
      <c r="AB89" s="778"/>
      <c r="AC89" s="783"/>
      <c r="AD89" s="692" t="s">
        <v>2983</v>
      </c>
      <c r="AE89" s="780"/>
      <c r="AF89" s="781" t="e">
        <f t="shared" si="2"/>
        <v>#DIV/0!</v>
      </c>
    </row>
    <row r="90" spans="1:32" s="784" customFormat="1" ht="18" customHeight="1" x14ac:dyDescent="0.25">
      <c r="A90" s="749">
        <v>82</v>
      </c>
      <c r="B90" s="750"/>
      <c r="C90" s="751">
        <v>2026</v>
      </c>
      <c r="D90" s="688" t="s">
        <v>2882</v>
      </c>
      <c r="E90" s="689" t="s">
        <v>2400</v>
      </c>
      <c r="F90" s="707"/>
      <c r="G90" s="707"/>
      <c r="H90" s="707"/>
      <c r="I90" s="707"/>
      <c r="J90" s="707"/>
      <c r="K90" s="707"/>
      <c r="L90" s="707"/>
      <c r="M90" s="707"/>
      <c r="N90" s="707"/>
      <c r="O90" s="707"/>
      <c r="P90" s="707"/>
      <c r="Q90" s="707"/>
      <c r="R90" s="707"/>
      <c r="S90" s="707"/>
      <c r="T90" s="707"/>
      <c r="U90" s="707"/>
      <c r="V90" s="782">
        <f t="shared" si="4"/>
        <v>0</v>
      </c>
      <c r="W90" s="707"/>
      <c r="X90" s="707"/>
      <c r="Y90" s="707"/>
      <c r="Z90" s="782"/>
      <c r="AA90" s="782"/>
      <c r="AB90" s="778"/>
      <c r="AC90" s="783"/>
      <c r="AD90" s="692" t="s">
        <v>2515</v>
      </c>
      <c r="AE90" s="780"/>
      <c r="AF90" s="781" t="e">
        <f t="shared" si="2"/>
        <v>#DIV/0!</v>
      </c>
    </row>
    <row r="91" spans="1:32" s="784" customFormat="1" ht="18" customHeight="1" x14ac:dyDescent="0.25">
      <c r="A91" s="749">
        <v>83</v>
      </c>
      <c r="B91" s="750"/>
      <c r="C91" s="751">
        <v>2026</v>
      </c>
      <c r="D91" s="688" t="s">
        <v>2883</v>
      </c>
      <c r="E91" s="689" t="s">
        <v>620</v>
      </c>
      <c r="F91" s="707"/>
      <c r="G91" s="707"/>
      <c r="H91" s="707"/>
      <c r="I91" s="707"/>
      <c r="J91" s="707"/>
      <c r="K91" s="707"/>
      <c r="L91" s="707"/>
      <c r="M91" s="707"/>
      <c r="N91" s="707"/>
      <c r="O91" s="707"/>
      <c r="P91" s="707"/>
      <c r="Q91" s="707"/>
      <c r="R91" s="707"/>
      <c r="S91" s="707"/>
      <c r="T91" s="707"/>
      <c r="U91" s="707"/>
      <c r="V91" s="782">
        <f t="shared" si="4"/>
        <v>0</v>
      </c>
      <c r="W91" s="707"/>
      <c r="X91" s="707"/>
      <c r="Y91" s="707"/>
      <c r="Z91" s="782"/>
      <c r="AA91" s="782"/>
      <c r="AB91" s="778"/>
      <c r="AC91" s="783"/>
      <c r="AD91" s="692" t="s">
        <v>2732</v>
      </c>
      <c r="AE91" s="780"/>
      <c r="AF91" s="781" t="e">
        <f t="shared" si="2"/>
        <v>#DIV/0!</v>
      </c>
    </row>
    <row r="92" spans="1:32" s="784" customFormat="1" ht="18" customHeight="1" x14ac:dyDescent="0.25">
      <c r="A92" s="749">
        <v>84</v>
      </c>
      <c r="B92" s="750"/>
      <c r="C92" s="751">
        <v>2026</v>
      </c>
      <c r="D92" s="688" t="s">
        <v>2884</v>
      </c>
      <c r="E92" s="689" t="s">
        <v>2885</v>
      </c>
      <c r="F92" s="707"/>
      <c r="G92" s="707"/>
      <c r="H92" s="707"/>
      <c r="I92" s="707"/>
      <c r="J92" s="707"/>
      <c r="K92" s="707"/>
      <c r="L92" s="707"/>
      <c r="M92" s="707"/>
      <c r="N92" s="707"/>
      <c r="O92" s="707"/>
      <c r="P92" s="707"/>
      <c r="Q92" s="707"/>
      <c r="R92" s="707"/>
      <c r="S92" s="707"/>
      <c r="T92" s="707"/>
      <c r="U92" s="707"/>
      <c r="V92" s="782">
        <f t="shared" si="4"/>
        <v>0</v>
      </c>
      <c r="W92" s="707"/>
      <c r="X92" s="707"/>
      <c r="Y92" s="707"/>
      <c r="Z92" s="782"/>
      <c r="AA92" s="782"/>
      <c r="AB92" s="778"/>
      <c r="AC92" s="783"/>
      <c r="AD92" s="692" t="s">
        <v>2497</v>
      </c>
      <c r="AE92" s="780"/>
      <c r="AF92" s="781" t="e">
        <f t="shared" si="2"/>
        <v>#DIV/0!</v>
      </c>
    </row>
    <row r="93" spans="1:32" s="784" customFormat="1" ht="18" customHeight="1" x14ac:dyDescent="0.25">
      <c r="A93" s="749">
        <v>85</v>
      </c>
      <c r="B93" s="750"/>
      <c r="C93" s="751">
        <v>2026</v>
      </c>
      <c r="D93" s="688" t="s">
        <v>2886</v>
      </c>
      <c r="E93" s="689" t="s">
        <v>2243</v>
      </c>
      <c r="F93" s="707"/>
      <c r="G93" s="707"/>
      <c r="H93" s="707"/>
      <c r="I93" s="707"/>
      <c r="J93" s="707"/>
      <c r="K93" s="707"/>
      <c r="L93" s="707"/>
      <c r="M93" s="707"/>
      <c r="N93" s="707"/>
      <c r="O93" s="707"/>
      <c r="P93" s="707"/>
      <c r="Q93" s="707"/>
      <c r="R93" s="707"/>
      <c r="S93" s="707"/>
      <c r="T93" s="707"/>
      <c r="U93" s="707"/>
      <c r="V93" s="782">
        <f t="shared" si="4"/>
        <v>0</v>
      </c>
      <c r="W93" s="707"/>
      <c r="X93" s="707"/>
      <c r="Y93" s="707"/>
      <c r="Z93" s="782"/>
      <c r="AA93" s="782"/>
      <c r="AB93" s="778"/>
      <c r="AC93" s="783"/>
      <c r="AD93" s="692" t="s">
        <v>3006</v>
      </c>
      <c r="AE93" s="780"/>
      <c r="AF93" s="781" t="e">
        <f t="shared" si="2"/>
        <v>#DIV/0!</v>
      </c>
    </row>
    <row r="94" spans="1:32" s="784" customFormat="1" ht="18" customHeight="1" x14ac:dyDescent="0.25">
      <c r="A94" s="749">
        <v>86</v>
      </c>
      <c r="B94" s="750"/>
      <c r="C94" s="751">
        <v>2026</v>
      </c>
      <c r="D94" s="688" t="s">
        <v>2887</v>
      </c>
      <c r="E94" s="689" t="s">
        <v>2888</v>
      </c>
      <c r="F94" s="707"/>
      <c r="G94" s="707"/>
      <c r="H94" s="707"/>
      <c r="I94" s="707"/>
      <c r="J94" s="707"/>
      <c r="K94" s="707"/>
      <c r="L94" s="707"/>
      <c r="M94" s="707"/>
      <c r="N94" s="707"/>
      <c r="O94" s="707"/>
      <c r="P94" s="707"/>
      <c r="Q94" s="707"/>
      <c r="R94" s="707"/>
      <c r="S94" s="707"/>
      <c r="T94" s="707"/>
      <c r="U94" s="707"/>
      <c r="V94" s="782">
        <f t="shared" si="4"/>
        <v>0</v>
      </c>
      <c r="W94" s="707"/>
      <c r="X94" s="707"/>
      <c r="Y94" s="707"/>
      <c r="Z94" s="782"/>
      <c r="AA94" s="782"/>
      <c r="AB94" s="778"/>
      <c r="AC94" s="783"/>
      <c r="AD94" s="692" t="s">
        <v>2982</v>
      </c>
      <c r="AE94" s="780"/>
      <c r="AF94" s="781" t="e">
        <f t="shared" si="2"/>
        <v>#DIV/0!</v>
      </c>
    </row>
    <row r="95" spans="1:32" s="784" customFormat="1" ht="18" customHeight="1" x14ac:dyDescent="0.25">
      <c r="A95" s="749">
        <v>87</v>
      </c>
      <c r="B95" s="750"/>
      <c r="C95" s="751">
        <v>2026</v>
      </c>
      <c r="D95" s="688" t="s">
        <v>2889</v>
      </c>
      <c r="E95" s="689" t="s">
        <v>2890</v>
      </c>
      <c r="F95" s="707"/>
      <c r="G95" s="707"/>
      <c r="H95" s="707"/>
      <c r="I95" s="707"/>
      <c r="J95" s="707"/>
      <c r="K95" s="707"/>
      <c r="L95" s="707"/>
      <c r="M95" s="707"/>
      <c r="N95" s="707"/>
      <c r="O95" s="707"/>
      <c r="P95" s="707"/>
      <c r="Q95" s="707"/>
      <c r="R95" s="707"/>
      <c r="S95" s="707"/>
      <c r="T95" s="707"/>
      <c r="U95" s="707"/>
      <c r="V95" s="782">
        <f t="shared" si="4"/>
        <v>0</v>
      </c>
      <c r="W95" s="707"/>
      <c r="X95" s="707"/>
      <c r="Y95" s="707"/>
      <c r="Z95" s="782"/>
      <c r="AA95" s="782"/>
      <c r="AB95" s="778"/>
      <c r="AC95" s="783"/>
      <c r="AD95" s="692" t="s">
        <v>2515</v>
      </c>
      <c r="AE95" s="780"/>
      <c r="AF95" s="781" t="e">
        <f t="shared" si="2"/>
        <v>#DIV/0!</v>
      </c>
    </row>
    <row r="96" spans="1:32" s="784" customFormat="1" ht="18" customHeight="1" x14ac:dyDescent="0.25">
      <c r="A96" s="749">
        <v>88</v>
      </c>
      <c r="B96" s="750"/>
      <c r="C96" s="751">
        <v>2026</v>
      </c>
      <c r="D96" s="688" t="s">
        <v>2891</v>
      </c>
      <c r="E96" s="689" t="s">
        <v>2892</v>
      </c>
      <c r="F96" s="707"/>
      <c r="G96" s="707"/>
      <c r="H96" s="707"/>
      <c r="I96" s="707"/>
      <c r="J96" s="707"/>
      <c r="K96" s="707"/>
      <c r="L96" s="707"/>
      <c r="M96" s="707"/>
      <c r="N96" s="707"/>
      <c r="O96" s="707"/>
      <c r="P96" s="707"/>
      <c r="Q96" s="707"/>
      <c r="R96" s="707"/>
      <c r="S96" s="707"/>
      <c r="T96" s="707"/>
      <c r="U96" s="707"/>
      <c r="V96" s="782">
        <f t="shared" si="4"/>
        <v>0</v>
      </c>
      <c r="W96" s="707"/>
      <c r="X96" s="707"/>
      <c r="Y96" s="707"/>
      <c r="Z96" s="782"/>
      <c r="AA96" s="782"/>
      <c r="AB96" s="778"/>
      <c r="AC96" s="783"/>
      <c r="AD96" s="692" t="s">
        <v>2724</v>
      </c>
      <c r="AE96" s="780"/>
      <c r="AF96" s="781" t="e">
        <f t="shared" si="2"/>
        <v>#DIV/0!</v>
      </c>
    </row>
    <row r="97" spans="1:33" s="784" customFormat="1" ht="18" customHeight="1" x14ac:dyDescent="0.25">
      <c r="A97" s="749">
        <v>89</v>
      </c>
      <c r="B97" s="750"/>
      <c r="C97" s="751">
        <v>2026</v>
      </c>
      <c r="D97" s="688" t="s">
        <v>2893</v>
      </c>
      <c r="E97" s="689" t="s">
        <v>2894</v>
      </c>
      <c r="F97" s="707"/>
      <c r="G97" s="707"/>
      <c r="H97" s="707"/>
      <c r="I97" s="707"/>
      <c r="J97" s="707"/>
      <c r="K97" s="707"/>
      <c r="L97" s="707"/>
      <c r="M97" s="707"/>
      <c r="N97" s="707"/>
      <c r="O97" s="707"/>
      <c r="P97" s="707"/>
      <c r="Q97" s="707"/>
      <c r="R97" s="707"/>
      <c r="S97" s="707"/>
      <c r="T97" s="707"/>
      <c r="U97" s="707"/>
      <c r="V97" s="782">
        <f t="shared" si="4"/>
        <v>0</v>
      </c>
      <c r="W97" s="707"/>
      <c r="X97" s="707"/>
      <c r="Y97" s="707"/>
      <c r="Z97" s="782"/>
      <c r="AA97" s="782"/>
      <c r="AB97" s="778"/>
      <c r="AC97" s="783"/>
      <c r="AD97" s="692" t="s">
        <v>2538</v>
      </c>
      <c r="AE97" s="780"/>
      <c r="AF97" s="781" t="e">
        <f t="shared" si="2"/>
        <v>#DIV/0!</v>
      </c>
    </row>
    <row r="98" spans="1:33" s="784" customFormat="1" ht="18" customHeight="1" x14ac:dyDescent="0.25">
      <c r="A98" s="749">
        <v>90</v>
      </c>
      <c r="B98" s="750"/>
      <c r="C98" s="751">
        <v>2026</v>
      </c>
      <c r="D98" s="688" t="s">
        <v>2895</v>
      </c>
      <c r="E98" s="689" t="s">
        <v>2896</v>
      </c>
      <c r="F98" s="707"/>
      <c r="G98" s="707"/>
      <c r="H98" s="707"/>
      <c r="I98" s="707"/>
      <c r="J98" s="707"/>
      <c r="K98" s="707"/>
      <c r="L98" s="707"/>
      <c r="M98" s="707"/>
      <c r="N98" s="707"/>
      <c r="O98" s="707"/>
      <c r="P98" s="707"/>
      <c r="Q98" s="707"/>
      <c r="R98" s="707"/>
      <c r="S98" s="707"/>
      <c r="T98" s="707"/>
      <c r="U98" s="707"/>
      <c r="V98" s="782">
        <f t="shared" si="4"/>
        <v>0</v>
      </c>
      <c r="W98" s="707"/>
      <c r="X98" s="707"/>
      <c r="Y98" s="707"/>
      <c r="Z98" s="782"/>
      <c r="AA98" s="782"/>
      <c r="AB98" s="778"/>
      <c r="AC98" s="783"/>
      <c r="AD98" s="692" t="s">
        <v>2482</v>
      </c>
      <c r="AE98" s="780"/>
      <c r="AF98" s="781" t="e">
        <f t="shared" si="2"/>
        <v>#DIV/0!</v>
      </c>
    </row>
    <row r="99" spans="1:33" s="784" customFormat="1" ht="18" customHeight="1" x14ac:dyDescent="0.25">
      <c r="A99" s="749">
        <v>91</v>
      </c>
      <c r="B99" s="750"/>
      <c r="C99" s="751">
        <v>2026</v>
      </c>
      <c r="D99" s="688" t="s">
        <v>2897</v>
      </c>
      <c r="E99" s="689" t="s">
        <v>2898</v>
      </c>
      <c r="F99" s="707"/>
      <c r="G99" s="707"/>
      <c r="H99" s="707"/>
      <c r="I99" s="707"/>
      <c r="J99" s="707"/>
      <c r="K99" s="707"/>
      <c r="L99" s="707"/>
      <c r="M99" s="707"/>
      <c r="N99" s="707"/>
      <c r="O99" s="707"/>
      <c r="P99" s="707"/>
      <c r="Q99" s="707"/>
      <c r="R99" s="707"/>
      <c r="S99" s="707"/>
      <c r="T99" s="707"/>
      <c r="U99" s="707"/>
      <c r="V99" s="782">
        <f t="shared" si="4"/>
        <v>0</v>
      </c>
      <c r="W99" s="707"/>
      <c r="X99" s="707"/>
      <c r="Y99" s="707"/>
      <c r="Z99" s="782"/>
      <c r="AA99" s="782"/>
      <c r="AB99" s="778"/>
      <c r="AC99" s="783"/>
      <c r="AD99" s="692" t="s">
        <v>3007</v>
      </c>
      <c r="AE99" s="780"/>
      <c r="AF99" s="781" t="e">
        <f t="shared" si="2"/>
        <v>#DIV/0!</v>
      </c>
    </row>
    <row r="100" spans="1:33" s="784" customFormat="1" ht="18" customHeight="1" x14ac:dyDescent="0.25">
      <c r="A100" s="749">
        <v>92</v>
      </c>
      <c r="B100" s="750"/>
      <c r="C100" s="751">
        <v>2026</v>
      </c>
      <c r="D100" s="688" t="s">
        <v>2432</v>
      </c>
      <c r="E100" s="689" t="s">
        <v>2899</v>
      </c>
      <c r="F100" s="707"/>
      <c r="G100" s="707"/>
      <c r="H100" s="707"/>
      <c r="I100" s="707"/>
      <c r="J100" s="707"/>
      <c r="K100" s="707"/>
      <c r="L100" s="707"/>
      <c r="M100" s="707"/>
      <c r="N100" s="707"/>
      <c r="O100" s="707"/>
      <c r="P100" s="707"/>
      <c r="Q100" s="707"/>
      <c r="R100" s="707"/>
      <c r="S100" s="707"/>
      <c r="T100" s="707"/>
      <c r="U100" s="707"/>
      <c r="V100" s="782">
        <f t="shared" si="4"/>
        <v>0</v>
      </c>
      <c r="W100" s="707"/>
      <c r="X100" s="707"/>
      <c r="Y100" s="707"/>
      <c r="Z100" s="782"/>
      <c r="AA100" s="782"/>
      <c r="AB100" s="778"/>
      <c r="AC100" s="783"/>
      <c r="AD100" s="692" t="s">
        <v>3008</v>
      </c>
      <c r="AE100" s="780"/>
      <c r="AF100" s="781" t="e">
        <f t="shared" si="2"/>
        <v>#DIV/0!</v>
      </c>
    </row>
    <row r="101" spans="1:33" s="784" customFormat="1" ht="18" customHeight="1" x14ac:dyDescent="0.25">
      <c r="A101" s="749">
        <v>93</v>
      </c>
      <c r="B101" s="750"/>
      <c r="C101" s="751">
        <v>2026</v>
      </c>
      <c r="D101" s="688" t="s">
        <v>2900</v>
      </c>
      <c r="E101" s="689" t="s">
        <v>2901</v>
      </c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82">
        <f t="shared" si="4"/>
        <v>0</v>
      </c>
      <c r="W101" s="707"/>
      <c r="X101" s="707"/>
      <c r="Y101" s="707"/>
      <c r="Z101" s="782"/>
      <c r="AA101" s="782"/>
      <c r="AB101" s="778"/>
      <c r="AC101" s="783"/>
      <c r="AD101" s="692" t="s">
        <v>3009</v>
      </c>
      <c r="AE101" s="780"/>
      <c r="AF101" s="781" t="e">
        <f t="shared" si="2"/>
        <v>#DIV/0!</v>
      </c>
    </row>
    <row r="102" spans="1:33" s="784" customFormat="1" ht="18" customHeight="1" x14ac:dyDescent="0.25">
      <c r="A102" s="749">
        <v>94</v>
      </c>
      <c r="B102" s="750"/>
      <c r="C102" s="751">
        <v>2026</v>
      </c>
      <c r="D102" s="688" t="s">
        <v>2902</v>
      </c>
      <c r="E102" s="689" t="s">
        <v>2443</v>
      </c>
      <c r="F102" s="707"/>
      <c r="G102" s="707"/>
      <c r="H102" s="707"/>
      <c r="I102" s="707"/>
      <c r="J102" s="707"/>
      <c r="K102" s="707"/>
      <c r="L102" s="707"/>
      <c r="M102" s="707"/>
      <c r="N102" s="707"/>
      <c r="O102" s="707"/>
      <c r="P102" s="707"/>
      <c r="Q102" s="707"/>
      <c r="R102" s="707"/>
      <c r="S102" s="707"/>
      <c r="T102" s="707"/>
      <c r="U102" s="707"/>
      <c r="V102" s="782">
        <f t="shared" si="4"/>
        <v>0</v>
      </c>
      <c r="W102" s="707"/>
      <c r="X102" s="707"/>
      <c r="Y102" s="707"/>
      <c r="Z102" s="782"/>
      <c r="AA102" s="782"/>
      <c r="AB102" s="778"/>
      <c r="AC102" s="783"/>
      <c r="AD102" s="692" t="s">
        <v>2733</v>
      </c>
      <c r="AE102" s="780"/>
      <c r="AF102" s="781" t="e">
        <f t="shared" si="2"/>
        <v>#DIV/0!</v>
      </c>
      <c r="AG102" s="784" t="s">
        <v>2230</v>
      </c>
    </row>
    <row r="103" spans="1:33" s="784" customFormat="1" ht="18" customHeight="1" x14ac:dyDescent="0.25">
      <c r="A103" s="749">
        <v>95</v>
      </c>
      <c r="B103" s="750"/>
      <c r="C103" s="751">
        <v>2026</v>
      </c>
      <c r="D103" s="688" t="s">
        <v>2903</v>
      </c>
      <c r="E103" s="689" t="s">
        <v>2904</v>
      </c>
      <c r="F103" s="707"/>
      <c r="G103" s="707"/>
      <c r="H103" s="707"/>
      <c r="I103" s="707"/>
      <c r="J103" s="707"/>
      <c r="K103" s="707"/>
      <c r="L103" s="707"/>
      <c r="M103" s="707"/>
      <c r="N103" s="707"/>
      <c r="O103" s="707"/>
      <c r="P103" s="707"/>
      <c r="Q103" s="707"/>
      <c r="R103" s="707"/>
      <c r="S103" s="707"/>
      <c r="T103" s="707"/>
      <c r="U103" s="707"/>
      <c r="V103" s="782">
        <f t="shared" si="4"/>
        <v>0</v>
      </c>
      <c r="W103" s="707"/>
      <c r="X103" s="707"/>
      <c r="Y103" s="707"/>
      <c r="Z103" s="782"/>
      <c r="AA103" s="782"/>
      <c r="AB103" s="778"/>
      <c r="AC103" s="783"/>
      <c r="AD103" s="692" t="s">
        <v>2968</v>
      </c>
      <c r="AE103" s="780"/>
      <c r="AF103" s="781" t="e">
        <f t="shared" si="2"/>
        <v>#DIV/0!</v>
      </c>
    </row>
    <row r="104" spans="1:33" s="784" customFormat="1" ht="18" customHeight="1" x14ac:dyDescent="0.25">
      <c r="A104" s="749">
        <v>96</v>
      </c>
      <c r="B104" s="750"/>
      <c r="C104" s="751">
        <v>2026</v>
      </c>
      <c r="D104" s="688" t="s">
        <v>2905</v>
      </c>
      <c r="E104" s="689" t="s">
        <v>2906</v>
      </c>
      <c r="F104" s="707"/>
      <c r="G104" s="707"/>
      <c r="H104" s="707"/>
      <c r="I104" s="707"/>
      <c r="J104" s="707"/>
      <c r="K104" s="707"/>
      <c r="L104" s="707"/>
      <c r="M104" s="707"/>
      <c r="N104" s="707"/>
      <c r="O104" s="707"/>
      <c r="P104" s="707"/>
      <c r="Q104" s="707"/>
      <c r="R104" s="707"/>
      <c r="S104" s="707"/>
      <c r="T104" s="707"/>
      <c r="U104" s="707"/>
      <c r="V104" s="782">
        <f t="shared" si="4"/>
        <v>0</v>
      </c>
      <c r="W104" s="707"/>
      <c r="X104" s="707"/>
      <c r="Y104" s="707"/>
      <c r="Z104" s="782"/>
      <c r="AA104" s="782"/>
      <c r="AB104" s="778"/>
      <c r="AC104" s="783"/>
      <c r="AD104" s="692" t="s">
        <v>3010</v>
      </c>
      <c r="AE104" s="780"/>
      <c r="AF104" s="781" t="e">
        <f t="shared" si="2"/>
        <v>#DIV/0!</v>
      </c>
    </row>
    <row r="105" spans="1:33" s="784" customFormat="1" ht="18" customHeight="1" x14ac:dyDescent="0.25">
      <c r="A105" s="749">
        <v>97</v>
      </c>
      <c r="B105" s="750"/>
      <c r="C105" s="751">
        <v>2026</v>
      </c>
      <c r="D105" s="688" t="s">
        <v>2907</v>
      </c>
      <c r="E105" s="689" t="s">
        <v>2908</v>
      </c>
      <c r="F105" s="707"/>
      <c r="G105" s="707"/>
      <c r="H105" s="707"/>
      <c r="I105" s="707"/>
      <c r="J105" s="707"/>
      <c r="K105" s="707"/>
      <c r="L105" s="707"/>
      <c r="M105" s="707"/>
      <c r="N105" s="707"/>
      <c r="O105" s="707"/>
      <c r="P105" s="707"/>
      <c r="Q105" s="707"/>
      <c r="R105" s="707"/>
      <c r="S105" s="707"/>
      <c r="T105" s="707"/>
      <c r="U105" s="707"/>
      <c r="V105" s="782">
        <f t="shared" si="4"/>
        <v>0</v>
      </c>
      <c r="W105" s="707"/>
      <c r="X105" s="707"/>
      <c r="Y105" s="707"/>
      <c r="Z105" s="782"/>
      <c r="AA105" s="782"/>
      <c r="AB105" s="778"/>
      <c r="AC105" s="783"/>
      <c r="AD105" s="692" t="s">
        <v>2496</v>
      </c>
      <c r="AE105" s="780"/>
      <c r="AF105" s="781" t="e">
        <f t="shared" si="2"/>
        <v>#DIV/0!</v>
      </c>
    </row>
    <row r="106" spans="1:33" s="784" customFormat="1" ht="18" customHeight="1" x14ac:dyDescent="0.25">
      <c r="A106" s="749">
        <v>98</v>
      </c>
      <c r="B106" s="750"/>
      <c r="C106" s="751">
        <v>2026</v>
      </c>
      <c r="D106" s="688" t="s">
        <v>2909</v>
      </c>
      <c r="E106" s="689" t="s">
        <v>2910</v>
      </c>
      <c r="F106" s="707"/>
      <c r="G106" s="707"/>
      <c r="H106" s="707"/>
      <c r="I106" s="707"/>
      <c r="J106" s="707"/>
      <c r="K106" s="707"/>
      <c r="L106" s="707"/>
      <c r="M106" s="707"/>
      <c r="N106" s="707"/>
      <c r="O106" s="707"/>
      <c r="P106" s="707"/>
      <c r="Q106" s="707"/>
      <c r="R106" s="707"/>
      <c r="S106" s="707"/>
      <c r="T106" s="707"/>
      <c r="U106" s="707"/>
      <c r="V106" s="782">
        <f>SUM(F106:U106)/16</f>
        <v>0</v>
      </c>
      <c r="W106" s="707"/>
      <c r="X106" s="707"/>
      <c r="Y106" s="707"/>
      <c r="Z106" s="782">
        <f>SUM(W106:Y106)/3</f>
        <v>0</v>
      </c>
      <c r="AA106" s="782">
        <f>SUM(V106+Z106)/2</f>
        <v>0</v>
      </c>
      <c r="AB106" s="778"/>
      <c r="AC106" s="783"/>
      <c r="AD106" s="695" t="s">
        <v>2517</v>
      </c>
      <c r="AE106" s="780"/>
      <c r="AF106" s="781" t="e">
        <f>AVERAGE(F106:U106)</f>
        <v>#DIV/0!</v>
      </c>
    </row>
    <row r="107" spans="1:33" s="784" customFormat="1" ht="18" customHeight="1" x14ac:dyDescent="0.25">
      <c r="A107" s="749">
        <v>99</v>
      </c>
      <c r="B107" s="750"/>
      <c r="C107" s="751">
        <v>2026</v>
      </c>
      <c r="D107" s="688" t="s">
        <v>2911</v>
      </c>
      <c r="E107" s="689" t="s">
        <v>2912</v>
      </c>
      <c r="F107" s="707"/>
      <c r="G107" s="707"/>
      <c r="H107" s="707"/>
      <c r="I107" s="707"/>
      <c r="J107" s="707"/>
      <c r="K107" s="707"/>
      <c r="L107" s="707"/>
      <c r="M107" s="707"/>
      <c r="N107" s="707"/>
      <c r="O107" s="707"/>
      <c r="P107" s="707"/>
      <c r="Q107" s="707"/>
      <c r="R107" s="707"/>
      <c r="S107" s="707"/>
      <c r="T107" s="707"/>
      <c r="U107" s="707"/>
      <c r="V107" s="782">
        <f t="shared" ref="V107:V120" si="5">SUM(F107:U107)/16</f>
        <v>0</v>
      </c>
      <c r="W107" s="707"/>
      <c r="X107" s="707"/>
      <c r="Y107" s="707"/>
      <c r="Z107" s="782">
        <f t="shared" ref="Z107:Z120" si="6">SUM(W107:Y107)/3</f>
        <v>0</v>
      </c>
      <c r="AA107" s="782">
        <f t="shared" ref="AA107:AA120" si="7">SUM(V107+Z107)/2</f>
        <v>0</v>
      </c>
      <c r="AB107" s="778"/>
      <c r="AC107" s="783"/>
      <c r="AD107" s="695" t="s">
        <v>2496</v>
      </c>
      <c r="AE107" s="780"/>
      <c r="AF107" s="781" t="e">
        <f t="shared" ref="AF107:AF120" si="8">AVERAGE(F107:U107)</f>
        <v>#DIV/0!</v>
      </c>
    </row>
    <row r="108" spans="1:33" s="784" customFormat="1" ht="18" customHeight="1" x14ac:dyDescent="0.25">
      <c r="A108" s="749">
        <v>100</v>
      </c>
      <c r="B108" s="750"/>
      <c r="C108" s="751">
        <v>2026</v>
      </c>
      <c r="D108" s="688" t="s">
        <v>2913</v>
      </c>
      <c r="E108" s="689" t="s">
        <v>2914</v>
      </c>
      <c r="F108" s="707"/>
      <c r="G108" s="707"/>
      <c r="H108" s="707"/>
      <c r="I108" s="707"/>
      <c r="J108" s="707"/>
      <c r="K108" s="707"/>
      <c r="L108" s="707"/>
      <c r="M108" s="707"/>
      <c r="N108" s="707"/>
      <c r="O108" s="707"/>
      <c r="P108" s="707"/>
      <c r="Q108" s="707"/>
      <c r="R108" s="707"/>
      <c r="S108" s="707"/>
      <c r="T108" s="707"/>
      <c r="U108" s="707"/>
      <c r="V108" s="782">
        <f t="shared" si="5"/>
        <v>0</v>
      </c>
      <c r="W108" s="707"/>
      <c r="X108" s="707"/>
      <c r="Y108" s="707"/>
      <c r="Z108" s="782">
        <f t="shared" si="6"/>
        <v>0</v>
      </c>
      <c r="AA108" s="782">
        <f t="shared" si="7"/>
        <v>0</v>
      </c>
      <c r="AB108" s="778"/>
      <c r="AC108" s="783"/>
      <c r="AD108" s="695" t="s">
        <v>2707</v>
      </c>
      <c r="AE108" s="780"/>
      <c r="AF108" s="781" t="e">
        <f t="shared" si="8"/>
        <v>#DIV/0!</v>
      </c>
    </row>
    <row r="109" spans="1:33" s="784" customFormat="1" ht="18" customHeight="1" x14ac:dyDescent="0.25">
      <c r="A109" s="749">
        <v>101</v>
      </c>
      <c r="B109" s="750"/>
      <c r="C109" s="751">
        <v>2026</v>
      </c>
      <c r="D109" s="688" t="s">
        <v>2915</v>
      </c>
      <c r="E109" s="689" t="s">
        <v>2916</v>
      </c>
      <c r="F109" s="707"/>
      <c r="G109" s="707"/>
      <c r="H109" s="707"/>
      <c r="I109" s="707"/>
      <c r="J109" s="707"/>
      <c r="K109" s="707"/>
      <c r="L109" s="707"/>
      <c r="M109" s="707"/>
      <c r="N109" s="707"/>
      <c r="O109" s="707"/>
      <c r="P109" s="707"/>
      <c r="Q109" s="707"/>
      <c r="R109" s="707"/>
      <c r="S109" s="707"/>
      <c r="T109" s="707"/>
      <c r="U109" s="707"/>
      <c r="V109" s="782">
        <f t="shared" si="5"/>
        <v>0</v>
      </c>
      <c r="W109" s="707"/>
      <c r="X109" s="707"/>
      <c r="Y109" s="707"/>
      <c r="Z109" s="782">
        <f t="shared" si="6"/>
        <v>0</v>
      </c>
      <c r="AA109" s="782">
        <f t="shared" si="7"/>
        <v>0</v>
      </c>
      <c r="AB109" s="778"/>
      <c r="AC109" s="783"/>
      <c r="AD109" s="695" t="s">
        <v>2979</v>
      </c>
      <c r="AE109" s="780"/>
      <c r="AF109" s="781" t="e">
        <f t="shared" si="8"/>
        <v>#DIV/0!</v>
      </c>
    </row>
    <row r="110" spans="1:33" s="784" customFormat="1" ht="18" customHeight="1" x14ac:dyDescent="0.25">
      <c r="A110" s="749">
        <v>102</v>
      </c>
      <c r="B110" s="750"/>
      <c r="C110" s="751">
        <v>2026</v>
      </c>
      <c r="D110" s="688" t="s">
        <v>2917</v>
      </c>
      <c r="E110" s="689" t="s">
        <v>2642</v>
      </c>
      <c r="F110" s="707"/>
      <c r="G110" s="707"/>
      <c r="H110" s="707"/>
      <c r="I110" s="707"/>
      <c r="J110" s="707"/>
      <c r="K110" s="707"/>
      <c r="L110" s="707"/>
      <c r="M110" s="707"/>
      <c r="N110" s="707"/>
      <c r="O110" s="707"/>
      <c r="P110" s="707"/>
      <c r="Q110" s="707"/>
      <c r="R110" s="707"/>
      <c r="S110" s="707"/>
      <c r="T110" s="707"/>
      <c r="U110" s="707"/>
      <c r="V110" s="782">
        <f t="shared" si="5"/>
        <v>0</v>
      </c>
      <c r="W110" s="707"/>
      <c r="X110" s="707"/>
      <c r="Y110" s="707"/>
      <c r="Z110" s="782">
        <f t="shared" si="6"/>
        <v>0</v>
      </c>
      <c r="AA110" s="782">
        <f t="shared" si="7"/>
        <v>0</v>
      </c>
      <c r="AB110" s="778"/>
      <c r="AC110" s="783"/>
      <c r="AD110" s="695" t="s">
        <v>3011</v>
      </c>
      <c r="AE110" s="780"/>
      <c r="AF110" s="781" t="e">
        <f t="shared" si="8"/>
        <v>#DIV/0!</v>
      </c>
    </row>
    <row r="111" spans="1:33" s="784" customFormat="1" ht="18" customHeight="1" x14ac:dyDescent="0.25">
      <c r="A111" s="749">
        <v>103</v>
      </c>
      <c r="B111" s="750"/>
      <c r="C111" s="751">
        <v>2026</v>
      </c>
      <c r="D111" s="688" t="s">
        <v>2918</v>
      </c>
      <c r="E111" s="689" t="s">
        <v>2919</v>
      </c>
      <c r="F111" s="707"/>
      <c r="G111" s="707"/>
      <c r="H111" s="707"/>
      <c r="I111" s="707"/>
      <c r="J111" s="707"/>
      <c r="K111" s="707"/>
      <c r="L111" s="707"/>
      <c r="M111" s="707"/>
      <c r="N111" s="707"/>
      <c r="O111" s="707"/>
      <c r="P111" s="707"/>
      <c r="Q111" s="707"/>
      <c r="R111" s="707"/>
      <c r="S111" s="707"/>
      <c r="T111" s="707"/>
      <c r="U111" s="707"/>
      <c r="V111" s="782">
        <f t="shared" si="5"/>
        <v>0</v>
      </c>
      <c r="W111" s="707"/>
      <c r="X111" s="707"/>
      <c r="Y111" s="707"/>
      <c r="Z111" s="782">
        <f t="shared" si="6"/>
        <v>0</v>
      </c>
      <c r="AA111" s="782">
        <f t="shared" si="7"/>
        <v>0</v>
      </c>
      <c r="AB111" s="778"/>
      <c r="AC111" s="783"/>
      <c r="AD111" s="695" t="s">
        <v>3007</v>
      </c>
      <c r="AE111" s="780"/>
      <c r="AF111" s="781" t="e">
        <f t="shared" si="8"/>
        <v>#DIV/0!</v>
      </c>
    </row>
    <row r="112" spans="1:33" s="784" customFormat="1" ht="18" customHeight="1" x14ac:dyDescent="0.25">
      <c r="A112" s="749">
        <v>104</v>
      </c>
      <c r="B112" s="750"/>
      <c r="C112" s="751">
        <v>2026</v>
      </c>
      <c r="D112" s="688" t="s">
        <v>2920</v>
      </c>
      <c r="E112" s="689" t="s">
        <v>2921</v>
      </c>
      <c r="F112" s="707"/>
      <c r="G112" s="707"/>
      <c r="H112" s="707"/>
      <c r="I112" s="707"/>
      <c r="J112" s="707"/>
      <c r="K112" s="707"/>
      <c r="L112" s="707"/>
      <c r="M112" s="707"/>
      <c r="N112" s="707"/>
      <c r="O112" s="707"/>
      <c r="P112" s="707"/>
      <c r="Q112" s="707"/>
      <c r="R112" s="707"/>
      <c r="S112" s="707"/>
      <c r="T112" s="707"/>
      <c r="U112" s="707"/>
      <c r="V112" s="782">
        <f t="shared" si="5"/>
        <v>0</v>
      </c>
      <c r="W112" s="707"/>
      <c r="X112" s="707"/>
      <c r="Y112" s="707"/>
      <c r="Z112" s="782">
        <f t="shared" si="6"/>
        <v>0</v>
      </c>
      <c r="AA112" s="782">
        <f t="shared" si="7"/>
        <v>0</v>
      </c>
      <c r="AB112" s="778"/>
      <c r="AC112" s="783"/>
      <c r="AD112" s="695" t="s">
        <v>3008</v>
      </c>
      <c r="AE112" s="780"/>
      <c r="AF112" s="781" t="e">
        <f t="shared" si="8"/>
        <v>#DIV/0!</v>
      </c>
    </row>
    <row r="113" spans="1:32" s="784" customFormat="1" ht="18" customHeight="1" x14ac:dyDescent="0.25">
      <c r="A113" s="749">
        <v>105</v>
      </c>
      <c r="B113" s="750"/>
      <c r="C113" s="751">
        <v>2026</v>
      </c>
      <c r="D113" s="688" t="s">
        <v>2922</v>
      </c>
      <c r="E113" s="689" t="s">
        <v>2443</v>
      </c>
      <c r="F113" s="707"/>
      <c r="G113" s="707"/>
      <c r="H113" s="707"/>
      <c r="I113" s="707"/>
      <c r="J113" s="707"/>
      <c r="K113" s="707"/>
      <c r="L113" s="707"/>
      <c r="M113" s="707"/>
      <c r="N113" s="707"/>
      <c r="O113" s="707"/>
      <c r="P113" s="707"/>
      <c r="Q113" s="707"/>
      <c r="R113" s="707"/>
      <c r="S113" s="707"/>
      <c r="T113" s="707"/>
      <c r="U113" s="707"/>
      <c r="V113" s="782">
        <f t="shared" si="5"/>
        <v>0</v>
      </c>
      <c r="W113" s="707"/>
      <c r="X113" s="707"/>
      <c r="Y113" s="707"/>
      <c r="Z113" s="782">
        <f t="shared" si="6"/>
        <v>0</v>
      </c>
      <c r="AA113" s="782">
        <f t="shared" si="7"/>
        <v>0</v>
      </c>
      <c r="AB113" s="778"/>
      <c r="AC113" s="783"/>
      <c r="AD113" s="695" t="s">
        <v>3002</v>
      </c>
      <c r="AE113" s="780"/>
      <c r="AF113" s="781" t="e">
        <f t="shared" si="8"/>
        <v>#DIV/0!</v>
      </c>
    </row>
    <row r="114" spans="1:32" s="784" customFormat="1" ht="18" customHeight="1" x14ac:dyDescent="0.25">
      <c r="A114" s="749">
        <v>106</v>
      </c>
      <c r="B114" s="750"/>
      <c r="C114" s="751">
        <v>2026</v>
      </c>
      <c r="D114" s="688" t="s">
        <v>2923</v>
      </c>
      <c r="E114" s="689" t="s">
        <v>2924</v>
      </c>
      <c r="F114" s="707"/>
      <c r="G114" s="707"/>
      <c r="H114" s="707"/>
      <c r="I114" s="707"/>
      <c r="J114" s="707"/>
      <c r="K114" s="707"/>
      <c r="L114" s="707"/>
      <c r="M114" s="707"/>
      <c r="N114" s="707"/>
      <c r="O114" s="707"/>
      <c r="P114" s="707"/>
      <c r="Q114" s="707"/>
      <c r="R114" s="707"/>
      <c r="S114" s="707"/>
      <c r="T114" s="707"/>
      <c r="U114" s="707"/>
      <c r="V114" s="782">
        <f t="shared" si="5"/>
        <v>0</v>
      </c>
      <c r="W114" s="707"/>
      <c r="X114" s="707"/>
      <c r="Y114" s="707"/>
      <c r="Z114" s="782">
        <f t="shared" si="6"/>
        <v>0</v>
      </c>
      <c r="AA114" s="782">
        <f t="shared" si="7"/>
        <v>0</v>
      </c>
      <c r="AB114" s="778"/>
      <c r="AC114" s="783"/>
      <c r="AD114" s="695" t="s">
        <v>3012</v>
      </c>
      <c r="AE114" s="780"/>
      <c r="AF114" s="781" t="e">
        <f t="shared" si="8"/>
        <v>#DIV/0!</v>
      </c>
    </row>
    <row r="115" spans="1:32" s="784" customFormat="1" ht="18" customHeight="1" x14ac:dyDescent="0.25">
      <c r="A115" s="749">
        <v>107</v>
      </c>
      <c r="B115" s="750"/>
      <c r="C115" s="751">
        <v>2026</v>
      </c>
      <c r="D115" s="688" t="s">
        <v>2925</v>
      </c>
      <c r="E115" s="689" t="s">
        <v>2926</v>
      </c>
      <c r="F115" s="707"/>
      <c r="G115" s="707"/>
      <c r="H115" s="707"/>
      <c r="I115" s="707"/>
      <c r="J115" s="707"/>
      <c r="K115" s="707"/>
      <c r="L115" s="707"/>
      <c r="M115" s="707"/>
      <c r="N115" s="707"/>
      <c r="O115" s="707"/>
      <c r="P115" s="707"/>
      <c r="Q115" s="707"/>
      <c r="R115" s="707"/>
      <c r="S115" s="707"/>
      <c r="T115" s="707"/>
      <c r="U115" s="707"/>
      <c r="V115" s="782">
        <f t="shared" si="5"/>
        <v>0</v>
      </c>
      <c r="W115" s="707"/>
      <c r="X115" s="707"/>
      <c r="Y115" s="707"/>
      <c r="Z115" s="782">
        <f t="shared" si="6"/>
        <v>0</v>
      </c>
      <c r="AA115" s="782">
        <f t="shared" si="7"/>
        <v>0</v>
      </c>
      <c r="AB115" s="778"/>
      <c r="AC115" s="783"/>
      <c r="AD115" s="695" t="s">
        <v>2534</v>
      </c>
      <c r="AE115" s="780"/>
      <c r="AF115" s="781" t="e">
        <f t="shared" si="8"/>
        <v>#DIV/0!</v>
      </c>
    </row>
    <row r="116" spans="1:32" s="784" customFormat="1" ht="18" customHeight="1" x14ac:dyDescent="0.25">
      <c r="A116" s="749">
        <v>108</v>
      </c>
      <c r="B116" s="750"/>
      <c r="C116" s="751">
        <v>2026</v>
      </c>
      <c r="D116" s="688" t="s">
        <v>2927</v>
      </c>
      <c r="E116" s="689" t="s">
        <v>2928</v>
      </c>
      <c r="F116" s="707"/>
      <c r="G116" s="707"/>
      <c r="H116" s="707"/>
      <c r="I116" s="707"/>
      <c r="J116" s="707"/>
      <c r="K116" s="707"/>
      <c r="L116" s="707"/>
      <c r="M116" s="707"/>
      <c r="N116" s="707"/>
      <c r="O116" s="707"/>
      <c r="P116" s="707"/>
      <c r="Q116" s="707"/>
      <c r="R116" s="707"/>
      <c r="S116" s="707"/>
      <c r="T116" s="707"/>
      <c r="U116" s="707"/>
      <c r="V116" s="782">
        <f t="shared" si="5"/>
        <v>0</v>
      </c>
      <c r="W116" s="707"/>
      <c r="X116" s="707"/>
      <c r="Y116" s="707"/>
      <c r="Z116" s="782">
        <f t="shared" si="6"/>
        <v>0</v>
      </c>
      <c r="AA116" s="782">
        <f t="shared" si="7"/>
        <v>0</v>
      </c>
      <c r="AB116" s="778"/>
      <c r="AC116" s="783"/>
      <c r="AD116" s="695" t="s">
        <v>2975</v>
      </c>
      <c r="AE116" s="780"/>
      <c r="AF116" s="781" t="e">
        <f t="shared" si="8"/>
        <v>#DIV/0!</v>
      </c>
    </row>
    <row r="117" spans="1:32" s="784" customFormat="1" ht="18" customHeight="1" x14ac:dyDescent="0.25">
      <c r="A117" s="749">
        <v>109</v>
      </c>
      <c r="B117" s="750"/>
      <c r="C117" s="751">
        <v>2026</v>
      </c>
      <c r="D117" s="688" t="s">
        <v>2929</v>
      </c>
      <c r="E117" s="689" t="s">
        <v>2930</v>
      </c>
      <c r="F117" s="707"/>
      <c r="G117" s="707"/>
      <c r="H117" s="707"/>
      <c r="I117" s="707"/>
      <c r="J117" s="707"/>
      <c r="K117" s="707"/>
      <c r="L117" s="707"/>
      <c r="M117" s="707"/>
      <c r="N117" s="707"/>
      <c r="O117" s="707"/>
      <c r="P117" s="707"/>
      <c r="Q117" s="707"/>
      <c r="R117" s="707"/>
      <c r="S117" s="707"/>
      <c r="T117" s="707"/>
      <c r="U117" s="707"/>
      <c r="V117" s="782">
        <f t="shared" si="5"/>
        <v>0</v>
      </c>
      <c r="W117" s="707"/>
      <c r="X117" s="707"/>
      <c r="Y117" s="707"/>
      <c r="Z117" s="782">
        <f t="shared" si="6"/>
        <v>0</v>
      </c>
      <c r="AA117" s="782">
        <f t="shared" si="7"/>
        <v>0</v>
      </c>
      <c r="AB117" s="778"/>
      <c r="AC117" s="783"/>
      <c r="AD117" s="695" t="s">
        <v>2491</v>
      </c>
      <c r="AE117" s="780"/>
      <c r="AF117" s="781" t="e">
        <f t="shared" si="8"/>
        <v>#DIV/0!</v>
      </c>
    </row>
    <row r="118" spans="1:32" s="784" customFormat="1" ht="18" customHeight="1" x14ac:dyDescent="0.25">
      <c r="A118" s="749">
        <v>110</v>
      </c>
      <c r="B118" s="750"/>
      <c r="C118" s="751">
        <v>2026</v>
      </c>
      <c r="D118" s="688" t="s">
        <v>2931</v>
      </c>
      <c r="E118" s="689" t="s">
        <v>2932</v>
      </c>
      <c r="F118" s="707"/>
      <c r="G118" s="707"/>
      <c r="H118" s="707"/>
      <c r="I118" s="707"/>
      <c r="J118" s="707"/>
      <c r="K118" s="707"/>
      <c r="L118" s="707"/>
      <c r="M118" s="707"/>
      <c r="N118" s="707"/>
      <c r="O118" s="707"/>
      <c r="P118" s="707"/>
      <c r="Q118" s="707"/>
      <c r="R118" s="707"/>
      <c r="S118" s="707"/>
      <c r="T118" s="707"/>
      <c r="U118" s="707"/>
      <c r="V118" s="782">
        <f t="shared" si="5"/>
        <v>0</v>
      </c>
      <c r="W118" s="707"/>
      <c r="X118" s="707"/>
      <c r="Y118" s="707"/>
      <c r="Z118" s="782">
        <f t="shared" si="6"/>
        <v>0</v>
      </c>
      <c r="AA118" s="782">
        <f t="shared" si="7"/>
        <v>0</v>
      </c>
      <c r="AB118" s="778"/>
      <c r="AC118" s="783"/>
      <c r="AD118" s="695" t="s">
        <v>2973</v>
      </c>
      <c r="AE118" s="780"/>
      <c r="AF118" s="781" t="e">
        <f t="shared" si="8"/>
        <v>#DIV/0!</v>
      </c>
    </row>
    <row r="119" spans="1:32" s="784" customFormat="1" ht="18" customHeight="1" x14ac:dyDescent="0.25">
      <c r="A119" s="749">
        <v>111</v>
      </c>
      <c r="B119" s="750"/>
      <c r="C119" s="751">
        <v>2026</v>
      </c>
      <c r="D119" s="688" t="s">
        <v>2933</v>
      </c>
      <c r="E119" s="689" t="s">
        <v>602</v>
      </c>
      <c r="F119" s="707"/>
      <c r="G119" s="707"/>
      <c r="H119" s="707"/>
      <c r="I119" s="707"/>
      <c r="J119" s="707"/>
      <c r="K119" s="707"/>
      <c r="L119" s="707"/>
      <c r="M119" s="707"/>
      <c r="N119" s="707"/>
      <c r="O119" s="707"/>
      <c r="P119" s="707"/>
      <c r="Q119" s="707"/>
      <c r="R119" s="707"/>
      <c r="S119" s="707"/>
      <c r="T119" s="707"/>
      <c r="U119" s="707"/>
      <c r="V119" s="782">
        <f t="shared" si="5"/>
        <v>0</v>
      </c>
      <c r="W119" s="707"/>
      <c r="X119" s="707"/>
      <c r="Y119" s="707"/>
      <c r="Z119" s="782">
        <f t="shared" si="6"/>
        <v>0</v>
      </c>
      <c r="AA119" s="782">
        <f t="shared" si="7"/>
        <v>0</v>
      </c>
      <c r="AB119" s="778"/>
      <c r="AC119" s="783"/>
      <c r="AD119" s="695" t="s">
        <v>2515</v>
      </c>
      <c r="AE119" s="780"/>
      <c r="AF119" s="781" t="e">
        <f t="shared" si="8"/>
        <v>#DIV/0!</v>
      </c>
    </row>
    <row r="120" spans="1:32" s="784" customFormat="1" ht="18" customHeight="1" x14ac:dyDescent="0.25">
      <c r="A120" s="749">
        <v>112</v>
      </c>
      <c r="B120" s="750"/>
      <c r="C120" s="751">
        <v>2026</v>
      </c>
      <c r="D120" s="688" t="s">
        <v>2934</v>
      </c>
      <c r="E120" s="689" t="s">
        <v>2935</v>
      </c>
      <c r="F120" s="707"/>
      <c r="G120" s="707"/>
      <c r="H120" s="707"/>
      <c r="I120" s="707"/>
      <c r="J120" s="707"/>
      <c r="K120" s="707"/>
      <c r="L120" s="707"/>
      <c r="M120" s="707"/>
      <c r="N120" s="707"/>
      <c r="O120" s="707"/>
      <c r="P120" s="707"/>
      <c r="Q120" s="707"/>
      <c r="R120" s="707"/>
      <c r="S120" s="707"/>
      <c r="T120" s="707"/>
      <c r="U120" s="707"/>
      <c r="V120" s="782">
        <f t="shared" si="5"/>
        <v>0</v>
      </c>
      <c r="W120" s="707"/>
      <c r="X120" s="707"/>
      <c r="Y120" s="707"/>
      <c r="Z120" s="782">
        <f t="shared" si="6"/>
        <v>0</v>
      </c>
      <c r="AA120" s="782">
        <f t="shared" si="7"/>
        <v>0</v>
      </c>
      <c r="AB120" s="778"/>
      <c r="AC120" s="783"/>
      <c r="AD120" s="695" t="s">
        <v>3013</v>
      </c>
      <c r="AE120" s="780"/>
      <c r="AF120" s="781" t="e">
        <f t="shared" si="8"/>
        <v>#DIV/0!</v>
      </c>
    </row>
    <row r="121" spans="1:32" s="784" customFormat="1" ht="18" customHeight="1" x14ac:dyDescent="0.25">
      <c r="A121" s="749">
        <v>113</v>
      </c>
      <c r="B121" s="750"/>
      <c r="C121" s="751">
        <v>2026</v>
      </c>
      <c r="D121" s="688" t="s">
        <v>2936</v>
      </c>
      <c r="E121" s="689" t="s">
        <v>2937</v>
      </c>
      <c r="F121" s="707"/>
      <c r="G121" s="707"/>
      <c r="H121" s="707"/>
      <c r="I121" s="707"/>
      <c r="J121" s="707"/>
      <c r="K121" s="707"/>
      <c r="L121" s="707"/>
      <c r="M121" s="707"/>
      <c r="N121" s="707"/>
      <c r="O121" s="707"/>
      <c r="P121" s="707"/>
      <c r="Q121" s="707"/>
      <c r="R121" s="707"/>
      <c r="S121" s="707"/>
      <c r="T121" s="707"/>
      <c r="U121" s="707"/>
      <c r="V121" s="782">
        <f t="shared" si="4"/>
        <v>0</v>
      </c>
      <c r="W121" s="707"/>
      <c r="X121" s="707"/>
      <c r="Y121" s="707"/>
      <c r="Z121" s="782"/>
      <c r="AA121" s="782"/>
      <c r="AB121" s="778"/>
      <c r="AC121" s="783"/>
      <c r="AD121" s="695" t="s">
        <v>2969</v>
      </c>
      <c r="AE121" s="780"/>
      <c r="AF121" s="781" t="e">
        <f t="shared" si="2"/>
        <v>#DIV/0!</v>
      </c>
    </row>
    <row r="122" spans="1:32" s="784" customFormat="1" ht="18" customHeight="1" x14ac:dyDescent="0.25">
      <c r="A122" s="749">
        <v>114</v>
      </c>
      <c r="B122" s="750"/>
      <c r="C122" s="751">
        <v>2026</v>
      </c>
      <c r="D122" s="688" t="s">
        <v>2938</v>
      </c>
      <c r="E122" s="689" t="s">
        <v>220</v>
      </c>
      <c r="F122" s="707"/>
      <c r="G122" s="707"/>
      <c r="H122" s="707"/>
      <c r="I122" s="707"/>
      <c r="J122" s="707"/>
      <c r="K122" s="707"/>
      <c r="L122" s="707"/>
      <c r="M122" s="707"/>
      <c r="N122" s="707"/>
      <c r="O122" s="707"/>
      <c r="P122" s="707"/>
      <c r="Q122" s="707"/>
      <c r="R122" s="707"/>
      <c r="S122" s="707"/>
      <c r="T122" s="707"/>
      <c r="U122" s="707"/>
      <c r="V122" s="782">
        <f t="shared" si="4"/>
        <v>0</v>
      </c>
      <c r="W122" s="707"/>
      <c r="X122" s="707"/>
      <c r="Y122" s="707"/>
      <c r="Z122" s="782"/>
      <c r="AA122" s="782"/>
      <c r="AB122" s="778"/>
      <c r="AC122" s="783"/>
      <c r="AD122" s="695" t="s">
        <v>2722</v>
      </c>
      <c r="AE122" s="780"/>
      <c r="AF122" s="781" t="e">
        <f t="shared" si="2"/>
        <v>#DIV/0!</v>
      </c>
    </row>
    <row r="123" spans="1:32" s="784" customFormat="1" ht="18" customHeight="1" x14ac:dyDescent="0.25">
      <c r="A123" s="749">
        <v>115</v>
      </c>
      <c r="B123" s="750"/>
      <c r="C123" s="751">
        <v>2026</v>
      </c>
      <c r="D123" s="688" t="s">
        <v>2939</v>
      </c>
      <c r="E123" s="689" t="s">
        <v>2940</v>
      </c>
      <c r="F123" s="707"/>
      <c r="G123" s="707"/>
      <c r="H123" s="707"/>
      <c r="I123" s="707"/>
      <c r="J123" s="707"/>
      <c r="K123" s="707"/>
      <c r="L123" s="707"/>
      <c r="M123" s="707"/>
      <c r="N123" s="707"/>
      <c r="O123" s="707"/>
      <c r="P123" s="707"/>
      <c r="Q123" s="707"/>
      <c r="R123" s="707"/>
      <c r="S123" s="707"/>
      <c r="T123" s="707"/>
      <c r="U123" s="707"/>
      <c r="V123" s="782">
        <f t="shared" si="4"/>
        <v>0</v>
      </c>
      <c r="W123" s="707"/>
      <c r="X123" s="707"/>
      <c r="Y123" s="707"/>
      <c r="Z123" s="782"/>
      <c r="AA123" s="782"/>
      <c r="AB123" s="778"/>
      <c r="AC123" s="783"/>
      <c r="AD123" s="692" t="s">
        <v>2517</v>
      </c>
      <c r="AE123" s="780"/>
      <c r="AF123" s="781" t="e">
        <f t="shared" si="2"/>
        <v>#DIV/0!</v>
      </c>
    </row>
    <row r="124" spans="1:32" s="784" customFormat="1" ht="18" customHeight="1" x14ac:dyDescent="0.25">
      <c r="A124" s="749">
        <v>116</v>
      </c>
      <c r="B124" s="750"/>
      <c r="C124" s="751">
        <v>2026</v>
      </c>
      <c r="D124" s="688" t="s">
        <v>2941</v>
      </c>
      <c r="E124" s="689" t="s">
        <v>2942</v>
      </c>
      <c r="F124" s="707"/>
      <c r="G124" s="707"/>
      <c r="H124" s="707"/>
      <c r="I124" s="707"/>
      <c r="J124" s="707"/>
      <c r="K124" s="707"/>
      <c r="L124" s="707"/>
      <c r="M124" s="707"/>
      <c r="N124" s="707"/>
      <c r="O124" s="707"/>
      <c r="P124" s="707"/>
      <c r="Q124" s="707"/>
      <c r="R124" s="707"/>
      <c r="S124" s="707"/>
      <c r="T124" s="707"/>
      <c r="U124" s="707"/>
      <c r="V124" s="782">
        <f t="shared" si="4"/>
        <v>0</v>
      </c>
      <c r="W124" s="707"/>
      <c r="X124" s="707"/>
      <c r="Y124" s="707"/>
      <c r="Z124" s="782"/>
      <c r="AA124" s="782"/>
      <c r="AB124" s="778"/>
      <c r="AC124" s="783"/>
      <c r="AD124" s="692" t="s">
        <v>3014</v>
      </c>
      <c r="AE124" s="780"/>
      <c r="AF124" s="781" t="e">
        <f t="shared" si="2"/>
        <v>#DIV/0!</v>
      </c>
    </row>
    <row r="125" spans="1:32" s="784" customFormat="1" ht="18" customHeight="1" x14ac:dyDescent="0.25">
      <c r="A125" s="749">
        <v>117</v>
      </c>
      <c r="B125" s="750"/>
      <c r="C125" s="751">
        <v>2026</v>
      </c>
      <c r="D125" s="688" t="s">
        <v>2943</v>
      </c>
      <c r="E125" s="689" t="s">
        <v>2944</v>
      </c>
      <c r="F125" s="707"/>
      <c r="G125" s="707"/>
      <c r="H125" s="707"/>
      <c r="I125" s="707"/>
      <c r="J125" s="707"/>
      <c r="K125" s="707"/>
      <c r="L125" s="707"/>
      <c r="M125" s="707"/>
      <c r="N125" s="707"/>
      <c r="O125" s="707"/>
      <c r="P125" s="707"/>
      <c r="Q125" s="707"/>
      <c r="R125" s="707"/>
      <c r="S125" s="707"/>
      <c r="T125" s="707"/>
      <c r="U125" s="707"/>
      <c r="V125" s="782">
        <f t="shared" si="4"/>
        <v>0</v>
      </c>
      <c r="W125" s="707"/>
      <c r="X125" s="707"/>
      <c r="Y125" s="707"/>
      <c r="Z125" s="782"/>
      <c r="AA125" s="782"/>
      <c r="AB125" s="778"/>
      <c r="AC125" s="783"/>
      <c r="AD125" s="692" t="s">
        <v>2977</v>
      </c>
      <c r="AE125" s="780"/>
      <c r="AF125" s="781" t="e">
        <f t="shared" si="2"/>
        <v>#DIV/0!</v>
      </c>
    </row>
    <row r="126" spans="1:32" s="784" customFormat="1" ht="18" customHeight="1" x14ac:dyDescent="0.25">
      <c r="A126" s="749">
        <v>118</v>
      </c>
      <c r="B126" s="750"/>
      <c r="C126" s="751">
        <v>2026</v>
      </c>
      <c r="D126" s="688" t="s">
        <v>2945</v>
      </c>
      <c r="E126" s="689" t="s">
        <v>2946</v>
      </c>
      <c r="F126" s="707"/>
      <c r="G126" s="707"/>
      <c r="H126" s="707"/>
      <c r="I126" s="707"/>
      <c r="J126" s="707"/>
      <c r="K126" s="707"/>
      <c r="L126" s="707"/>
      <c r="M126" s="707"/>
      <c r="N126" s="707"/>
      <c r="O126" s="707"/>
      <c r="P126" s="707"/>
      <c r="Q126" s="707"/>
      <c r="R126" s="707"/>
      <c r="S126" s="707"/>
      <c r="T126" s="707"/>
      <c r="U126" s="707"/>
      <c r="V126" s="782">
        <f t="shared" ref="V126:V130" si="9">SUM(F126:U126)/16</f>
        <v>0</v>
      </c>
      <c r="W126" s="707"/>
      <c r="X126" s="707"/>
      <c r="Y126" s="707"/>
      <c r="Z126" s="782"/>
      <c r="AA126" s="782"/>
      <c r="AB126" s="778"/>
      <c r="AC126" s="783"/>
      <c r="AD126" s="692" t="s">
        <v>3015</v>
      </c>
      <c r="AE126" s="780"/>
      <c r="AF126" s="781" t="e">
        <f t="shared" ref="AF126:AF130" si="10">AVERAGE(F126:U126)</f>
        <v>#DIV/0!</v>
      </c>
    </row>
    <row r="127" spans="1:32" s="784" customFormat="1" ht="18" customHeight="1" x14ac:dyDescent="0.25">
      <c r="A127" s="749">
        <v>119</v>
      </c>
      <c r="B127" s="750"/>
      <c r="C127" s="751">
        <v>2026</v>
      </c>
      <c r="D127" s="688" t="s">
        <v>2947</v>
      </c>
      <c r="E127" s="689" t="s">
        <v>2948</v>
      </c>
      <c r="F127" s="707"/>
      <c r="G127" s="707"/>
      <c r="H127" s="707"/>
      <c r="I127" s="707"/>
      <c r="J127" s="707"/>
      <c r="K127" s="707"/>
      <c r="L127" s="707"/>
      <c r="M127" s="707"/>
      <c r="N127" s="707"/>
      <c r="O127" s="707"/>
      <c r="P127" s="707"/>
      <c r="Q127" s="707"/>
      <c r="R127" s="707"/>
      <c r="S127" s="707"/>
      <c r="T127" s="707"/>
      <c r="U127" s="707"/>
      <c r="V127" s="782">
        <f t="shared" si="9"/>
        <v>0</v>
      </c>
      <c r="W127" s="707"/>
      <c r="X127" s="707"/>
      <c r="Y127" s="707"/>
      <c r="Z127" s="782"/>
      <c r="AA127" s="782"/>
      <c r="AB127" s="778"/>
      <c r="AC127" s="783"/>
      <c r="AD127" s="692" t="s">
        <v>2969</v>
      </c>
      <c r="AE127" s="780"/>
      <c r="AF127" s="781" t="e">
        <f t="shared" si="10"/>
        <v>#DIV/0!</v>
      </c>
    </row>
    <row r="128" spans="1:32" s="784" customFormat="1" ht="18" customHeight="1" x14ac:dyDescent="0.25">
      <c r="A128" s="749">
        <v>120</v>
      </c>
      <c r="B128" s="750"/>
      <c r="C128" s="751">
        <v>2026</v>
      </c>
      <c r="D128" s="688" t="s">
        <v>2949</v>
      </c>
      <c r="E128" s="689" t="s">
        <v>2635</v>
      </c>
      <c r="F128" s="707"/>
      <c r="G128" s="707"/>
      <c r="H128" s="707"/>
      <c r="I128" s="707"/>
      <c r="J128" s="707"/>
      <c r="K128" s="707"/>
      <c r="L128" s="707"/>
      <c r="M128" s="707"/>
      <c r="N128" s="707"/>
      <c r="O128" s="707"/>
      <c r="P128" s="707"/>
      <c r="Q128" s="707"/>
      <c r="R128" s="707"/>
      <c r="S128" s="707"/>
      <c r="T128" s="707"/>
      <c r="U128" s="707"/>
      <c r="V128" s="782">
        <f t="shared" si="9"/>
        <v>0</v>
      </c>
      <c r="W128" s="707"/>
      <c r="X128" s="707"/>
      <c r="Y128" s="707"/>
      <c r="Z128" s="782"/>
      <c r="AA128" s="782"/>
      <c r="AB128" s="778"/>
      <c r="AC128" s="783"/>
      <c r="AD128" s="692" t="s">
        <v>2996</v>
      </c>
      <c r="AE128" s="780"/>
      <c r="AF128" s="781" t="e">
        <f t="shared" si="10"/>
        <v>#DIV/0!</v>
      </c>
    </row>
    <row r="129" spans="1:32" s="784" customFormat="1" ht="18" customHeight="1" x14ac:dyDescent="0.25">
      <c r="A129" s="749">
        <v>121</v>
      </c>
      <c r="B129" s="750"/>
      <c r="C129" s="751">
        <v>2026</v>
      </c>
      <c r="D129" s="688" t="s">
        <v>2950</v>
      </c>
      <c r="E129" s="689" t="s">
        <v>2951</v>
      </c>
      <c r="F129" s="707"/>
      <c r="G129" s="707"/>
      <c r="H129" s="707"/>
      <c r="I129" s="707"/>
      <c r="J129" s="707"/>
      <c r="K129" s="707"/>
      <c r="L129" s="707"/>
      <c r="M129" s="707"/>
      <c r="N129" s="707"/>
      <c r="O129" s="707"/>
      <c r="P129" s="707"/>
      <c r="Q129" s="707"/>
      <c r="R129" s="707"/>
      <c r="S129" s="707"/>
      <c r="T129" s="707"/>
      <c r="U129" s="707"/>
      <c r="V129" s="782">
        <f t="shared" si="9"/>
        <v>0</v>
      </c>
      <c r="W129" s="707"/>
      <c r="X129" s="707"/>
      <c r="Y129" s="707"/>
      <c r="Z129" s="782"/>
      <c r="AA129" s="782"/>
      <c r="AB129" s="778"/>
      <c r="AC129" s="783"/>
      <c r="AD129" s="692" t="s">
        <v>3016</v>
      </c>
      <c r="AE129" s="780"/>
      <c r="AF129" s="781" t="e">
        <f t="shared" si="10"/>
        <v>#DIV/0!</v>
      </c>
    </row>
    <row r="130" spans="1:32" s="784" customFormat="1" ht="18" customHeight="1" x14ac:dyDescent="0.25">
      <c r="A130" s="749">
        <v>122</v>
      </c>
      <c r="B130" s="750"/>
      <c r="C130" s="751">
        <v>2026</v>
      </c>
      <c r="D130" s="688" t="s">
        <v>2952</v>
      </c>
      <c r="E130" s="689" t="s">
        <v>2912</v>
      </c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82">
        <f t="shared" si="9"/>
        <v>0</v>
      </c>
      <c r="W130" s="707"/>
      <c r="X130" s="707"/>
      <c r="Y130" s="707"/>
      <c r="Z130" s="782"/>
      <c r="AA130" s="782"/>
      <c r="AB130" s="778"/>
      <c r="AC130" s="783"/>
      <c r="AD130" s="692" t="s">
        <v>3017</v>
      </c>
      <c r="AE130" s="780"/>
      <c r="AF130" s="781" t="e">
        <f t="shared" si="10"/>
        <v>#DIV/0!</v>
      </c>
    </row>
    <row r="131" spans="1:32" s="784" customFormat="1" ht="18" customHeight="1" x14ac:dyDescent="0.25">
      <c r="A131" s="749">
        <v>123</v>
      </c>
      <c r="B131" s="750"/>
      <c r="C131" s="751">
        <v>2026</v>
      </c>
      <c r="D131" s="688" t="s">
        <v>2953</v>
      </c>
      <c r="E131" s="689" t="s">
        <v>2954</v>
      </c>
      <c r="F131" s="707"/>
      <c r="G131" s="707"/>
      <c r="H131" s="707"/>
      <c r="I131" s="707"/>
      <c r="J131" s="707"/>
      <c r="K131" s="707"/>
      <c r="L131" s="707"/>
      <c r="M131" s="707"/>
      <c r="N131" s="707"/>
      <c r="O131" s="707"/>
      <c r="P131" s="707"/>
      <c r="Q131" s="707"/>
      <c r="R131" s="707"/>
      <c r="S131" s="707"/>
      <c r="T131" s="707"/>
      <c r="U131" s="707"/>
      <c r="V131" s="782">
        <f t="shared" si="4"/>
        <v>0</v>
      </c>
      <c r="W131" s="707"/>
      <c r="X131" s="707"/>
      <c r="Y131" s="707"/>
      <c r="Z131" s="782"/>
      <c r="AA131" s="782"/>
      <c r="AB131" s="778"/>
      <c r="AC131" s="783"/>
      <c r="AD131" s="692" t="s">
        <v>2988</v>
      </c>
      <c r="AE131" s="780"/>
      <c r="AF131" s="781" t="e">
        <f t="shared" si="2"/>
        <v>#DIV/0!</v>
      </c>
    </row>
    <row r="132" spans="1:32" s="784" customFormat="1" ht="18" customHeight="1" x14ac:dyDescent="0.25">
      <c r="A132" s="749">
        <v>124</v>
      </c>
      <c r="B132" s="750"/>
      <c r="C132" s="751">
        <v>2026</v>
      </c>
      <c r="D132" s="688" t="s">
        <v>2955</v>
      </c>
      <c r="E132" s="689" t="s">
        <v>2443</v>
      </c>
      <c r="F132" s="707"/>
      <c r="G132" s="707"/>
      <c r="H132" s="707"/>
      <c r="I132" s="707"/>
      <c r="J132" s="707"/>
      <c r="K132" s="707"/>
      <c r="L132" s="707"/>
      <c r="M132" s="707"/>
      <c r="N132" s="707"/>
      <c r="O132" s="707"/>
      <c r="P132" s="707"/>
      <c r="Q132" s="707"/>
      <c r="R132" s="707"/>
      <c r="S132" s="707"/>
      <c r="T132" s="707"/>
      <c r="U132" s="707"/>
      <c r="V132" s="782">
        <f t="shared" si="4"/>
        <v>0</v>
      </c>
      <c r="W132" s="707"/>
      <c r="X132" s="707"/>
      <c r="Y132" s="707"/>
      <c r="Z132" s="782"/>
      <c r="AA132" s="782"/>
      <c r="AB132" s="778"/>
      <c r="AC132" s="783"/>
      <c r="AD132" s="692" t="s">
        <v>2729</v>
      </c>
      <c r="AE132" s="780"/>
      <c r="AF132" s="781" t="e">
        <f t="shared" si="2"/>
        <v>#DIV/0!</v>
      </c>
    </row>
    <row r="133" spans="1:32" s="784" customFormat="1" ht="18" customHeight="1" x14ac:dyDescent="0.25">
      <c r="A133" s="749">
        <v>125</v>
      </c>
      <c r="B133" s="750"/>
      <c r="C133" s="751">
        <v>2026</v>
      </c>
      <c r="D133" s="688" t="s">
        <v>2956</v>
      </c>
      <c r="E133" s="689" t="s">
        <v>568</v>
      </c>
      <c r="F133" s="707"/>
      <c r="G133" s="707"/>
      <c r="H133" s="707"/>
      <c r="I133" s="707"/>
      <c r="J133" s="707"/>
      <c r="K133" s="707"/>
      <c r="L133" s="707"/>
      <c r="M133" s="707"/>
      <c r="N133" s="707"/>
      <c r="O133" s="707"/>
      <c r="P133" s="707"/>
      <c r="Q133" s="707"/>
      <c r="R133" s="707"/>
      <c r="S133" s="707"/>
      <c r="T133" s="707"/>
      <c r="U133" s="707"/>
      <c r="V133" s="782">
        <f t="shared" si="4"/>
        <v>0</v>
      </c>
      <c r="W133" s="707"/>
      <c r="X133" s="707"/>
      <c r="Y133" s="707"/>
      <c r="Z133" s="782"/>
      <c r="AA133" s="782"/>
      <c r="AB133" s="778"/>
      <c r="AC133" s="783"/>
      <c r="AD133" s="692" t="s">
        <v>2496</v>
      </c>
      <c r="AE133" s="780"/>
      <c r="AF133" s="781" t="e">
        <f t="shared" si="2"/>
        <v>#DIV/0!</v>
      </c>
    </row>
    <row r="134" spans="1:32" s="784" customFormat="1" ht="18" customHeight="1" x14ac:dyDescent="0.25">
      <c r="A134" s="749">
        <v>126</v>
      </c>
      <c r="B134" s="750"/>
      <c r="C134" s="751">
        <v>2026</v>
      </c>
      <c r="D134" s="688" t="s">
        <v>2957</v>
      </c>
      <c r="E134" s="689" t="s">
        <v>2746</v>
      </c>
      <c r="F134" s="707"/>
      <c r="G134" s="707"/>
      <c r="H134" s="707"/>
      <c r="I134" s="707"/>
      <c r="J134" s="707"/>
      <c r="K134" s="707"/>
      <c r="L134" s="707"/>
      <c r="M134" s="707"/>
      <c r="N134" s="707"/>
      <c r="O134" s="707"/>
      <c r="P134" s="707"/>
      <c r="Q134" s="707"/>
      <c r="R134" s="707"/>
      <c r="S134" s="707"/>
      <c r="T134" s="707"/>
      <c r="U134" s="707"/>
      <c r="V134" s="782">
        <f t="shared" si="4"/>
        <v>0</v>
      </c>
      <c r="W134" s="707"/>
      <c r="X134" s="707"/>
      <c r="Y134" s="707"/>
      <c r="Z134" s="782"/>
      <c r="AA134" s="782"/>
      <c r="AB134" s="778"/>
      <c r="AC134" s="783"/>
      <c r="AD134" s="692" t="s">
        <v>3018</v>
      </c>
      <c r="AE134" s="780"/>
      <c r="AF134" s="781" t="e">
        <f t="shared" si="2"/>
        <v>#DIV/0!</v>
      </c>
    </row>
    <row r="135" spans="1:32" s="784" customFormat="1" ht="18" customHeight="1" x14ac:dyDescent="0.25">
      <c r="A135" s="749">
        <v>127</v>
      </c>
      <c r="B135" s="750"/>
      <c r="C135" s="751">
        <v>2026</v>
      </c>
      <c r="D135" s="688" t="s">
        <v>2958</v>
      </c>
      <c r="E135" s="689" t="s">
        <v>2959</v>
      </c>
      <c r="F135" s="707"/>
      <c r="G135" s="707"/>
      <c r="H135" s="707"/>
      <c r="I135" s="707"/>
      <c r="J135" s="707"/>
      <c r="K135" s="707"/>
      <c r="L135" s="707"/>
      <c r="M135" s="707"/>
      <c r="N135" s="707"/>
      <c r="O135" s="707"/>
      <c r="P135" s="707"/>
      <c r="Q135" s="707"/>
      <c r="R135" s="707"/>
      <c r="S135" s="707"/>
      <c r="T135" s="707"/>
      <c r="U135" s="707"/>
      <c r="V135" s="782">
        <f t="shared" si="4"/>
        <v>0</v>
      </c>
      <c r="W135" s="707"/>
      <c r="X135" s="707"/>
      <c r="Y135" s="707"/>
      <c r="Z135" s="782"/>
      <c r="AA135" s="782"/>
      <c r="AB135" s="778"/>
      <c r="AC135" s="783"/>
      <c r="AD135" s="692" t="s">
        <v>3019</v>
      </c>
      <c r="AE135" s="780"/>
      <c r="AF135" s="781" t="e">
        <f t="shared" si="2"/>
        <v>#DIV/0!</v>
      </c>
    </row>
    <row r="136" spans="1:32" s="784" customFormat="1" ht="18" customHeight="1" x14ac:dyDescent="0.25">
      <c r="A136" s="749">
        <v>128</v>
      </c>
      <c r="B136" s="750"/>
      <c r="C136" s="751">
        <v>2026</v>
      </c>
      <c r="D136" s="688" t="s">
        <v>2960</v>
      </c>
      <c r="E136" s="689" t="s">
        <v>2791</v>
      </c>
      <c r="F136" s="707"/>
      <c r="G136" s="707"/>
      <c r="H136" s="707"/>
      <c r="I136" s="707"/>
      <c r="J136" s="707"/>
      <c r="K136" s="707"/>
      <c r="L136" s="707"/>
      <c r="M136" s="707"/>
      <c r="N136" s="707"/>
      <c r="O136" s="707"/>
      <c r="P136" s="707"/>
      <c r="Q136" s="707"/>
      <c r="R136" s="707"/>
      <c r="S136" s="707"/>
      <c r="T136" s="707"/>
      <c r="U136" s="707"/>
      <c r="V136" s="782">
        <f t="shared" si="4"/>
        <v>0</v>
      </c>
      <c r="W136" s="707"/>
      <c r="X136" s="707"/>
      <c r="Y136" s="707"/>
      <c r="Z136" s="782"/>
      <c r="AA136" s="782"/>
      <c r="AB136" s="778"/>
      <c r="AC136" s="783"/>
      <c r="AD136" s="692" t="s">
        <v>2515</v>
      </c>
      <c r="AE136" s="780"/>
      <c r="AF136" s="781" t="e">
        <f t="shared" si="2"/>
        <v>#DIV/0!</v>
      </c>
    </row>
    <row r="137" spans="1:32" s="784" customFormat="1" ht="18" customHeight="1" x14ac:dyDescent="0.25">
      <c r="A137" s="749">
        <v>129</v>
      </c>
      <c r="B137" s="750"/>
      <c r="C137" s="751">
        <v>2026</v>
      </c>
      <c r="D137" s="688" t="s">
        <v>2961</v>
      </c>
      <c r="E137" s="689" t="s">
        <v>2916</v>
      </c>
      <c r="F137" s="707"/>
      <c r="G137" s="707"/>
      <c r="H137" s="707"/>
      <c r="I137" s="707"/>
      <c r="J137" s="707"/>
      <c r="K137" s="707"/>
      <c r="L137" s="707"/>
      <c r="M137" s="707"/>
      <c r="N137" s="707"/>
      <c r="O137" s="707"/>
      <c r="P137" s="707"/>
      <c r="Q137" s="707"/>
      <c r="R137" s="707"/>
      <c r="S137" s="707"/>
      <c r="T137" s="707"/>
      <c r="U137" s="707"/>
      <c r="V137" s="782">
        <f t="shared" si="4"/>
        <v>0</v>
      </c>
      <c r="W137" s="707"/>
      <c r="X137" s="707"/>
      <c r="Y137" s="707"/>
      <c r="Z137" s="782"/>
      <c r="AA137" s="782"/>
      <c r="AB137" s="778"/>
      <c r="AC137" s="783"/>
      <c r="AD137" s="692" t="s">
        <v>2731</v>
      </c>
      <c r="AE137" s="780"/>
      <c r="AF137" s="781" t="e">
        <f t="shared" si="2"/>
        <v>#DIV/0!</v>
      </c>
    </row>
    <row r="138" spans="1:32" s="784" customFormat="1" ht="18" customHeight="1" x14ac:dyDescent="0.25">
      <c r="A138" s="749">
        <v>130</v>
      </c>
      <c r="B138" s="750"/>
      <c r="C138" s="751">
        <v>2026</v>
      </c>
      <c r="D138" s="688" t="s">
        <v>2962</v>
      </c>
      <c r="E138" s="689" t="s">
        <v>2963</v>
      </c>
      <c r="F138" s="707"/>
      <c r="G138" s="707"/>
      <c r="H138" s="707"/>
      <c r="I138" s="707"/>
      <c r="J138" s="707"/>
      <c r="K138" s="707"/>
      <c r="L138" s="707"/>
      <c r="M138" s="707"/>
      <c r="N138" s="707"/>
      <c r="O138" s="707"/>
      <c r="P138" s="707"/>
      <c r="Q138" s="707"/>
      <c r="R138" s="707"/>
      <c r="S138" s="707"/>
      <c r="T138" s="707"/>
      <c r="U138" s="707"/>
      <c r="V138" s="782">
        <f t="shared" si="4"/>
        <v>0</v>
      </c>
      <c r="W138" s="707"/>
      <c r="X138" s="707"/>
      <c r="Y138" s="707"/>
      <c r="Z138" s="782"/>
      <c r="AA138" s="782"/>
      <c r="AB138" s="778"/>
      <c r="AC138" s="783"/>
      <c r="AD138" s="692" t="s">
        <v>2503</v>
      </c>
      <c r="AE138" s="780"/>
      <c r="AF138" s="781" t="e">
        <f t="shared" si="2"/>
        <v>#DIV/0!</v>
      </c>
    </row>
    <row r="139" spans="1:32" s="784" customFormat="1" ht="18" customHeight="1" x14ac:dyDescent="0.25">
      <c r="A139" s="749">
        <v>131</v>
      </c>
      <c r="B139" s="750"/>
      <c r="C139" s="751">
        <v>2026</v>
      </c>
      <c r="D139" s="688" t="s">
        <v>2964</v>
      </c>
      <c r="E139" s="689" t="s">
        <v>2965</v>
      </c>
      <c r="F139" s="707"/>
      <c r="G139" s="707"/>
      <c r="H139" s="707"/>
      <c r="I139" s="707"/>
      <c r="J139" s="707"/>
      <c r="K139" s="707"/>
      <c r="L139" s="707"/>
      <c r="M139" s="707"/>
      <c r="N139" s="707"/>
      <c r="O139" s="707"/>
      <c r="P139" s="707"/>
      <c r="Q139" s="707"/>
      <c r="R139" s="707"/>
      <c r="S139" s="707"/>
      <c r="T139" s="707"/>
      <c r="U139" s="707"/>
      <c r="V139" s="782">
        <f t="shared" si="4"/>
        <v>0</v>
      </c>
      <c r="W139" s="707"/>
      <c r="X139" s="707"/>
      <c r="Y139" s="707"/>
      <c r="Z139" s="782"/>
      <c r="AA139" s="782"/>
      <c r="AB139" s="778"/>
      <c r="AC139" s="783"/>
      <c r="AD139" s="692" t="s">
        <v>2714</v>
      </c>
      <c r="AE139" s="780"/>
      <c r="AF139" s="781" t="e">
        <f t="shared" si="2"/>
        <v>#DIV/0!</v>
      </c>
    </row>
    <row r="140" spans="1:32" s="796" customFormat="1" ht="18" customHeight="1" thickBot="1" x14ac:dyDescent="0.35">
      <c r="A140" s="790"/>
      <c r="B140" s="791"/>
      <c r="C140" s="792"/>
      <c r="D140" s="793"/>
      <c r="E140" s="709"/>
      <c r="F140" s="709"/>
      <c r="G140" s="709"/>
      <c r="H140" s="709"/>
      <c r="I140" s="709"/>
      <c r="J140" s="709"/>
      <c r="K140" s="709"/>
      <c r="L140" s="709"/>
      <c r="M140" s="709"/>
      <c r="N140" s="709"/>
      <c r="O140" s="709"/>
      <c r="P140" s="709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710"/>
      <c r="AB140" s="710"/>
      <c r="AC140" s="794"/>
      <c r="AD140" s="795"/>
      <c r="AE140" s="780"/>
    </row>
    <row r="141" spans="1:32" s="796" customFormat="1" ht="19.5" thickTop="1" x14ac:dyDescent="0.3">
      <c r="A141" s="797"/>
      <c r="B141" s="797"/>
      <c r="C141" s="797"/>
      <c r="E141" s="797"/>
      <c r="F141" s="797"/>
      <c r="G141" s="797"/>
      <c r="H141" s="797"/>
      <c r="I141" s="797"/>
      <c r="J141" s="797"/>
      <c r="K141" s="797"/>
      <c r="L141" s="797"/>
      <c r="M141" s="797"/>
      <c r="N141" s="797"/>
      <c r="O141" s="797"/>
      <c r="P141" s="797"/>
      <c r="Q141" s="798"/>
      <c r="R141" s="798"/>
      <c r="S141" s="798"/>
      <c r="T141" s="798"/>
      <c r="U141" s="798"/>
      <c r="V141" s="1071"/>
      <c r="W141" s="1071"/>
      <c r="X141" s="1071"/>
      <c r="Y141" s="797"/>
      <c r="Z141" s="797"/>
      <c r="AA141" s="797"/>
      <c r="AB141" s="797"/>
      <c r="AC141" s="988"/>
      <c r="AD141" s="797"/>
    </row>
    <row r="142" spans="1:32" s="796" customFormat="1" x14ac:dyDescent="0.3">
      <c r="A142" s="797"/>
      <c r="B142" s="797"/>
      <c r="C142" s="797"/>
      <c r="E142" s="797"/>
      <c r="F142" s="797"/>
      <c r="G142" s="797"/>
      <c r="H142" s="797"/>
      <c r="I142" s="797"/>
      <c r="J142" s="797"/>
      <c r="K142" s="797"/>
      <c r="L142" s="797"/>
      <c r="M142" s="797"/>
      <c r="N142" s="797"/>
      <c r="O142" s="797"/>
      <c r="P142" s="797"/>
      <c r="Q142" s="780"/>
      <c r="R142" s="780"/>
      <c r="S142" s="780"/>
      <c r="T142" s="780"/>
      <c r="U142" s="780"/>
      <c r="V142" s="800"/>
      <c r="W142" s="780"/>
      <c r="X142" s="780"/>
      <c r="Y142" s="797"/>
      <c r="Z142" s="797"/>
      <c r="AA142" s="797"/>
      <c r="AB142" s="797"/>
      <c r="AC142" s="988"/>
      <c r="AD142" s="797"/>
      <c r="AF142" s="796" t="s">
        <v>2294</v>
      </c>
    </row>
    <row r="143" spans="1:32" s="796" customFormat="1" x14ac:dyDescent="0.3">
      <c r="A143" s="797"/>
      <c r="B143" s="797"/>
      <c r="C143" s="797"/>
      <c r="E143" s="797"/>
      <c r="F143" s="797"/>
      <c r="G143" s="797"/>
      <c r="H143" s="797"/>
      <c r="I143" s="797"/>
      <c r="J143" s="797"/>
      <c r="K143" s="797"/>
      <c r="L143" s="797"/>
      <c r="M143" s="797"/>
      <c r="N143" s="797"/>
      <c r="O143" s="797"/>
      <c r="P143" s="797"/>
      <c r="Q143" s="780"/>
      <c r="R143" s="780"/>
      <c r="S143" s="780"/>
      <c r="T143" s="780"/>
      <c r="U143" s="780"/>
      <c r="V143" s="800"/>
      <c r="W143" s="780"/>
      <c r="X143" s="780"/>
      <c r="Y143" s="797"/>
      <c r="Z143" s="797"/>
      <c r="AA143" s="797"/>
      <c r="AB143" s="797"/>
      <c r="AC143" s="988"/>
      <c r="AD143" s="797"/>
    </row>
    <row r="144" spans="1:32" s="796" customFormat="1" x14ac:dyDescent="0.3">
      <c r="A144" s="797"/>
      <c r="B144" s="797"/>
      <c r="C144" s="797"/>
      <c r="E144" s="797"/>
      <c r="F144" s="797"/>
      <c r="G144" s="797"/>
      <c r="H144" s="797"/>
      <c r="I144" s="797"/>
      <c r="J144" s="797"/>
      <c r="K144" s="797"/>
      <c r="L144" s="797"/>
      <c r="M144" s="797"/>
      <c r="N144" s="797"/>
      <c r="O144" s="797"/>
      <c r="P144" s="797"/>
      <c r="Q144" s="1072"/>
      <c r="R144" s="1072"/>
      <c r="S144" s="1072"/>
      <c r="T144" s="1072"/>
      <c r="U144" s="1072"/>
      <c r="V144" s="1072"/>
      <c r="W144" s="1072"/>
      <c r="X144" s="1072"/>
      <c r="Y144" s="797"/>
      <c r="Z144" s="797"/>
      <c r="AA144" s="797"/>
      <c r="AB144" s="797"/>
      <c r="AC144" s="988"/>
      <c r="AD144" s="797"/>
    </row>
    <row r="145" spans="1:30" s="796" customFormat="1" x14ac:dyDescent="0.3">
      <c r="A145" s="797"/>
      <c r="B145" s="797"/>
      <c r="C145" s="797"/>
      <c r="E145" s="797"/>
      <c r="F145" s="797"/>
      <c r="G145" s="797"/>
      <c r="H145" s="797"/>
      <c r="I145" s="797"/>
      <c r="J145" s="797"/>
      <c r="K145" s="797"/>
      <c r="L145" s="797"/>
      <c r="M145" s="797"/>
      <c r="N145" s="797"/>
      <c r="O145" s="797"/>
      <c r="P145" s="797"/>
      <c r="Q145" s="1071"/>
      <c r="R145" s="1071"/>
      <c r="S145" s="1071"/>
      <c r="T145" s="1071"/>
      <c r="U145" s="1071"/>
      <c r="V145" s="1071"/>
      <c r="W145" s="1071"/>
      <c r="X145" s="1071"/>
      <c r="Y145" s="1071"/>
      <c r="Z145" s="1071"/>
      <c r="AA145" s="1071"/>
      <c r="AB145" s="1071"/>
      <c r="AC145" s="1071"/>
      <c r="AD145" s="1071"/>
    </row>
    <row r="146" spans="1:30" s="796" customFormat="1" x14ac:dyDescent="0.3">
      <c r="A146" s="797"/>
      <c r="B146" s="797"/>
      <c r="C146" s="797"/>
      <c r="E146" s="797"/>
      <c r="F146" s="797"/>
      <c r="G146" s="797"/>
      <c r="H146" s="797"/>
      <c r="I146" s="797"/>
      <c r="J146" s="797"/>
      <c r="K146" s="797"/>
      <c r="L146" s="797"/>
      <c r="M146" s="797"/>
      <c r="N146" s="797"/>
      <c r="O146" s="797"/>
      <c r="P146" s="797"/>
      <c r="Q146" s="797"/>
      <c r="R146" s="797"/>
      <c r="S146" s="797"/>
      <c r="T146" s="797"/>
      <c r="U146" s="797"/>
      <c r="V146" s="803"/>
      <c r="W146" s="797"/>
      <c r="X146" s="797"/>
      <c r="Y146" s="797"/>
      <c r="Z146" s="797"/>
      <c r="AA146" s="797"/>
      <c r="AB146" s="797"/>
      <c r="AC146" s="988"/>
      <c r="AD146" s="797"/>
    </row>
    <row r="147" spans="1:30" s="796" customFormat="1" x14ac:dyDescent="0.3">
      <c r="A147" s="797"/>
      <c r="B147" s="797"/>
      <c r="C147" s="797"/>
      <c r="E147" s="797"/>
      <c r="F147" s="797"/>
      <c r="G147" s="797"/>
      <c r="H147" s="797"/>
      <c r="I147" s="797"/>
      <c r="J147" s="797"/>
      <c r="K147" s="797"/>
      <c r="L147" s="797"/>
      <c r="M147" s="797"/>
      <c r="N147" s="797"/>
      <c r="O147" s="797"/>
      <c r="P147" s="797"/>
      <c r="Q147" s="797"/>
      <c r="R147" s="797"/>
      <c r="S147" s="797"/>
      <c r="T147" s="797"/>
      <c r="U147" s="797"/>
      <c r="V147" s="803"/>
      <c r="W147" s="797"/>
      <c r="X147" s="797"/>
      <c r="Y147" s="797"/>
      <c r="Z147" s="797"/>
      <c r="AA147" s="797"/>
      <c r="AB147" s="797"/>
      <c r="AC147" s="988"/>
      <c r="AD147" s="797"/>
    </row>
    <row r="148" spans="1:30" s="796" customFormat="1" x14ac:dyDescent="0.3">
      <c r="A148" s="797"/>
      <c r="B148" s="797"/>
      <c r="C148" s="797"/>
      <c r="E148" s="797"/>
      <c r="F148" s="797"/>
      <c r="G148" s="797"/>
      <c r="H148" s="797"/>
      <c r="I148" s="797"/>
      <c r="J148" s="797"/>
      <c r="K148" s="797"/>
      <c r="L148" s="797"/>
      <c r="M148" s="797"/>
      <c r="N148" s="797"/>
      <c r="O148" s="797"/>
      <c r="P148" s="797"/>
      <c r="Q148" s="797"/>
      <c r="R148" s="797"/>
      <c r="S148" s="797"/>
      <c r="T148" s="797"/>
      <c r="U148" s="797"/>
      <c r="V148" s="803"/>
      <c r="W148" s="797"/>
      <c r="X148" s="797"/>
      <c r="Y148" s="797"/>
      <c r="Z148" s="797"/>
      <c r="AA148" s="797"/>
      <c r="AB148" s="797"/>
      <c r="AC148" s="988"/>
      <c r="AD148" s="797"/>
    </row>
    <row r="149" spans="1:30" s="796" customFormat="1" x14ac:dyDescent="0.3">
      <c r="A149" s="797"/>
      <c r="B149" s="797"/>
      <c r="C149" s="797"/>
      <c r="E149" s="797"/>
      <c r="F149" s="797"/>
      <c r="G149" s="797"/>
      <c r="H149" s="797"/>
      <c r="I149" s="797"/>
      <c r="J149" s="797"/>
      <c r="K149" s="797"/>
      <c r="L149" s="797"/>
      <c r="M149" s="797"/>
      <c r="N149" s="797"/>
      <c r="O149" s="797"/>
      <c r="P149" s="797"/>
      <c r="Q149" s="797"/>
      <c r="R149" s="797"/>
      <c r="S149" s="797"/>
      <c r="T149" s="797"/>
      <c r="U149" s="797"/>
      <c r="V149" s="803"/>
      <c r="W149" s="797"/>
      <c r="X149" s="797"/>
      <c r="Y149" s="797"/>
      <c r="Z149" s="797"/>
      <c r="AA149" s="797"/>
      <c r="AB149" s="797"/>
      <c r="AC149" s="988"/>
      <c r="AD149" s="797"/>
    </row>
    <row r="150" spans="1:30" s="796" customFormat="1" x14ac:dyDescent="0.3">
      <c r="A150" s="797"/>
      <c r="B150" s="797"/>
      <c r="C150" s="797"/>
      <c r="E150" s="797"/>
      <c r="F150" s="797"/>
      <c r="G150" s="797"/>
      <c r="H150" s="797"/>
      <c r="I150" s="797"/>
      <c r="J150" s="797"/>
      <c r="K150" s="797"/>
      <c r="L150" s="797"/>
      <c r="M150" s="797"/>
      <c r="N150" s="797"/>
      <c r="O150" s="797"/>
      <c r="P150" s="797"/>
      <c r="Q150" s="797"/>
      <c r="R150" s="797"/>
      <c r="S150" s="797"/>
      <c r="T150" s="797"/>
      <c r="U150" s="797"/>
      <c r="V150" s="803"/>
      <c r="W150" s="797"/>
      <c r="X150" s="797"/>
      <c r="Y150" s="797"/>
      <c r="Z150" s="797"/>
      <c r="AA150" s="797"/>
      <c r="AB150" s="797"/>
      <c r="AC150" s="988"/>
      <c r="AD150" s="797"/>
    </row>
    <row r="151" spans="1:30" s="806" customFormat="1" x14ac:dyDescent="0.3">
      <c r="A151" s="807"/>
      <c r="B151" s="807"/>
      <c r="C151" s="807"/>
      <c r="E151" s="807"/>
      <c r="F151" s="807"/>
      <c r="G151" s="807"/>
      <c r="H151" s="807"/>
      <c r="I151" s="801"/>
      <c r="J151" s="807"/>
      <c r="K151" s="807"/>
      <c r="L151" s="807"/>
      <c r="M151" s="807"/>
      <c r="N151" s="807"/>
      <c r="O151" s="807"/>
      <c r="P151" s="807"/>
      <c r="Q151" s="807"/>
      <c r="R151" s="807"/>
      <c r="S151" s="807"/>
      <c r="T151" s="807"/>
      <c r="U151" s="807"/>
      <c r="V151" s="803"/>
      <c r="W151" s="807"/>
      <c r="X151" s="807"/>
      <c r="Y151" s="807"/>
      <c r="Z151" s="807"/>
      <c r="AA151" s="807"/>
      <c r="AB151" s="804"/>
      <c r="AC151" s="808"/>
      <c r="AD151" s="807"/>
    </row>
    <row r="152" spans="1:30" s="806" customFormat="1" x14ac:dyDescent="0.3">
      <c r="A152" s="807"/>
      <c r="B152" s="807"/>
      <c r="C152" s="807"/>
      <c r="E152" s="807"/>
      <c r="F152" s="807"/>
      <c r="G152" s="807"/>
      <c r="H152" s="807"/>
      <c r="I152" s="801"/>
      <c r="J152" s="807"/>
      <c r="K152" s="807"/>
      <c r="L152" s="807"/>
      <c r="M152" s="807"/>
      <c r="N152" s="807"/>
      <c r="O152" s="807"/>
      <c r="P152" s="807"/>
      <c r="Q152" s="807"/>
      <c r="R152" s="807"/>
      <c r="S152" s="807"/>
      <c r="T152" s="807"/>
      <c r="U152" s="807"/>
      <c r="V152" s="803"/>
      <c r="W152" s="807"/>
      <c r="X152" s="807"/>
      <c r="Y152" s="807"/>
      <c r="Z152" s="807"/>
      <c r="AA152" s="807"/>
      <c r="AB152" s="804"/>
      <c r="AC152" s="808"/>
      <c r="AD152" s="807"/>
    </row>
    <row r="153" spans="1:30" s="806" customFormat="1" x14ac:dyDescent="0.3">
      <c r="A153" s="807"/>
      <c r="B153" s="807"/>
      <c r="C153" s="807"/>
      <c r="E153" s="807"/>
      <c r="F153" s="807"/>
      <c r="G153" s="807"/>
      <c r="H153" s="807"/>
      <c r="I153" s="801"/>
      <c r="J153" s="807"/>
      <c r="K153" s="807"/>
      <c r="L153" s="807"/>
      <c r="M153" s="807"/>
      <c r="N153" s="807"/>
      <c r="O153" s="807"/>
      <c r="P153" s="807"/>
      <c r="Q153" s="807"/>
      <c r="R153" s="807"/>
      <c r="S153" s="807"/>
      <c r="T153" s="807"/>
      <c r="U153" s="807"/>
      <c r="V153" s="803"/>
      <c r="W153" s="807"/>
      <c r="X153" s="807"/>
      <c r="Y153" s="807"/>
      <c r="Z153" s="807"/>
      <c r="AA153" s="807"/>
      <c r="AB153" s="804"/>
      <c r="AC153" s="808"/>
      <c r="AD153" s="807"/>
    </row>
    <row r="154" spans="1:30" s="806" customFormat="1" x14ac:dyDescent="0.3">
      <c r="A154" s="807"/>
      <c r="B154" s="807"/>
      <c r="C154" s="807"/>
      <c r="E154" s="807"/>
      <c r="F154" s="807"/>
      <c r="G154" s="807"/>
      <c r="H154" s="807"/>
      <c r="I154" s="801"/>
      <c r="J154" s="807"/>
      <c r="K154" s="807"/>
      <c r="L154" s="807"/>
      <c r="M154" s="807"/>
      <c r="N154" s="807"/>
      <c r="O154" s="807"/>
      <c r="P154" s="807"/>
      <c r="Q154" s="807"/>
      <c r="R154" s="807"/>
      <c r="S154" s="807"/>
      <c r="T154" s="807"/>
      <c r="U154" s="807"/>
      <c r="V154" s="803"/>
      <c r="W154" s="807"/>
      <c r="X154" s="807"/>
      <c r="Y154" s="807"/>
      <c r="Z154" s="807"/>
      <c r="AA154" s="807"/>
      <c r="AB154" s="804"/>
      <c r="AC154" s="808"/>
      <c r="AD154" s="807"/>
    </row>
    <row r="155" spans="1:30" s="806" customFormat="1" x14ac:dyDescent="0.3">
      <c r="A155" s="807"/>
      <c r="B155" s="807"/>
      <c r="C155" s="807"/>
      <c r="E155" s="807"/>
      <c r="F155" s="807"/>
      <c r="G155" s="807"/>
      <c r="H155" s="807"/>
      <c r="I155" s="801"/>
      <c r="J155" s="807"/>
      <c r="K155" s="807"/>
      <c r="L155" s="807"/>
      <c r="M155" s="807"/>
      <c r="N155" s="807"/>
      <c r="O155" s="807"/>
      <c r="P155" s="807"/>
      <c r="Q155" s="807"/>
      <c r="R155" s="807"/>
      <c r="S155" s="807"/>
      <c r="T155" s="807"/>
      <c r="U155" s="807"/>
      <c r="V155" s="803"/>
      <c r="W155" s="807"/>
      <c r="X155" s="807"/>
      <c r="Y155" s="807"/>
      <c r="Z155" s="807"/>
      <c r="AA155" s="807"/>
      <c r="AB155" s="804"/>
      <c r="AC155" s="808"/>
      <c r="AD155" s="807"/>
    </row>
    <row r="156" spans="1:30" s="806" customFormat="1" x14ac:dyDescent="0.3">
      <c r="A156" s="807"/>
      <c r="B156" s="807"/>
      <c r="C156" s="807"/>
      <c r="E156" s="807"/>
      <c r="F156" s="807"/>
      <c r="G156" s="807"/>
      <c r="H156" s="807"/>
      <c r="I156" s="801"/>
      <c r="J156" s="807"/>
      <c r="K156" s="807"/>
      <c r="L156" s="807"/>
      <c r="M156" s="807"/>
      <c r="N156" s="807"/>
      <c r="O156" s="807"/>
      <c r="P156" s="807"/>
      <c r="Q156" s="807"/>
      <c r="R156" s="807"/>
      <c r="S156" s="807"/>
      <c r="T156" s="807"/>
      <c r="U156" s="807"/>
      <c r="V156" s="803"/>
      <c r="W156" s="807"/>
      <c r="X156" s="807"/>
      <c r="Y156" s="807"/>
      <c r="Z156" s="807"/>
      <c r="AA156" s="807"/>
      <c r="AB156" s="804"/>
      <c r="AC156" s="808"/>
      <c r="AD156" s="807"/>
    </row>
    <row r="157" spans="1:30" s="806" customFormat="1" x14ac:dyDescent="0.3">
      <c r="A157" s="807"/>
      <c r="B157" s="807"/>
      <c r="C157" s="807"/>
      <c r="E157" s="807"/>
      <c r="F157" s="807"/>
      <c r="G157" s="807"/>
      <c r="H157" s="807"/>
      <c r="I157" s="801"/>
      <c r="J157" s="807"/>
      <c r="K157" s="807"/>
      <c r="L157" s="807"/>
      <c r="M157" s="807"/>
      <c r="N157" s="807"/>
      <c r="O157" s="807"/>
      <c r="P157" s="807"/>
      <c r="Q157" s="807"/>
      <c r="R157" s="807"/>
      <c r="S157" s="807"/>
      <c r="T157" s="807"/>
      <c r="U157" s="807"/>
      <c r="V157" s="803"/>
      <c r="W157" s="807"/>
      <c r="X157" s="807"/>
      <c r="Y157" s="807"/>
      <c r="Z157" s="807"/>
      <c r="AA157" s="807"/>
      <c r="AB157" s="804"/>
      <c r="AC157" s="808"/>
      <c r="AD157" s="807"/>
    </row>
    <row r="158" spans="1:30" s="806" customFormat="1" x14ac:dyDescent="0.3">
      <c r="A158" s="807"/>
      <c r="B158" s="807"/>
      <c r="C158" s="807"/>
      <c r="E158" s="807"/>
      <c r="F158" s="807"/>
      <c r="G158" s="807"/>
      <c r="H158" s="807"/>
      <c r="I158" s="801"/>
      <c r="J158" s="807"/>
      <c r="K158" s="807"/>
      <c r="L158" s="807"/>
      <c r="M158" s="807"/>
      <c r="N158" s="807"/>
      <c r="O158" s="807"/>
      <c r="P158" s="807"/>
      <c r="Q158" s="807"/>
      <c r="R158" s="807"/>
      <c r="S158" s="807"/>
      <c r="T158" s="807"/>
      <c r="U158" s="807"/>
      <c r="V158" s="803"/>
      <c r="W158" s="807"/>
      <c r="X158" s="807"/>
      <c r="Y158" s="807"/>
      <c r="Z158" s="807"/>
      <c r="AA158" s="807"/>
      <c r="AB158" s="804"/>
      <c r="AC158" s="808"/>
      <c r="AD158" s="807"/>
    </row>
    <row r="159" spans="1:30" s="806" customFormat="1" x14ac:dyDescent="0.3">
      <c r="A159" s="807"/>
      <c r="B159" s="807"/>
      <c r="C159" s="807"/>
      <c r="E159" s="807"/>
      <c r="F159" s="807"/>
      <c r="G159" s="807"/>
      <c r="H159" s="807"/>
      <c r="I159" s="801"/>
      <c r="J159" s="807"/>
      <c r="K159" s="807"/>
      <c r="L159" s="807"/>
      <c r="M159" s="807"/>
      <c r="N159" s="807"/>
      <c r="O159" s="807"/>
      <c r="P159" s="807"/>
      <c r="Q159" s="807"/>
      <c r="R159" s="807"/>
      <c r="S159" s="807"/>
      <c r="T159" s="807"/>
      <c r="U159" s="807"/>
      <c r="V159" s="803"/>
      <c r="W159" s="807"/>
      <c r="X159" s="807"/>
      <c r="Y159" s="807"/>
      <c r="Z159" s="807"/>
      <c r="AA159" s="807"/>
      <c r="AB159" s="804"/>
      <c r="AC159" s="808"/>
      <c r="AD159" s="807"/>
    </row>
    <row r="160" spans="1:30" s="806" customFormat="1" x14ac:dyDescent="0.3">
      <c r="A160" s="807"/>
      <c r="B160" s="807"/>
      <c r="C160" s="807"/>
      <c r="E160" s="807"/>
      <c r="F160" s="807"/>
      <c r="G160" s="807"/>
      <c r="H160" s="807"/>
      <c r="I160" s="801"/>
      <c r="J160" s="807"/>
      <c r="K160" s="807"/>
      <c r="L160" s="807"/>
      <c r="M160" s="807"/>
      <c r="N160" s="807"/>
      <c r="O160" s="807"/>
      <c r="P160" s="807"/>
      <c r="Q160" s="807"/>
      <c r="R160" s="807"/>
      <c r="S160" s="807"/>
      <c r="T160" s="807"/>
      <c r="U160" s="807"/>
      <c r="V160" s="803"/>
      <c r="W160" s="807"/>
      <c r="X160" s="807"/>
      <c r="Y160" s="807"/>
      <c r="Z160" s="807"/>
      <c r="AA160" s="807"/>
      <c r="AB160" s="804"/>
      <c r="AC160" s="808"/>
      <c r="AD160" s="807"/>
    </row>
    <row r="161" spans="1:30" s="806" customFormat="1" x14ac:dyDescent="0.3">
      <c r="A161" s="807"/>
      <c r="B161" s="807"/>
      <c r="C161" s="807"/>
      <c r="E161" s="807"/>
      <c r="F161" s="807"/>
      <c r="G161" s="807"/>
      <c r="H161" s="807"/>
      <c r="I161" s="801"/>
      <c r="J161" s="807"/>
      <c r="K161" s="807"/>
      <c r="L161" s="807"/>
      <c r="M161" s="807"/>
      <c r="N161" s="807"/>
      <c r="O161" s="807"/>
      <c r="P161" s="807"/>
      <c r="Q161" s="807"/>
      <c r="R161" s="807"/>
      <c r="S161" s="807"/>
      <c r="T161" s="807"/>
      <c r="U161" s="807"/>
      <c r="V161" s="803"/>
      <c r="W161" s="807"/>
      <c r="X161" s="807"/>
      <c r="Y161" s="807"/>
      <c r="Z161" s="807"/>
      <c r="AA161" s="807"/>
      <c r="AB161" s="804"/>
      <c r="AC161" s="808"/>
      <c r="AD161" s="807"/>
    </row>
    <row r="162" spans="1:30" s="806" customFormat="1" x14ac:dyDescent="0.3">
      <c r="A162" s="807"/>
      <c r="B162" s="807"/>
      <c r="C162" s="807"/>
      <c r="E162" s="807"/>
      <c r="F162" s="807"/>
      <c r="G162" s="807"/>
      <c r="H162" s="807"/>
      <c r="I162" s="801"/>
      <c r="J162" s="807"/>
      <c r="K162" s="807"/>
      <c r="L162" s="807"/>
      <c r="M162" s="807"/>
      <c r="N162" s="807"/>
      <c r="O162" s="807"/>
      <c r="P162" s="807"/>
      <c r="Q162" s="807"/>
      <c r="R162" s="807"/>
      <c r="S162" s="807"/>
      <c r="T162" s="807"/>
      <c r="U162" s="807"/>
      <c r="V162" s="803"/>
      <c r="W162" s="807"/>
      <c r="X162" s="807"/>
      <c r="Y162" s="807"/>
      <c r="Z162" s="807"/>
      <c r="AA162" s="807"/>
      <c r="AB162" s="804"/>
      <c r="AC162" s="808"/>
      <c r="AD162" s="807"/>
    </row>
    <row r="179" spans="1:32" s="256" customFormat="1" ht="18" customHeight="1" x14ac:dyDescent="0.25">
      <c r="A179" s="523">
        <v>77</v>
      </c>
      <c r="B179" s="618"/>
      <c r="C179" s="681">
        <v>2023</v>
      </c>
      <c r="D179" s="682" t="s">
        <v>2084</v>
      </c>
      <c r="E179" s="684" t="s">
        <v>1107</v>
      </c>
      <c r="F179" s="242"/>
      <c r="G179" s="242"/>
      <c r="H179" s="242">
        <v>7</v>
      </c>
      <c r="I179" s="242"/>
      <c r="J179" s="242">
        <v>7</v>
      </c>
      <c r="K179" s="242">
        <v>7.5</v>
      </c>
      <c r="L179" s="242"/>
      <c r="M179" s="242"/>
      <c r="N179" s="242"/>
      <c r="O179" s="242"/>
      <c r="P179" s="242"/>
      <c r="Q179" s="242"/>
      <c r="R179" s="242"/>
      <c r="S179" s="242"/>
      <c r="T179" s="242"/>
      <c r="U179" s="242"/>
      <c r="V179" s="277">
        <f>SUM(F179:U179)/13</f>
        <v>1.6538461538461537</v>
      </c>
      <c r="W179" s="242"/>
      <c r="X179" s="242"/>
      <c r="Y179" s="242"/>
      <c r="Z179" s="277">
        <f>SUM(W179:Y179)/3</f>
        <v>0</v>
      </c>
      <c r="AA179" s="277">
        <f>SUM(V179+Z179)/2</f>
        <v>0.82692307692307687</v>
      </c>
      <c r="AB179" s="379"/>
      <c r="AC179" s="262"/>
      <c r="AD179" s="683" t="s">
        <v>2085</v>
      </c>
      <c r="AE179" s="374"/>
      <c r="AF179" s="357">
        <f>AVERAGE(F179:U179)</f>
        <v>7.166666666666667</v>
      </c>
    </row>
  </sheetData>
  <autoFilter ref="V7:AE140">
    <filterColumn colId="1" showButton="0"/>
    <filterColumn colId="2" showButton="0"/>
    <filterColumn colId="3" showButton="0"/>
  </autoFilter>
  <mergeCells count="19">
    <mergeCell ref="E1:AD1"/>
    <mergeCell ref="E2:AD2"/>
    <mergeCell ref="A7:A8"/>
    <mergeCell ref="D7:D8"/>
    <mergeCell ref="B7:C8"/>
    <mergeCell ref="W7:Z7"/>
    <mergeCell ref="E7:E8"/>
    <mergeCell ref="E3:AD3"/>
    <mergeCell ref="E4:AD4"/>
    <mergeCell ref="E5:AD5"/>
    <mergeCell ref="AB7:AB8"/>
    <mergeCell ref="AC7:AC8"/>
    <mergeCell ref="Q145:AD145"/>
    <mergeCell ref="V141:X141"/>
    <mergeCell ref="Q144:X144"/>
    <mergeCell ref="AA7:AA8"/>
    <mergeCell ref="AD7:AD8"/>
    <mergeCell ref="F7:U7"/>
    <mergeCell ref="V7:V8"/>
  </mergeCells>
  <phoneticPr fontId="0" type="noConversion"/>
  <printOptions horizontalCentered="1"/>
  <pageMargins left="0.69" right="0.16" top="0.27" bottom="0.27" header="0.2" footer="0.2"/>
  <pageSetup scale="9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rgb="FF00FF00"/>
  </sheetPr>
  <dimension ref="A1:AF128"/>
  <sheetViews>
    <sheetView tabSelected="1" zoomScale="120" zoomScaleNormal="120" workbookViewId="0">
      <selection activeCell="AF3" sqref="AF3"/>
    </sheetView>
  </sheetViews>
  <sheetFormatPr defaultRowHeight="18.75" x14ac:dyDescent="0.3"/>
  <cols>
    <col min="1" max="1" width="2.8984375" style="760" customWidth="1"/>
    <col min="2" max="3" width="4.09765625" style="1" customWidth="1"/>
    <col min="4" max="4" width="14.796875" customWidth="1"/>
    <col min="5" max="5" width="7.59765625" style="1" customWidth="1"/>
    <col min="6" max="21" width="2.69921875" style="1" customWidth="1"/>
    <col min="22" max="22" width="3.296875" style="42" customWidth="1"/>
    <col min="23" max="25" width="2.19921875" style="22" hidden="1" customWidth="1"/>
    <col min="26" max="27" width="3.3984375" style="1" hidden="1" customWidth="1"/>
    <col min="28" max="28" width="2.69921875" style="40" customWidth="1"/>
    <col min="29" max="29" width="4.3984375" style="15" hidden="1" customWidth="1"/>
    <col min="30" max="30" width="19.09765625" style="1" customWidth="1"/>
    <col min="31" max="31" width="1.796875" customWidth="1"/>
    <col min="32" max="32" width="4.3984375" style="1319" customWidth="1"/>
  </cols>
  <sheetData>
    <row r="1" spans="1:32" s="761" customFormat="1" ht="15.75" x14ac:dyDescent="0.25">
      <c r="B1" s="763"/>
      <c r="C1" s="763"/>
      <c r="D1" s="763"/>
      <c r="E1" s="1046" t="s">
        <v>2237</v>
      </c>
      <c r="F1" s="1046"/>
      <c r="G1" s="1046"/>
      <c r="H1" s="1046"/>
      <c r="I1" s="1046"/>
      <c r="J1" s="1046"/>
      <c r="K1" s="1046"/>
      <c r="L1" s="1046"/>
      <c r="M1" s="1046"/>
      <c r="N1" s="1046"/>
      <c r="O1" s="1046"/>
      <c r="P1" s="1046"/>
      <c r="Q1" s="1046"/>
      <c r="R1" s="1046"/>
      <c r="S1" s="1046"/>
      <c r="T1" s="1046"/>
      <c r="U1" s="1046"/>
      <c r="V1" s="1046"/>
      <c r="W1" s="1046"/>
      <c r="X1" s="1046"/>
      <c r="Y1" s="1046"/>
      <c r="Z1" s="1046"/>
      <c r="AA1" s="1046"/>
      <c r="AB1" s="1046"/>
      <c r="AC1" s="1046"/>
      <c r="AD1" s="1046"/>
      <c r="AF1" s="780"/>
    </row>
    <row r="2" spans="1:32" s="761" customFormat="1" ht="15.75" x14ac:dyDescent="0.25">
      <c r="B2" s="763"/>
      <c r="C2" s="763"/>
      <c r="D2" s="763"/>
      <c r="E2" s="775" t="s">
        <v>2092</v>
      </c>
      <c r="F2" s="1046" t="s">
        <v>2301</v>
      </c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  <c r="X2" s="1046"/>
      <c r="Y2" s="1046"/>
      <c r="Z2" s="1046"/>
      <c r="AA2" s="1046"/>
      <c r="AB2" s="1046"/>
      <c r="AC2" s="1046"/>
      <c r="AD2" s="1046"/>
      <c r="AF2" s="780"/>
    </row>
    <row r="3" spans="1:32" s="761" customFormat="1" ht="15.75" x14ac:dyDescent="0.25">
      <c r="B3" s="763"/>
      <c r="C3" s="763"/>
      <c r="D3" s="763"/>
      <c r="E3" s="1082" t="s">
        <v>2302</v>
      </c>
      <c r="F3" s="1082"/>
      <c r="G3" s="1082"/>
      <c r="H3" s="1082"/>
      <c r="I3" s="1082"/>
      <c r="J3" s="1082"/>
      <c r="K3" s="1082"/>
      <c r="L3" s="1082"/>
      <c r="M3" s="1082"/>
      <c r="N3" s="1082"/>
      <c r="O3" s="1082"/>
      <c r="P3" s="1082"/>
      <c r="Q3" s="1082"/>
      <c r="R3" s="1082"/>
      <c r="S3" s="1082"/>
      <c r="T3" s="1082"/>
      <c r="U3" s="1082"/>
      <c r="V3" s="1082"/>
      <c r="W3" s="1082"/>
      <c r="X3" s="1082"/>
      <c r="Y3" s="1082"/>
      <c r="Z3" s="1082"/>
      <c r="AA3" s="1082"/>
      <c r="AB3" s="1082"/>
      <c r="AC3" s="1082"/>
      <c r="AD3" s="1082"/>
      <c r="AF3" s="780"/>
    </row>
    <row r="4" spans="1:32" s="806" customFormat="1" ht="8.25" customHeight="1" thickBot="1" x14ac:dyDescent="0.4">
      <c r="A4" s="809"/>
      <c r="B4" s="809"/>
      <c r="C4" s="809"/>
      <c r="D4" s="809"/>
      <c r="E4" s="809"/>
      <c r="F4" s="810"/>
      <c r="G4" s="810"/>
      <c r="H4" s="810"/>
      <c r="I4" s="810"/>
      <c r="J4" s="810"/>
      <c r="K4" s="810"/>
      <c r="L4" s="810"/>
      <c r="M4" s="810"/>
      <c r="N4" s="810"/>
      <c r="O4" s="810"/>
      <c r="P4" s="810"/>
      <c r="Q4" s="810"/>
      <c r="R4" s="810"/>
      <c r="S4" s="810"/>
      <c r="T4" s="810"/>
      <c r="U4" s="810"/>
      <c r="V4" s="811"/>
      <c r="W4" s="809"/>
      <c r="X4" s="809"/>
      <c r="Y4" s="809"/>
      <c r="Z4" s="809"/>
      <c r="AA4" s="809"/>
      <c r="AB4" s="811"/>
      <c r="AC4" s="809"/>
      <c r="AD4" s="810"/>
      <c r="AE4" s="812"/>
      <c r="AF4" s="796"/>
    </row>
    <row r="5" spans="1:32" s="761" customFormat="1" ht="18.75" customHeight="1" thickTop="1" x14ac:dyDescent="0.25">
      <c r="A5" s="1087" t="s">
        <v>91</v>
      </c>
      <c r="B5" s="1060" t="s">
        <v>2118</v>
      </c>
      <c r="C5" s="1061"/>
      <c r="D5" s="1058" t="s">
        <v>2119</v>
      </c>
      <c r="E5" s="1058" t="s">
        <v>2120</v>
      </c>
      <c r="F5" s="1089" t="s">
        <v>2093</v>
      </c>
      <c r="G5" s="1090"/>
      <c r="H5" s="1090"/>
      <c r="I5" s="1090"/>
      <c r="J5" s="1090"/>
      <c r="K5" s="1090"/>
      <c r="L5" s="1090"/>
      <c r="M5" s="1090"/>
      <c r="N5" s="1090"/>
      <c r="O5" s="1090"/>
      <c r="P5" s="1090"/>
      <c r="Q5" s="1090"/>
      <c r="R5" s="1090"/>
      <c r="S5" s="1090"/>
      <c r="T5" s="1090"/>
      <c r="U5" s="1090"/>
      <c r="V5" s="1092" t="s">
        <v>2107</v>
      </c>
      <c r="W5" s="1089" t="s">
        <v>104</v>
      </c>
      <c r="X5" s="1090"/>
      <c r="Y5" s="1090"/>
      <c r="Z5" s="1091"/>
      <c r="AA5" s="1078" t="s">
        <v>99</v>
      </c>
      <c r="AB5" s="1083" t="s">
        <v>2108</v>
      </c>
      <c r="AC5" s="1085" t="s">
        <v>103</v>
      </c>
      <c r="AD5" s="1080" t="s">
        <v>2121</v>
      </c>
      <c r="AF5" s="780"/>
    </row>
    <row r="6" spans="1:32" s="761" customFormat="1" ht="145.5" customHeight="1" x14ac:dyDescent="0.25">
      <c r="A6" s="1088"/>
      <c r="B6" s="1062"/>
      <c r="C6" s="1063"/>
      <c r="D6" s="1059"/>
      <c r="E6" s="1059"/>
      <c r="F6" s="700" t="s">
        <v>2094</v>
      </c>
      <c r="G6" s="701" t="s">
        <v>2095</v>
      </c>
      <c r="H6" s="702" t="s">
        <v>2096</v>
      </c>
      <c r="I6" s="703" t="s">
        <v>2097</v>
      </c>
      <c r="J6" s="700" t="s">
        <v>2098</v>
      </c>
      <c r="K6" s="703" t="s">
        <v>2089</v>
      </c>
      <c r="L6" s="702" t="s">
        <v>2099</v>
      </c>
      <c r="M6" s="702" t="s">
        <v>2100</v>
      </c>
      <c r="N6" s="702" t="s">
        <v>2101</v>
      </c>
      <c r="O6" s="702" t="s">
        <v>2102</v>
      </c>
      <c r="P6" s="704" t="s">
        <v>2103</v>
      </c>
      <c r="Q6" s="703" t="s">
        <v>2105</v>
      </c>
      <c r="R6" s="703" t="s">
        <v>2104</v>
      </c>
      <c r="S6" s="703" t="s">
        <v>2090</v>
      </c>
      <c r="T6" s="703" t="s">
        <v>2106</v>
      </c>
      <c r="U6" s="703" t="s">
        <v>2091</v>
      </c>
      <c r="V6" s="1093"/>
      <c r="W6" s="698" t="s">
        <v>108</v>
      </c>
      <c r="X6" s="698" t="s">
        <v>97</v>
      </c>
      <c r="Y6" s="698" t="s">
        <v>96</v>
      </c>
      <c r="Z6" s="699" t="s">
        <v>98</v>
      </c>
      <c r="AA6" s="1079"/>
      <c r="AB6" s="1084"/>
      <c r="AC6" s="1086"/>
      <c r="AD6" s="1081"/>
      <c r="AF6" s="780"/>
    </row>
    <row r="7" spans="1:32" s="780" customFormat="1" ht="18" customHeight="1" x14ac:dyDescent="0.25">
      <c r="A7" s="747">
        <v>1</v>
      </c>
      <c r="B7" s="752"/>
      <c r="C7" s="743">
        <v>2026</v>
      </c>
      <c r="D7" s="690" t="s">
        <v>3020</v>
      </c>
      <c r="E7" s="687" t="s">
        <v>2870</v>
      </c>
      <c r="F7" s="705"/>
      <c r="G7" s="705"/>
      <c r="H7" s="706"/>
      <c r="I7" s="705"/>
      <c r="J7" s="705"/>
      <c r="K7" s="705"/>
      <c r="L7" s="705"/>
      <c r="M7" s="705"/>
      <c r="N7" s="705"/>
      <c r="O7" s="705"/>
      <c r="P7" s="705"/>
      <c r="Q7" s="705"/>
      <c r="R7" s="706"/>
      <c r="S7" s="706"/>
      <c r="T7" s="706"/>
      <c r="U7" s="706"/>
      <c r="V7" s="776">
        <f>SUM(F7:U7)/16</f>
        <v>0</v>
      </c>
      <c r="W7" s="777"/>
      <c r="X7" s="777"/>
      <c r="Y7" s="777"/>
      <c r="Z7" s="776">
        <f t="shared" ref="Z7:Z8" si="0">SUM(W7:Y7)/3</f>
        <v>0</v>
      </c>
      <c r="AA7" s="776">
        <f t="shared" ref="AA7:AA8" si="1">SUM(V7+Z7)/2</f>
        <v>0</v>
      </c>
      <c r="AB7" s="778"/>
      <c r="AC7" s="813"/>
      <c r="AD7" s="694" t="s">
        <v>2727</v>
      </c>
      <c r="AF7" s="781" t="e">
        <f t="shared" ref="AF7:AF53" si="2">AVERAGE(F7:U7)</f>
        <v>#DIV/0!</v>
      </c>
    </row>
    <row r="8" spans="1:32" s="784" customFormat="1" ht="18" customHeight="1" x14ac:dyDescent="0.25">
      <c r="A8" s="749">
        <v>2</v>
      </c>
      <c r="B8" s="745"/>
      <c r="C8" s="746">
        <v>2026</v>
      </c>
      <c r="D8" s="685" t="s">
        <v>3021</v>
      </c>
      <c r="E8" s="689" t="s">
        <v>3022</v>
      </c>
      <c r="F8" s="707"/>
      <c r="G8" s="707"/>
      <c r="H8" s="707"/>
      <c r="I8" s="707"/>
      <c r="J8" s="707"/>
      <c r="K8" s="707"/>
      <c r="L8" s="707"/>
      <c r="M8" s="707"/>
      <c r="N8" s="707"/>
      <c r="O8" s="707"/>
      <c r="P8" s="707"/>
      <c r="Q8" s="707"/>
      <c r="R8" s="707"/>
      <c r="S8" s="707"/>
      <c r="T8" s="707"/>
      <c r="U8" s="707"/>
      <c r="V8" s="782">
        <f>SUM(F8:U8)/16</f>
        <v>0</v>
      </c>
      <c r="W8" s="707"/>
      <c r="X8" s="707"/>
      <c r="Y8" s="707"/>
      <c r="Z8" s="782">
        <f t="shared" si="0"/>
        <v>0</v>
      </c>
      <c r="AA8" s="782">
        <f t="shared" si="1"/>
        <v>0</v>
      </c>
      <c r="AB8" s="778"/>
      <c r="AC8" s="814"/>
      <c r="AD8" s="695" t="s">
        <v>3196</v>
      </c>
      <c r="AE8" s="780"/>
      <c r="AF8" s="781" t="e">
        <f t="shared" si="2"/>
        <v>#DIV/0!</v>
      </c>
    </row>
    <row r="9" spans="1:32" s="784" customFormat="1" ht="18" customHeight="1" x14ac:dyDescent="0.25">
      <c r="A9" s="749">
        <v>3</v>
      </c>
      <c r="B9" s="745"/>
      <c r="C9" s="746">
        <v>2026</v>
      </c>
      <c r="D9" s="685" t="s">
        <v>3023</v>
      </c>
      <c r="E9" s="689" t="s">
        <v>3024</v>
      </c>
      <c r="F9" s="707"/>
      <c r="G9" s="707"/>
      <c r="H9" s="707"/>
      <c r="I9" s="707"/>
      <c r="J9" s="707"/>
      <c r="K9" s="707"/>
      <c r="L9" s="707"/>
      <c r="M9" s="707"/>
      <c r="N9" s="707"/>
      <c r="O9" s="707"/>
      <c r="P9" s="707"/>
      <c r="Q9" s="707"/>
      <c r="R9" s="707"/>
      <c r="S9" s="707"/>
      <c r="T9" s="707"/>
      <c r="U9" s="707"/>
      <c r="V9" s="782">
        <f t="shared" ref="V9:V80" si="3">SUM(F9:U9)/16</f>
        <v>0</v>
      </c>
      <c r="W9" s="707"/>
      <c r="X9" s="707"/>
      <c r="Y9" s="707"/>
      <c r="Z9" s="782"/>
      <c r="AA9" s="782"/>
      <c r="AB9" s="778"/>
      <c r="AC9" s="814"/>
      <c r="AD9" s="695" t="s">
        <v>3197</v>
      </c>
      <c r="AE9" s="780"/>
      <c r="AF9" s="781" t="e">
        <f t="shared" si="2"/>
        <v>#DIV/0!</v>
      </c>
    </row>
    <row r="10" spans="1:32" s="788" customFormat="1" ht="18" customHeight="1" x14ac:dyDescent="0.25">
      <c r="A10" s="749">
        <v>4</v>
      </c>
      <c r="B10" s="745"/>
      <c r="C10" s="746">
        <v>2026</v>
      </c>
      <c r="D10" s="685" t="s">
        <v>3025</v>
      </c>
      <c r="E10" s="689" t="s">
        <v>3026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7"/>
      <c r="R10" s="707"/>
      <c r="S10" s="707"/>
      <c r="T10" s="707"/>
      <c r="U10" s="707"/>
      <c r="V10" s="782">
        <f t="shared" si="3"/>
        <v>0</v>
      </c>
      <c r="W10" s="707"/>
      <c r="X10" s="707"/>
      <c r="Y10" s="707"/>
      <c r="Z10" s="782"/>
      <c r="AA10" s="782"/>
      <c r="AB10" s="778"/>
      <c r="AC10" s="814"/>
      <c r="AD10" s="695" t="s">
        <v>2488</v>
      </c>
      <c r="AE10" s="786"/>
      <c r="AF10" s="781" t="e">
        <f t="shared" si="2"/>
        <v>#DIV/0!</v>
      </c>
    </row>
    <row r="11" spans="1:32" s="784" customFormat="1" ht="18" customHeight="1" x14ac:dyDescent="0.25">
      <c r="A11" s="749">
        <v>5</v>
      </c>
      <c r="B11" s="745"/>
      <c r="C11" s="746">
        <v>2026</v>
      </c>
      <c r="D11" s="685" t="s">
        <v>3027</v>
      </c>
      <c r="E11" s="689" t="s">
        <v>2340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07"/>
      <c r="R11" s="707"/>
      <c r="S11" s="707"/>
      <c r="T11" s="707"/>
      <c r="U11" s="707"/>
      <c r="V11" s="782">
        <f t="shared" si="3"/>
        <v>0</v>
      </c>
      <c r="W11" s="707"/>
      <c r="X11" s="707"/>
      <c r="Y11" s="707"/>
      <c r="Z11" s="782"/>
      <c r="AA11" s="782"/>
      <c r="AB11" s="778"/>
      <c r="AC11" s="814"/>
      <c r="AD11" s="695" t="s">
        <v>2699</v>
      </c>
      <c r="AE11" s="780"/>
      <c r="AF11" s="781" t="e">
        <f t="shared" si="2"/>
        <v>#DIV/0!</v>
      </c>
    </row>
    <row r="12" spans="1:32" s="784" customFormat="1" ht="18" customHeight="1" x14ac:dyDescent="0.25">
      <c r="A12" s="749">
        <v>6</v>
      </c>
      <c r="B12" s="745"/>
      <c r="C12" s="746">
        <v>2026</v>
      </c>
      <c r="D12" s="685" t="s">
        <v>2747</v>
      </c>
      <c r="E12" s="689" t="s">
        <v>2821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07"/>
      <c r="R12" s="707"/>
      <c r="S12" s="707"/>
      <c r="T12" s="707"/>
      <c r="U12" s="707"/>
      <c r="V12" s="782">
        <f t="shared" si="3"/>
        <v>0</v>
      </c>
      <c r="W12" s="707"/>
      <c r="X12" s="707"/>
      <c r="Y12" s="707"/>
      <c r="Z12" s="782"/>
      <c r="AA12" s="782"/>
      <c r="AB12" s="778"/>
      <c r="AC12" s="814"/>
      <c r="AD12" s="695" t="s">
        <v>3198</v>
      </c>
      <c r="AE12" s="780"/>
      <c r="AF12" s="781" t="e">
        <f t="shared" si="2"/>
        <v>#DIV/0!</v>
      </c>
    </row>
    <row r="13" spans="1:32" s="788" customFormat="1" ht="18" customHeight="1" x14ac:dyDescent="0.25">
      <c r="A13" s="749">
        <v>7</v>
      </c>
      <c r="B13" s="745"/>
      <c r="C13" s="746">
        <v>2026</v>
      </c>
      <c r="D13" s="685" t="s">
        <v>2550</v>
      </c>
      <c r="E13" s="689" t="s">
        <v>3028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07"/>
      <c r="R13" s="707"/>
      <c r="S13" s="707"/>
      <c r="T13" s="707"/>
      <c r="U13" s="707"/>
      <c r="V13" s="782">
        <f t="shared" si="3"/>
        <v>0</v>
      </c>
      <c r="W13" s="707"/>
      <c r="X13" s="707"/>
      <c r="Y13" s="707"/>
      <c r="Z13" s="782"/>
      <c r="AA13" s="782"/>
      <c r="AB13" s="778"/>
      <c r="AC13" s="814"/>
      <c r="AD13" s="695" t="s">
        <v>2699</v>
      </c>
      <c r="AE13" s="786"/>
      <c r="AF13" s="781" t="e">
        <f t="shared" si="2"/>
        <v>#DIV/0!</v>
      </c>
    </row>
    <row r="14" spans="1:32" s="784" customFormat="1" ht="18" customHeight="1" x14ac:dyDescent="0.25">
      <c r="A14" s="749">
        <v>8</v>
      </c>
      <c r="B14" s="745"/>
      <c r="C14" s="746">
        <v>2026</v>
      </c>
      <c r="D14" s="685" t="s">
        <v>3029</v>
      </c>
      <c r="E14" s="689" t="s">
        <v>3030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07"/>
      <c r="S14" s="707"/>
      <c r="T14" s="707"/>
      <c r="U14" s="707"/>
      <c r="V14" s="782">
        <f t="shared" si="3"/>
        <v>0</v>
      </c>
      <c r="W14" s="707"/>
      <c r="X14" s="707"/>
      <c r="Y14" s="707"/>
      <c r="Z14" s="782"/>
      <c r="AA14" s="782"/>
      <c r="AB14" s="778"/>
      <c r="AC14" s="814"/>
      <c r="AD14" s="695" t="s">
        <v>2699</v>
      </c>
      <c r="AE14" s="780"/>
      <c r="AF14" s="781" t="e">
        <f t="shared" si="2"/>
        <v>#DIV/0!</v>
      </c>
    </row>
    <row r="15" spans="1:32" s="784" customFormat="1" ht="18" customHeight="1" x14ac:dyDescent="0.25">
      <c r="A15" s="749">
        <v>9</v>
      </c>
      <c r="B15" s="745"/>
      <c r="C15" s="746">
        <v>2026</v>
      </c>
      <c r="D15" s="685" t="s">
        <v>3031</v>
      </c>
      <c r="E15" s="689" t="s">
        <v>3032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07"/>
      <c r="R15" s="707"/>
      <c r="S15" s="707"/>
      <c r="T15" s="707"/>
      <c r="U15" s="707"/>
      <c r="V15" s="782">
        <f t="shared" si="3"/>
        <v>0</v>
      </c>
      <c r="W15" s="707"/>
      <c r="X15" s="707"/>
      <c r="Y15" s="707"/>
      <c r="Z15" s="782"/>
      <c r="AA15" s="782"/>
      <c r="AB15" s="778"/>
      <c r="AC15" s="814"/>
      <c r="AD15" s="695" t="s">
        <v>3199</v>
      </c>
      <c r="AE15" s="780"/>
      <c r="AF15" s="781" t="e">
        <f t="shared" si="2"/>
        <v>#DIV/0!</v>
      </c>
    </row>
    <row r="16" spans="1:32" s="784" customFormat="1" ht="18" customHeight="1" x14ac:dyDescent="0.25">
      <c r="A16" s="749">
        <v>10</v>
      </c>
      <c r="B16" s="745"/>
      <c r="C16" s="746">
        <v>2026</v>
      </c>
      <c r="D16" s="685" t="s">
        <v>3033</v>
      </c>
      <c r="E16" s="689" t="s">
        <v>1559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07"/>
      <c r="R16" s="707"/>
      <c r="S16" s="707"/>
      <c r="T16" s="707"/>
      <c r="U16" s="707"/>
      <c r="V16" s="782">
        <f t="shared" si="3"/>
        <v>0</v>
      </c>
      <c r="W16" s="707"/>
      <c r="X16" s="707"/>
      <c r="Y16" s="707"/>
      <c r="Z16" s="782"/>
      <c r="AA16" s="782"/>
      <c r="AB16" s="778"/>
      <c r="AC16" s="814"/>
      <c r="AD16" s="695" t="s">
        <v>3196</v>
      </c>
      <c r="AE16" s="780"/>
      <c r="AF16" s="787" t="e">
        <f t="shared" si="2"/>
        <v>#DIV/0!</v>
      </c>
    </row>
    <row r="17" spans="1:32" s="784" customFormat="1" ht="18" customHeight="1" x14ac:dyDescent="0.25">
      <c r="A17" s="749">
        <v>11</v>
      </c>
      <c r="B17" s="745"/>
      <c r="C17" s="746">
        <v>2026</v>
      </c>
      <c r="D17" s="685" t="s">
        <v>3034</v>
      </c>
      <c r="E17" s="689" t="s">
        <v>3035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07"/>
      <c r="S17" s="707"/>
      <c r="T17" s="707"/>
      <c r="U17" s="707"/>
      <c r="V17" s="782">
        <f t="shared" si="3"/>
        <v>0</v>
      </c>
      <c r="W17" s="707"/>
      <c r="X17" s="707"/>
      <c r="Y17" s="707"/>
      <c r="Z17" s="782"/>
      <c r="AA17" s="782"/>
      <c r="AB17" s="778"/>
      <c r="AC17" s="814"/>
      <c r="AD17" s="695" t="s">
        <v>3200</v>
      </c>
      <c r="AE17" s="780"/>
      <c r="AF17" s="781" t="e">
        <f t="shared" si="2"/>
        <v>#DIV/0!</v>
      </c>
    </row>
    <row r="18" spans="1:32" s="784" customFormat="1" ht="18" customHeight="1" x14ac:dyDescent="0.25">
      <c r="A18" s="749">
        <v>12</v>
      </c>
      <c r="B18" s="745"/>
      <c r="C18" s="746">
        <v>2026</v>
      </c>
      <c r="D18" s="685" t="s">
        <v>3036</v>
      </c>
      <c r="E18" s="689" t="s">
        <v>2848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07"/>
      <c r="R18" s="707"/>
      <c r="S18" s="707"/>
      <c r="T18" s="707"/>
      <c r="U18" s="707"/>
      <c r="V18" s="782">
        <f t="shared" si="3"/>
        <v>0</v>
      </c>
      <c r="W18" s="707"/>
      <c r="X18" s="707"/>
      <c r="Y18" s="707"/>
      <c r="Z18" s="782"/>
      <c r="AA18" s="782"/>
      <c r="AB18" s="778"/>
      <c r="AC18" s="814"/>
      <c r="AD18" s="695" t="s">
        <v>3201</v>
      </c>
      <c r="AE18" s="780"/>
      <c r="AF18" s="781" t="e">
        <f t="shared" si="2"/>
        <v>#DIV/0!</v>
      </c>
    </row>
    <row r="19" spans="1:32" s="784" customFormat="1" ht="18" customHeight="1" x14ac:dyDescent="0.25">
      <c r="A19" s="749">
        <v>13</v>
      </c>
      <c r="B19" s="745"/>
      <c r="C19" s="746">
        <v>2026</v>
      </c>
      <c r="D19" s="685" t="s">
        <v>3037</v>
      </c>
      <c r="E19" s="689" t="s">
        <v>996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07"/>
      <c r="S19" s="707"/>
      <c r="T19" s="707"/>
      <c r="U19" s="707"/>
      <c r="V19" s="782">
        <f t="shared" si="3"/>
        <v>0</v>
      </c>
      <c r="W19" s="707"/>
      <c r="X19" s="707"/>
      <c r="Y19" s="707"/>
      <c r="Z19" s="782"/>
      <c r="AA19" s="782"/>
      <c r="AB19" s="778"/>
      <c r="AC19" s="814"/>
      <c r="AD19" s="695" t="s">
        <v>2703</v>
      </c>
      <c r="AE19" s="780"/>
      <c r="AF19" s="781" t="e">
        <f t="shared" si="2"/>
        <v>#DIV/0!</v>
      </c>
    </row>
    <row r="20" spans="1:32" s="784" customFormat="1" ht="18" customHeight="1" x14ac:dyDescent="0.25">
      <c r="A20" s="749">
        <v>14</v>
      </c>
      <c r="B20" s="745"/>
      <c r="C20" s="746">
        <v>2026</v>
      </c>
      <c r="D20" s="685" t="s">
        <v>3038</v>
      </c>
      <c r="E20" s="689" t="s">
        <v>3039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82">
        <f t="shared" si="3"/>
        <v>0</v>
      </c>
      <c r="W20" s="707"/>
      <c r="X20" s="707"/>
      <c r="Y20" s="707"/>
      <c r="Z20" s="782"/>
      <c r="AA20" s="782"/>
      <c r="AB20" s="778"/>
      <c r="AC20" s="814"/>
      <c r="AD20" s="695" t="s">
        <v>3202</v>
      </c>
      <c r="AE20" s="780"/>
      <c r="AF20" s="781" t="e">
        <f t="shared" si="2"/>
        <v>#DIV/0!</v>
      </c>
    </row>
    <row r="21" spans="1:32" s="784" customFormat="1" ht="18" customHeight="1" x14ac:dyDescent="0.25">
      <c r="A21" s="749">
        <v>15</v>
      </c>
      <c r="B21" s="745"/>
      <c r="C21" s="746">
        <v>2026</v>
      </c>
      <c r="D21" s="685" t="s">
        <v>3040</v>
      </c>
      <c r="E21" s="689" t="s">
        <v>2612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07"/>
      <c r="R21" s="707"/>
      <c r="S21" s="707"/>
      <c r="T21" s="707"/>
      <c r="U21" s="707"/>
      <c r="V21" s="782">
        <f t="shared" si="3"/>
        <v>0</v>
      </c>
      <c r="W21" s="707"/>
      <c r="X21" s="707"/>
      <c r="Y21" s="707"/>
      <c r="Z21" s="782"/>
      <c r="AA21" s="782"/>
      <c r="AB21" s="778"/>
      <c r="AC21" s="814"/>
      <c r="AD21" s="695" t="s">
        <v>2529</v>
      </c>
      <c r="AE21" s="780"/>
      <c r="AF21" s="781" t="e">
        <f t="shared" si="2"/>
        <v>#DIV/0!</v>
      </c>
    </row>
    <row r="22" spans="1:32" s="784" customFormat="1" ht="18" customHeight="1" x14ac:dyDescent="0.25">
      <c r="A22" s="749">
        <v>16</v>
      </c>
      <c r="B22" s="745"/>
      <c r="C22" s="746">
        <v>2026</v>
      </c>
      <c r="D22" s="685" t="s">
        <v>2763</v>
      </c>
      <c r="E22" s="689" t="s">
        <v>3041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07"/>
      <c r="R22" s="707"/>
      <c r="S22" s="707"/>
      <c r="T22" s="707"/>
      <c r="U22" s="707"/>
      <c r="V22" s="782">
        <f t="shared" si="3"/>
        <v>0</v>
      </c>
      <c r="W22" s="707"/>
      <c r="X22" s="707"/>
      <c r="Y22" s="707"/>
      <c r="Z22" s="782"/>
      <c r="AA22" s="782"/>
      <c r="AB22" s="778"/>
      <c r="AC22" s="814"/>
      <c r="AD22" s="695" t="s">
        <v>3203</v>
      </c>
      <c r="AE22" s="780"/>
      <c r="AF22" s="781" t="e">
        <f t="shared" si="2"/>
        <v>#DIV/0!</v>
      </c>
    </row>
    <row r="23" spans="1:32" s="784" customFormat="1" ht="18" customHeight="1" x14ac:dyDescent="0.25">
      <c r="A23" s="749">
        <v>17</v>
      </c>
      <c r="B23" s="745"/>
      <c r="C23" s="746">
        <v>2026</v>
      </c>
      <c r="D23" s="685" t="s">
        <v>3042</v>
      </c>
      <c r="E23" s="689" t="s">
        <v>3043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07"/>
      <c r="R23" s="707"/>
      <c r="S23" s="707"/>
      <c r="T23" s="707"/>
      <c r="U23" s="707"/>
      <c r="V23" s="782">
        <f t="shared" si="3"/>
        <v>0</v>
      </c>
      <c r="W23" s="707"/>
      <c r="X23" s="707"/>
      <c r="Y23" s="707"/>
      <c r="Z23" s="782"/>
      <c r="AA23" s="782"/>
      <c r="AB23" s="778"/>
      <c r="AC23" s="814"/>
      <c r="AD23" s="695" t="s">
        <v>2986</v>
      </c>
      <c r="AE23" s="780"/>
      <c r="AF23" s="781" t="e">
        <f t="shared" si="2"/>
        <v>#DIV/0!</v>
      </c>
    </row>
    <row r="24" spans="1:32" s="784" customFormat="1" ht="18" customHeight="1" x14ac:dyDescent="0.25">
      <c r="A24" s="749">
        <v>18</v>
      </c>
      <c r="B24" s="745"/>
      <c r="C24" s="746">
        <v>2026</v>
      </c>
      <c r="D24" s="685" t="s">
        <v>3044</v>
      </c>
      <c r="E24" s="689" t="s">
        <v>3045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07"/>
      <c r="R24" s="707"/>
      <c r="S24" s="707"/>
      <c r="T24" s="707"/>
      <c r="U24" s="707"/>
      <c r="V24" s="782">
        <f t="shared" si="3"/>
        <v>0</v>
      </c>
      <c r="W24" s="707"/>
      <c r="X24" s="707"/>
      <c r="Y24" s="707"/>
      <c r="Z24" s="782"/>
      <c r="AA24" s="782"/>
      <c r="AB24" s="778"/>
      <c r="AC24" s="814"/>
      <c r="AD24" s="695" t="s">
        <v>2529</v>
      </c>
      <c r="AE24" s="780"/>
      <c r="AF24" s="781" t="e">
        <f t="shared" si="2"/>
        <v>#DIV/0!</v>
      </c>
    </row>
    <row r="25" spans="1:32" s="784" customFormat="1" ht="18" customHeight="1" x14ac:dyDescent="0.25">
      <c r="A25" s="749">
        <v>19</v>
      </c>
      <c r="B25" s="745"/>
      <c r="C25" s="746">
        <v>2026</v>
      </c>
      <c r="D25" s="685" t="s">
        <v>3046</v>
      </c>
      <c r="E25" s="689" t="s">
        <v>3047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07"/>
      <c r="R25" s="707"/>
      <c r="S25" s="707"/>
      <c r="T25" s="707"/>
      <c r="U25" s="707"/>
      <c r="V25" s="782">
        <f t="shared" si="3"/>
        <v>0</v>
      </c>
      <c r="W25" s="707"/>
      <c r="X25" s="707"/>
      <c r="Y25" s="707"/>
      <c r="Z25" s="782"/>
      <c r="AA25" s="782"/>
      <c r="AB25" s="778"/>
      <c r="AC25" s="814"/>
      <c r="AD25" s="695" t="s">
        <v>3204</v>
      </c>
      <c r="AE25" s="780"/>
      <c r="AF25" s="781" t="e">
        <f t="shared" si="2"/>
        <v>#DIV/0!</v>
      </c>
    </row>
    <row r="26" spans="1:32" s="784" customFormat="1" ht="18" customHeight="1" x14ac:dyDescent="0.25">
      <c r="A26" s="749">
        <v>20</v>
      </c>
      <c r="B26" s="745"/>
      <c r="C26" s="746">
        <v>2026</v>
      </c>
      <c r="D26" s="685" t="s">
        <v>3048</v>
      </c>
      <c r="E26" s="689" t="s">
        <v>3049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07"/>
      <c r="R26" s="707"/>
      <c r="S26" s="707"/>
      <c r="T26" s="707"/>
      <c r="U26" s="707"/>
      <c r="V26" s="782">
        <f t="shared" si="3"/>
        <v>0</v>
      </c>
      <c r="W26" s="707"/>
      <c r="X26" s="707"/>
      <c r="Y26" s="707"/>
      <c r="Z26" s="782"/>
      <c r="AA26" s="782"/>
      <c r="AB26" s="778"/>
      <c r="AC26" s="814"/>
      <c r="AD26" s="695" t="s">
        <v>3205</v>
      </c>
      <c r="AE26" s="780"/>
      <c r="AF26" s="781" t="e">
        <f t="shared" si="2"/>
        <v>#DIV/0!</v>
      </c>
    </row>
    <row r="27" spans="1:32" s="784" customFormat="1" ht="18" customHeight="1" x14ac:dyDescent="0.25">
      <c r="A27" s="749">
        <v>21</v>
      </c>
      <c r="B27" s="745"/>
      <c r="C27" s="746">
        <v>2026</v>
      </c>
      <c r="D27" s="685" t="s">
        <v>3050</v>
      </c>
      <c r="E27" s="689" t="s">
        <v>3051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07"/>
      <c r="R27" s="707"/>
      <c r="S27" s="707"/>
      <c r="T27" s="707"/>
      <c r="U27" s="707"/>
      <c r="V27" s="782">
        <f t="shared" si="3"/>
        <v>0</v>
      </c>
      <c r="W27" s="707"/>
      <c r="X27" s="707"/>
      <c r="Y27" s="707"/>
      <c r="Z27" s="782"/>
      <c r="AA27" s="782"/>
      <c r="AB27" s="778"/>
      <c r="AC27" s="814"/>
      <c r="AD27" s="695" t="s">
        <v>3206</v>
      </c>
      <c r="AE27" s="780"/>
      <c r="AF27" s="781" t="e">
        <f t="shared" si="2"/>
        <v>#DIV/0!</v>
      </c>
    </row>
    <row r="28" spans="1:32" s="784" customFormat="1" ht="18" customHeight="1" x14ac:dyDescent="0.25">
      <c r="A28" s="749">
        <v>22</v>
      </c>
      <c r="B28" s="745"/>
      <c r="C28" s="746">
        <v>2026</v>
      </c>
      <c r="D28" s="685" t="s">
        <v>3052</v>
      </c>
      <c r="E28" s="689" t="s">
        <v>1334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07"/>
      <c r="R28" s="707"/>
      <c r="S28" s="707"/>
      <c r="T28" s="707"/>
      <c r="U28" s="707"/>
      <c r="V28" s="782">
        <f t="shared" si="3"/>
        <v>0</v>
      </c>
      <c r="W28" s="707"/>
      <c r="X28" s="707"/>
      <c r="Y28" s="707"/>
      <c r="Z28" s="782"/>
      <c r="AA28" s="782"/>
      <c r="AB28" s="778"/>
      <c r="AC28" s="814"/>
      <c r="AD28" s="695" t="s">
        <v>2530</v>
      </c>
      <c r="AE28" s="780"/>
      <c r="AF28" s="781" t="e">
        <f t="shared" si="2"/>
        <v>#DIV/0!</v>
      </c>
    </row>
    <row r="29" spans="1:32" s="784" customFormat="1" ht="18" customHeight="1" x14ac:dyDescent="0.25">
      <c r="A29" s="749">
        <v>23</v>
      </c>
      <c r="B29" s="745"/>
      <c r="C29" s="746">
        <v>2026</v>
      </c>
      <c r="D29" s="685" t="s">
        <v>3053</v>
      </c>
      <c r="E29" s="689" t="s">
        <v>3054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07"/>
      <c r="R29" s="707"/>
      <c r="S29" s="707"/>
      <c r="T29" s="707"/>
      <c r="U29" s="707"/>
      <c r="V29" s="782">
        <f t="shared" si="3"/>
        <v>0</v>
      </c>
      <c r="W29" s="707"/>
      <c r="X29" s="707"/>
      <c r="Y29" s="707"/>
      <c r="Z29" s="782"/>
      <c r="AA29" s="782"/>
      <c r="AB29" s="778"/>
      <c r="AC29" s="814"/>
      <c r="AD29" s="695" t="s">
        <v>3207</v>
      </c>
      <c r="AE29" s="780"/>
      <c r="AF29" s="781" t="e">
        <f t="shared" si="2"/>
        <v>#DIV/0!</v>
      </c>
    </row>
    <row r="30" spans="1:32" s="784" customFormat="1" ht="18" customHeight="1" x14ac:dyDescent="0.25">
      <c r="A30" s="749">
        <v>24</v>
      </c>
      <c r="B30" s="745"/>
      <c r="C30" s="746">
        <v>2026</v>
      </c>
      <c r="D30" s="685" t="s">
        <v>3055</v>
      </c>
      <c r="E30" s="689" t="s">
        <v>3056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07"/>
      <c r="R30" s="707"/>
      <c r="S30" s="707"/>
      <c r="T30" s="707"/>
      <c r="U30" s="707"/>
      <c r="V30" s="782">
        <f t="shared" si="3"/>
        <v>0</v>
      </c>
      <c r="W30" s="707"/>
      <c r="X30" s="707"/>
      <c r="Y30" s="707"/>
      <c r="Z30" s="782"/>
      <c r="AA30" s="782"/>
      <c r="AB30" s="778"/>
      <c r="AC30" s="814"/>
      <c r="AD30" s="695" t="s">
        <v>2708</v>
      </c>
      <c r="AE30" s="780"/>
      <c r="AF30" s="781" t="e">
        <f t="shared" si="2"/>
        <v>#DIV/0!</v>
      </c>
    </row>
    <row r="31" spans="1:32" s="784" customFormat="1" ht="18" customHeight="1" x14ac:dyDescent="0.25">
      <c r="A31" s="749">
        <v>25</v>
      </c>
      <c r="B31" s="745"/>
      <c r="C31" s="746">
        <v>2026</v>
      </c>
      <c r="D31" s="685" t="s">
        <v>3057</v>
      </c>
      <c r="E31" s="689" t="s">
        <v>3058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07"/>
      <c r="R31" s="707"/>
      <c r="S31" s="707"/>
      <c r="T31" s="707"/>
      <c r="U31" s="707"/>
      <c r="V31" s="782">
        <f t="shared" si="3"/>
        <v>0</v>
      </c>
      <c r="W31" s="707"/>
      <c r="X31" s="707"/>
      <c r="Y31" s="707"/>
      <c r="Z31" s="782"/>
      <c r="AA31" s="782"/>
      <c r="AB31" s="778"/>
      <c r="AC31" s="814"/>
      <c r="AD31" s="695" t="s">
        <v>2741</v>
      </c>
      <c r="AE31" s="780"/>
      <c r="AF31" s="781" t="e">
        <f t="shared" si="2"/>
        <v>#DIV/0!</v>
      </c>
    </row>
    <row r="32" spans="1:32" s="784" customFormat="1" ht="18" customHeight="1" x14ac:dyDescent="0.25">
      <c r="A32" s="749">
        <v>26</v>
      </c>
      <c r="B32" s="745"/>
      <c r="C32" s="746">
        <v>2026</v>
      </c>
      <c r="D32" s="685" t="s">
        <v>3059</v>
      </c>
      <c r="E32" s="689" t="s">
        <v>3060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07"/>
      <c r="R32" s="707"/>
      <c r="S32" s="707"/>
      <c r="T32" s="707"/>
      <c r="U32" s="707"/>
      <c r="V32" s="782">
        <f t="shared" si="3"/>
        <v>0</v>
      </c>
      <c r="W32" s="707"/>
      <c r="X32" s="707"/>
      <c r="Y32" s="707"/>
      <c r="Z32" s="782"/>
      <c r="AA32" s="782"/>
      <c r="AB32" s="778"/>
      <c r="AC32" s="814"/>
      <c r="AD32" s="695" t="s">
        <v>3208</v>
      </c>
      <c r="AE32" s="780"/>
      <c r="AF32" s="781" t="e">
        <f t="shared" si="2"/>
        <v>#DIV/0!</v>
      </c>
    </row>
    <row r="33" spans="1:32" s="784" customFormat="1" ht="18" customHeight="1" x14ac:dyDescent="0.25">
      <c r="A33" s="749">
        <v>27</v>
      </c>
      <c r="B33" s="745"/>
      <c r="C33" s="746">
        <v>2026</v>
      </c>
      <c r="D33" s="685" t="s">
        <v>3061</v>
      </c>
      <c r="E33" s="689" t="s">
        <v>3062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07"/>
      <c r="S33" s="707"/>
      <c r="T33" s="707"/>
      <c r="U33" s="707"/>
      <c r="V33" s="782">
        <f t="shared" si="3"/>
        <v>0</v>
      </c>
      <c r="W33" s="707"/>
      <c r="X33" s="707"/>
      <c r="Y33" s="707"/>
      <c r="Z33" s="782"/>
      <c r="AA33" s="782"/>
      <c r="AB33" s="778"/>
      <c r="AC33" s="814"/>
      <c r="AD33" s="695" t="s">
        <v>3015</v>
      </c>
      <c r="AE33" s="780"/>
      <c r="AF33" s="781" t="e">
        <f t="shared" si="2"/>
        <v>#DIV/0!</v>
      </c>
    </row>
    <row r="34" spans="1:32" s="784" customFormat="1" ht="18" customHeight="1" x14ac:dyDescent="0.25">
      <c r="A34" s="749">
        <v>28</v>
      </c>
      <c r="B34" s="745"/>
      <c r="C34" s="746">
        <v>2026</v>
      </c>
      <c r="D34" s="685" t="s">
        <v>3063</v>
      </c>
      <c r="E34" s="689" t="s">
        <v>1305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07"/>
      <c r="T34" s="707"/>
      <c r="U34" s="707"/>
      <c r="V34" s="782">
        <f t="shared" si="3"/>
        <v>0</v>
      </c>
      <c r="W34" s="707"/>
      <c r="X34" s="707"/>
      <c r="Y34" s="707"/>
      <c r="Z34" s="782"/>
      <c r="AA34" s="782"/>
      <c r="AB34" s="778"/>
      <c r="AC34" s="814"/>
      <c r="AD34" s="695" t="s">
        <v>3209</v>
      </c>
      <c r="AE34" s="780"/>
      <c r="AF34" s="781" t="e">
        <f t="shared" si="2"/>
        <v>#DIV/0!</v>
      </c>
    </row>
    <row r="35" spans="1:32" s="784" customFormat="1" ht="18" customHeight="1" x14ac:dyDescent="0.25">
      <c r="A35" s="749">
        <v>29</v>
      </c>
      <c r="B35" s="745"/>
      <c r="C35" s="746">
        <v>2026</v>
      </c>
      <c r="D35" s="685" t="s">
        <v>3064</v>
      </c>
      <c r="E35" s="689" t="s">
        <v>3065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07"/>
      <c r="S35" s="707"/>
      <c r="T35" s="707"/>
      <c r="U35" s="707"/>
      <c r="V35" s="782">
        <f t="shared" si="3"/>
        <v>0</v>
      </c>
      <c r="W35" s="707"/>
      <c r="X35" s="707"/>
      <c r="Y35" s="707"/>
      <c r="Z35" s="782"/>
      <c r="AA35" s="782"/>
      <c r="AB35" s="778"/>
      <c r="AC35" s="814"/>
      <c r="AD35" s="695" t="s">
        <v>3202</v>
      </c>
      <c r="AE35" s="780"/>
      <c r="AF35" s="781" t="e">
        <f t="shared" si="2"/>
        <v>#DIV/0!</v>
      </c>
    </row>
    <row r="36" spans="1:32" s="784" customFormat="1" ht="18" customHeight="1" x14ac:dyDescent="0.25">
      <c r="A36" s="749">
        <v>30</v>
      </c>
      <c r="B36" s="745"/>
      <c r="C36" s="746">
        <v>2026</v>
      </c>
      <c r="D36" s="685" t="s">
        <v>3066</v>
      </c>
      <c r="E36" s="689" t="s">
        <v>2563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7"/>
      <c r="Q36" s="707"/>
      <c r="R36" s="707"/>
      <c r="S36" s="707"/>
      <c r="T36" s="707"/>
      <c r="U36" s="707"/>
      <c r="V36" s="782">
        <f t="shared" si="3"/>
        <v>0</v>
      </c>
      <c r="W36" s="707"/>
      <c r="X36" s="707"/>
      <c r="Y36" s="707"/>
      <c r="Z36" s="782"/>
      <c r="AA36" s="782"/>
      <c r="AB36" s="778"/>
      <c r="AC36" s="814"/>
      <c r="AD36" s="695" t="s">
        <v>3199</v>
      </c>
      <c r="AE36" s="780"/>
      <c r="AF36" s="781" t="e">
        <f t="shared" si="2"/>
        <v>#DIV/0!</v>
      </c>
    </row>
    <row r="37" spans="1:32" s="784" customFormat="1" ht="18" customHeight="1" x14ac:dyDescent="0.25">
      <c r="A37" s="749">
        <v>31</v>
      </c>
      <c r="B37" s="745"/>
      <c r="C37" s="746">
        <v>2026</v>
      </c>
      <c r="D37" s="685" t="s">
        <v>3067</v>
      </c>
      <c r="E37" s="689" t="s">
        <v>3068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7"/>
      <c r="Q37" s="707"/>
      <c r="R37" s="707"/>
      <c r="S37" s="707"/>
      <c r="T37" s="707"/>
      <c r="U37" s="707"/>
      <c r="V37" s="782">
        <f t="shared" si="3"/>
        <v>0</v>
      </c>
      <c r="W37" s="707"/>
      <c r="X37" s="707"/>
      <c r="Y37" s="707"/>
      <c r="Z37" s="782"/>
      <c r="AA37" s="782"/>
      <c r="AB37" s="778"/>
      <c r="AC37" s="814"/>
      <c r="AD37" s="695" t="s">
        <v>3210</v>
      </c>
      <c r="AE37" s="780"/>
      <c r="AF37" s="781" t="e">
        <f t="shared" si="2"/>
        <v>#DIV/0!</v>
      </c>
    </row>
    <row r="38" spans="1:32" s="784" customFormat="1" ht="18" customHeight="1" x14ac:dyDescent="0.25">
      <c r="A38" s="749">
        <v>32</v>
      </c>
      <c r="B38" s="745"/>
      <c r="C38" s="746">
        <v>2026</v>
      </c>
      <c r="D38" s="685" t="s">
        <v>3069</v>
      </c>
      <c r="E38" s="689" t="s">
        <v>2606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7"/>
      <c r="Q38" s="707"/>
      <c r="R38" s="707"/>
      <c r="S38" s="707"/>
      <c r="T38" s="707"/>
      <c r="U38" s="707"/>
      <c r="V38" s="782">
        <f t="shared" si="3"/>
        <v>0</v>
      </c>
      <c r="W38" s="707"/>
      <c r="X38" s="707"/>
      <c r="Y38" s="707"/>
      <c r="Z38" s="782"/>
      <c r="AA38" s="782"/>
      <c r="AB38" s="778"/>
      <c r="AC38" s="814"/>
      <c r="AD38" s="695" t="s">
        <v>3211</v>
      </c>
      <c r="AE38" s="780"/>
      <c r="AF38" s="781" t="e">
        <f t="shared" si="2"/>
        <v>#DIV/0!</v>
      </c>
    </row>
    <row r="39" spans="1:32" s="784" customFormat="1" ht="18" customHeight="1" x14ac:dyDescent="0.25">
      <c r="A39" s="749">
        <v>33</v>
      </c>
      <c r="B39" s="745"/>
      <c r="C39" s="746">
        <v>2026</v>
      </c>
      <c r="D39" s="685" t="s">
        <v>3070</v>
      </c>
      <c r="E39" s="689" t="s">
        <v>2357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82">
        <f t="shared" si="3"/>
        <v>0</v>
      </c>
      <c r="W39" s="707"/>
      <c r="X39" s="707"/>
      <c r="Y39" s="707"/>
      <c r="Z39" s="782"/>
      <c r="AA39" s="782"/>
      <c r="AB39" s="778"/>
      <c r="AC39" s="814"/>
      <c r="AD39" s="695" t="s">
        <v>3212</v>
      </c>
      <c r="AE39" s="780"/>
      <c r="AF39" s="787" t="e">
        <f t="shared" si="2"/>
        <v>#DIV/0!</v>
      </c>
    </row>
    <row r="40" spans="1:32" s="784" customFormat="1" ht="18" customHeight="1" x14ac:dyDescent="0.25">
      <c r="A40" s="749">
        <v>34</v>
      </c>
      <c r="B40" s="745"/>
      <c r="C40" s="746">
        <v>2026</v>
      </c>
      <c r="D40" s="685" t="s">
        <v>2583</v>
      </c>
      <c r="E40" s="689" t="s">
        <v>3071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07"/>
      <c r="R40" s="707"/>
      <c r="S40" s="707"/>
      <c r="T40" s="707"/>
      <c r="U40" s="707"/>
      <c r="V40" s="782">
        <f t="shared" si="3"/>
        <v>0</v>
      </c>
      <c r="W40" s="707"/>
      <c r="X40" s="707"/>
      <c r="Y40" s="707"/>
      <c r="Z40" s="782"/>
      <c r="AA40" s="782"/>
      <c r="AB40" s="778"/>
      <c r="AC40" s="814"/>
      <c r="AD40" s="695" t="s">
        <v>3213</v>
      </c>
      <c r="AE40" s="780"/>
      <c r="AF40" s="781" t="e">
        <f t="shared" si="2"/>
        <v>#DIV/0!</v>
      </c>
    </row>
    <row r="41" spans="1:32" s="784" customFormat="1" ht="18" customHeight="1" x14ac:dyDescent="0.25">
      <c r="A41" s="749">
        <v>35</v>
      </c>
      <c r="B41" s="745"/>
      <c r="C41" s="746">
        <v>2026</v>
      </c>
      <c r="D41" s="685" t="s">
        <v>3072</v>
      </c>
      <c r="E41" s="689" t="s">
        <v>3073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07"/>
      <c r="R41" s="707"/>
      <c r="S41" s="707"/>
      <c r="T41" s="707"/>
      <c r="U41" s="707"/>
      <c r="V41" s="782">
        <f t="shared" si="3"/>
        <v>0</v>
      </c>
      <c r="W41" s="707"/>
      <c r="X41" s="707"/>
      <c r="Y41" s="707"/>
      <c r="Z41" s="782"/>
      <c r="AA41" s="782"/>
      <c r="AB41" s="778"/>
      <c r="AC41" s="814"/>
      <c r="AD41" s="695" t="s">
        <v>3214</v>
      </c>
      <c r="AE41" s="780"/>
      <c r="AF41" s="781" t="e">
        <f t="shared" si="2"/>
        <v>#DIV/0!</v>
      </c>
    </row>
    <row r="42" spans="1:32" s="784" customFormat="1" ht="18" customHeight="1" x14ac:dyDescent="0.25">
      <c r="A42" s="749">
        <v>36</v>
      </c>
      <c r="B42" s="745"/>
      <c r="C42" s="746">
        <v>2026</v>
      </c>
      <c r="D42" s="685" t="s">
        <v>3074</v>
      </c>
      <c r="E42" s="689" t="s">
        <v>2894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07"/>
      <c r="R42" s="707"/>
      <c r="S42" s="707"/>
      <c r="T42" s="707"/>
      <c r="U42" s="707"/>
      <c r="V42" s="782">
        <f t="shared" si="3"/>
        <v>0</v>
      </c>
      <c r="W42" s="707"/>
      <c r="X42" s="707"/>
      <c r="Y42" s="707"/>
      <c r="Z42" s="782"/>
      <c r="AA42" s="782"/>
      <c r="AB42" s="778"/>
      <c r="AC42" s="814"/>
      <c r="AD42" s="695" t="s">
        <v>3215</v>
      </c>
      <c r="AE42" s="780"/>
      <c r="AF42" s="781" t="e">
        <f t="shared" si="2"/>
        <v>#DIV/0!</v>
      </c>
    </row>
    <row r="43" spans="1:32" s="784" customFormat="1" ht="18" customHeight="1" x14ac:dyDescent="0.25">
      <c r="A43" s="749">
        <v>37</v>
      </c>
      <c r="B43" s="745"/>
      <c r="C43" s="746">
        <v>2026</v>
      </c>
      <c r="D43" s="685" t="s">
        <v>3075</v>
      </c>
      <c r="E43" s="689" t="s">
        <v>3076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07"/>
      <c r="R43" s="707"/>
      <c r="S43" s="707"/>
      <c r="T43" s="707"/>
      <c r="U43" s="707"/>
      <c r="V43" s="782">
        <f t="shared" si="3"/>
        <v>0</v>
      </c>
      <c r="W43" s="707"/>
      <c r="X43" s="707"/>
      <c r="Y43" s="707"/>
      <c r="Z43" s="782"/>
      <c r="AA43" s="782"/>
      <c r="AB43" s="778"/>
      <c r="AC43" s="814"/>
      <c r="AD43" s="695" t="s">
        <v>3216</v>
      </c>
      <c r="AE43" s="780"/>
      <c r="AF43" s="781" t="e">
        <f t="shared" si="2"/>
        <v>#DIV/0!</v>
      </c>
    </row>
    <row r="44" spans="1:32" s="784" customFormat="1" ht="18" customHeight="1" x14ac:dyDescent="0.25">
      <c r="A44" s="749">
        <v>38</v>
      </c>
      <c r="B44" s="745"/>
      <c r="C44" s="746">
        <v>2026</v>
      </c>
      <c r="D44" s="685" t="s">
        <v>3077</v>
      </c>
      <c r="E44" s="689" t="s">
        <v>2610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07"/>
      <c r="S44" s="707"/>
      <c r="T44" s="707"/>
      <c r="U44" s="707"/>
      <c r="V44" s="782">
        <f t="shared" si="3"/>
        <v>0</v>
      </c>
      <c r="W44" s="707"/>
      <c r="X44" s="707"/>
      <c r="Y44" s="707"/>
      <c r="Z44" s="782"/>
      <c r="AA44" s="782"/>
      <c r="AB44" s="778"/>
      <c r="AC44" s="814"/>
      <c r="AD44" s="695" t="s">
        <v>2530</v>
      </c>
      <c r="AE44" s="780"/>
      <c r="AF44" s="781" t="e">
        <f t="shared" si="2"/>
        <v>#DIV/0!</v>
      </c>
    </row>
    <row r="45" spans="1:32" s="784" customFormat="1" ht="18" customHeight="1" x14ac:dyDescent="0.25">
      <c r="A45" s="749">
        <v>39</v>
      </c>
      <c r="B45" s="745"/>
      <c r="C45" s="746">
        <v>2026</v>
      </c>
      <c r="D45" s="685" t="s">
        <v>3078</v>
      </c>
      <c r="E45" s="689" t="s">
        <v>2621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07"/>
      <c r="R45" s="707"/>
      <c r="S45" s="707"/>
      <c r="T45" s="707"/>
      <c r="U45" s="707"/>
      <c r="V45" s="782">
        <f t="shared" si="3"/>
        <v>0</v>
      </c>
      <c r="W45" s="707"/>
      <c r="X45" s="707"/>
      <c r="Y45" s="707"/>
      <c r="Z45" s="782"/>
      <c r="AA45" s="782"/>
      <c r="AB45" s="778"/>
      <c r="AC45" s="814"/>
      <c r="AD45" s="695" t="s">
        <v>3217</v>
      </c>
      <c r="AE45" s="780"/>
      <c r="AF45" s="787" t="e">
        <f t="shared" si="2"/>
        <v>#DIV/0!</v>
      </c>
    </row>
    <row r="46" spans="1:32" s="784" customFormat="1" ht="18" customHeight="1" x14ac:dyDescent="0.25">
      <c r="A46" s="749">
        <v>40</v>
      </c>
      <c r="B46" s="745"/>
      <c r="C46" s="746">
        <v>2026</v>
      </c>
      <c r="D46" s="685" t="s">
        <v>3079</v>
      </c>
      <c r="E46" s="689" t="s">
        <v>3080</v>
      </c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07"/>
      <c r="T46" s="707"/>
      <c r="U46" s="707"/>
      <c r="V46" s="782">
        <f t="shared" si="3"/>
        <v>0</v>
      </c>
      <c r="W46" s="707"/>
      <c r="X46" s="707"/>
      <c r="Y46" s="707"/>
      <c r="Z46" s="782"/>
      <c r="AA46" s="782"/>
      <c r="AB46" s="778"/>
      <c r="AC46" s="814"/>
      <c r="AD46" s="695" t="s">
        <v>3218</v>
      </c>
      <c r="AE46" s="780"/>
      <c r="AF46" s="781" t="e">
        <f t="shared" si="2"/>
        <v>#DIV/0!</v>
      </c>
    </row>
    <row r="47" spans="1:32" s="784" customFormat="1" ht="18" customHeight="1" x14ac:dyDescent="0.25">
      <c r="A47" s="749">
        <v>41</v>
      </c>
      <c r="B47" s="745"/>
      <c r="C47" s="746">
        <v>2026</v>
      </c>
      <c r="D47" s="685" t="s">
        <v>3081</v>
      </c>
      <c r="E47" s="689" t="s">
        <v>3082</v>
      </c>
      <c r="F47" s="707"/>
      <c r="G47" s="707"/>
      <c r="H47" s="707"/>
      <c r="I47" s="707"/>
      <c r="J47" s="707"/>
      <c r="K47" s="707"/>
      <c r="L47" s="707"/>
      <c r="M47" s="707"/>
      <c r="N47" s="707"/>
      <c r="O47" s="707"/>
      <c r="P47" s="707"/>
      <c r="Q47" s="707"/>
      <c r="R47" s="707"/>
      <c r="S47" s="707"/>
      <c r="T47" s="707"/>
      <c r="U47" s="707"/>
      <c r="V47" s="782">
        <f t="shared" si="3"/>
        <v>0</v>
      </c>
      <c r="W47" s="707"/>
      <c r="X47" s="707"/>
      <c r="Y47" s="707"/>
      <c r="Z47" s="782"/>
      <c r="AA47" s="782"/>
      <c r="AB47" s="778"/>
      <c r="AC47" s="814"/>
      <c r="AD47" s="695" t="s">
        <v>3204</v>
      </c>
      <c r="AE47" s="780"/>
      <c r="AF47" s="781" t="e">
        <f t="shared" si="2"/>
        <v>#DIV/0!</v>
      </c>
    </row>
    <row r="48" spans="1:32" s="784" customFormat="1" ht="18" customHeight="1" x14ac:dyDescent="0.25">
      <c r="A48" s="749">
        <v>42</v>
      </c>
      <c r="B48" s="745"/>
      <c r="C48" s="746">
        <v>2026</v>
      </c>
      <c r="D48" s="685" t="s">
        <v>3083</v>
      </c>
      <c r="E48" s="689" t="s">
        <v>3084</v>
      </c>
      <c r="F48" s="707"/>
      <c r="G48" s="707"/>
      <c r="H48" s="707"/>
      <c r="I48" s="707"/>
      <c r="J48" s="707"/>
      <c r="K48" s="707"/>
      <c r="L48" s="707"/>
      <c r="M48" s="707"/>
      <c r="N48" s="707"/>
      <c r="O48" s="707"/>
      <c r="P48" s="707"/>
      <c r="Q48" s="707"/>
      <c r="R48" s="707"/>
      <c r="S48" s="707"/>
      <c r="T48" s="707"/>
      <c r="U48" s="707"/>
      <c r="V48" s="782">
        <f t="shared" si="3"/>
        <v>0</v>
      </c>
      <c r="W48" s="707"/>
      <c r="X48" s="707"/>
      <c r="Y48" s="707"/>
      <c r="Z48" s="782"/>
      <c r="AA48" s="782"/>
      <c r="AB48" s="778"/>
      <c r="AC48" s="814"/>
      <c r="AD48" s="695" t="s">
        <v>3219</v>
      </c>
      <c r="AE48" s="780"/>
      <c r="AF48" s="781" t="e">
        <f t="shared" si="2"/>
        <v>#DIV/0!</v>
      </c>
    </row>
    <row r="49" spans="1:32" s="784" customFormat="1" ht="18" customHeight="1" x14ac:dyDescent="0.25">
      <c r="A49" s="749">
        <v>43</v>
      </c>
      <c r="B49" s="745"/>
      <c r="C49" s="746">
        <v>2026</v>
      </c>
      <c r="D49" s="685" t="s">
        <v>3085</v>
      </c>
      <c r="E49" s="689" t="s">
        <v>3086</v>
      </c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82">
        <f t="shared" si="3"/>
        <v>0</v>
      </c>
      <c r="W49" s="707"/>
      <c r="X49" s="707"/>
      <c r="Y49" s="707"/>
      <c r="Z49" s="782"/>
      <c r="AA49" s="782"/>
      <c r="AB49" s="778"/>
      <c r="AC49" s="814"/>
      <c r="AD49" s="695" t="s">
        <v>3220</v>
      </c>
      <c r="AE49" s="780"/>
      <c r="AF49" s="781" t="e">
        <f t="shared" si="2"/>
        <v>#DIV/0!</v>
      </c>
    </row>
    <row r="50" spans="1:32" s="784" customFormat="1" ht="18" customHeight="1" x14ac:dyDescent="0.25">
      <c r="A50" s="749">
        <v>44</v>
      </c>
      <c r="B50" s="745"/>
      <c r="C50" s="746">
        <v>2026</v>
      </c>
      <c r="D50" s="685" t="s">
        <v>3087</v>
      </c>
      <c r="E50" s="689" t="s">
        <v>3088</v>
      </c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07"/>
      <c r="R50" s="707"/>
      <c r="S50" s="707"/>
      <c r="T50" s="707"/>
      <c r="U50" s="707"/>
      <c r="V50" s="782">
        <f t="shared" si="3"/>
        <v>0</v>
      </c>
      <c r="W50" s="707"/>
      <c r="X50" s="707"/>
      <c r="Y50" s="707"/>
      <c r="Z50" s="782"/>
      <c r="AA50" s="782"/>
      <c r="AB50" s="778"/>
      <c r="AC50" s="814"/>
      <c r="AD50" s="695" t="s">
        <v>3221</v>
      </c>
      <c r="AE50" s="780"/>
      <c r="AF50" s="781" t="e">
        <f t="shared" si="2"/>
        <v>#DIV/0!</v>
      </c>
    </row>
    <row r="51" spans="1:32" s="784" customFormat="1" ht="18" customHeight="1" x14ac:dyDescent="0.25">
      <c r="A51" s="749">
        <v>45</v>
      </c>
      <c r="B51" s="745"/>
      <c r="C51" s="746">
        <v>2026</v>
      </c>
      <c r="D51" s="685" t="s">
        <v>3089</v>
      </c>
      <c r="E51" s="689" t="s">
        <v>3090</v>
      </c>
      <c r="F51" s="707"/>
      <c r="G51" s="707"/>
      <c r="H51" s="707"/>
      <c r="I51" s="707"/>
      <c r="J51" s="707"/>
      <c r="K51" s="707"/>
      <c r="L51" s="707"/>
      <c r="M51" s="707"/>
      <c r="N51" s="707"/>
      <c r="O51" s="707"/>
      <c r="P51" s="707"/>
      <c r="Q51" s="707"/>
      <c r="R51" s="707"/>
      <c r="S51" s="707"/>
      <c r="T51" s="707"/>
      <c r="U51" s="707"/>
      <c r="V51" s="782">
        <f t="shared" si="3"/>
        <v>0</v>
      </c>
      <c r="W51" s="707"/>
      <c r="X51" s="707"/>
      <c r="Y51" s="707"/>
      <c r="Z51" s="782"/>
      <c r="AA51" s="782"/>
      <c r="AB51" s="778"/>
      <c r="AC51" s="814"/>
      <c r="AD51" s="695" t="s">
        <v>3222</v>
      </c>
      <c r="AE51" s="780"/>
      <c r="AF51" s="781" t="e">
        <f t="shared" si="2"/>
        <v>#DIV/0!</v>
      </c>
    </row>
    <row r="52" spans="1:32" s="784" customFormat="1" ht="18" customHeight="1" x14ac:dyDescent="0.25">
      <c r="A52" s="749">
        <v>46</v>
      </c>
      <c r="B52" s="745"/>
      <c r="C52" s="746">
        <v>2026</v>
      </c>
      <c r="D52" s="685" t="s">
        <v>3091</v>
      </c>
      <c r="E52" s="689" t="s">
        <v>3092</v>
      </c>
      <c r="F52" s="707"/>
      <c r="G52" s="707"/>
      <c r="H52" s="707"/>
      <c r="I52" s="707"/>
      <c r="J52" s="707"/>
      <c r="K52" s="707"/>
      <c r="L52" s="707"/>
      <c r="M52" s="707"/>
      <c r="N52" s="707"/>
      <c r="O52" s="707"/>
      <c r="P52" s="707"/>
      <c r="Q52" s="707"/>
      <c r="R52" s="707"/>
      <c r="S52" s="707"/>
      <c r="T52" s="707"/>
      <c r="U52" s="707"/>
      <c r="V52" s="782">
        <f t="shared" si="3"/>
        <v>0</v>
      </c>
      <c r="W52" s="707"/>
      <c r="X52" s="707"/>
      <c r="Y52" s="707"/>
      <c r="Z52" s="782"/>
      <c r="AA52" s="782"/>
      <c r="AB52" s="778"/>
      <c r="AC52" s="814"/>
      <c r="AD52" s="695" t="s">
        <v>3223</v>
      </c>
      <c r="AE52" s="780"/>
      <c r="AF52" s="781" t="e">
        <f t="shared" si="2"/>
        <v>#DIV/0!</v>
      </c>
    </row>
    <row r="53" spans="1:32" s="784" customFormat="1" ht="18" customHeight="1" x14ac:dyDescent="0.25">
      <c r="A53" s="749">
        <v>47</v>
      </c>
      <c r="B53" s="745"/>
      <c r="C53" s="746">
        <v>2026</v>
      </c>
      <c r="D53" s="685" t="s">
        <v>3093</v>
      </c>
      <c r="E53" s="689" t="s">
        <v>3094</v>
      </c>
      <c r="F53" s="707"/>
      <c r="G53" s="707"/>
      <c r="H53" s="707"/>
      <c r="I53" s="707"/>
      <c r="J53" s="707"/>
      <c r="K53" s="707"/>
      <c r="L53" s="707"/>
      <c r="M53" s="707"/>
      <c r="N53" s="707"/>
      <c r="O53" s="707"/>
      <c r="P53" s="707"/>
      <c r="Q53" s="707"/>
      <c r="R53" s="707"/>
      <c r="S53" s="707"/>
      <c r="T53" s="707"/>
      <c r="U53" s="707"/>
      <c r="V53" s="782">
        <f t="shared" si="3"/>
        <v>0</v>
      </c>
      <c r="W53" s="707"/>
      <c r="X53" s="707"/>
      <c r="Y53" s="707"/>
      <c r="Z53" s="782"/>
      <c r="AA53" s="782"/>
      <c r="AB53" s="778"/>
      <c r="AC53" s="814"/>
      <c r="AD53" s="695" t="s">
        <v>3224</v>
      </c>
      <c r="AE53" s="780"/>
      <c r="AF53" s="781" t="e">
        <f t="shared" si="2"/>
        <v>#DIV/0!</v>
      </c>
    </row>
    <row r="54" spans="1:32" s="784" customFormat="1" ht="18" customHeight="1" x14ac:dyDescent="0.25">
      <c r="A54" s="749">
        <v>48</v>
      </c>
      <c r="B54" s="745"/>
      <c r="C54" s="746">
        <v>2026</v>
      </c>
      <c r="D54" s="685" t="s">
        <v>3095</v>
      </c>
      <c r="E54" s="689" t="s">
        <v>2930</v>
      </c>
      <c r="F54" s="707"/>
      <c r="G54" s="707"/>
      <c r="H54" s="707"/>
      <c r="I54" s="707"/>
      <c r="J54" s="707"/>
      <c r="K54" s="707"/>
      <c r="L54" s="707"/>
      <c r="M54" s="707"/>
      <c r="N54" s="707"/>
      <c r="O54" s="707"/>
      <c r="P54" s="707"/>
      <c r="Q54" s="707"/>
      <c r="R54" s="707"/>
      <c r="S54" s="707"/>
      <c r="T54" s="707"/>
      <c r="U54" s="707"/>
      <c r="V54" s="782">
        <f t="shared" si="3"/>
        <v>0</v>
      </c>
      <c r="W54" s="707"/>
      <c r="X54" s="707"/>
      <c r="Y54" s="707"/>
      <c r="Z54" s="782"/>
      <c r="AA54" s="782"/>
      <c r="AB54" s="778"/>
      <c r="AC54" s="814"/>
      <c r="AD54" s="695" t="s">
        <v>3225</v>
      </c>
      <c r="AE54" s="780"/>
      <c r="AF54" s="781" t="e">
        <f t="shared" ref="AF54:AF78" si="4">AVERAGE(F54:U54)</f>
        <v>#DIV/0!</v>
      </c>
    </row>
    <row r="55" spans="1:32" s="784" customFormat="1" ht="18" customHeight="1" x14ac:dyDescent="0.25">
      <c r="A55" s="749">
        <v>49</v>
      </c>
      <c r="B55" s="745"/>
      <c r="C55" s="746">
        <v>2026</v>
      </c>
      <c r="D55" s="685" t="s">
        <v>3096</v>
      </c>
      <c r="E55" s="689" t="s">
        <v>3097</v>
      </c>
      <c r="F55" s="707"/>
      <c r="G55" s="707"/>
      <c r="H55" s="707"/>
      <c r="I55" s="707"/>
      <c r="J55" s="707"/>
      <c r="K55" s="707"/>
      <c r="L55" s="707"/>
      <c r="M55" s="707"/>
      <c r="N55" s="707"/>
      <c r="O55" s="707"/>
      <c r="P55" s="707"/>
      <c r="Q55" s="707"/>
      <c r="R55" s="707"/>
      <c r="S55" s="707"/>
      <c r="T55" s="707"/>
      <c r="U55" s="707"/>
      <c r="V55" s="782">
        <f t="shared" si="3"/>
        <v>0</v>
      </c>
      <c r="W55" s="707"/>
      <c r="X55" s="707"/>
      <c r="Y55" s="707"/>
      <c r="Z55" s="782"/>
      <c r="AA55" s="782"/>
      <c r="AB55" s="778"/>
      <c r="AC55" s="814"/>
      <c r="AD55" s="695" t="s">
        <v>2703</v>
      </c>
      <c r="AE55" s="780"/>
      <c r="AF55" s="781" t="e">
        <f t="shared" si="4"/>
        <v>#DIV/0!</v>
      </c>
    </row>
    <row r="56" spans="1:32" s="784" customFormat="1" ht="18" customHeight="1" x14ac:dyDescent="0.25">
      <c r="A56" s="749">
        <v>50</v>
      </c>
      <c r="B56" s="745"/>
      <c r="C56" s="746">
        <v>2026</v>
      </c>
      <c r="D56" s="685" t="s">
        <v>2395</v>
      </c>
      <c r="E56" s="689" t="s">
        <v>3098</v>
      </c>
      <c r="F56" s="707"/>
      <c r="G56" s="707"/>
      <c r="H56" s="707"/>
      <c r="I56" s="707"/>
      <c r="J56" s="707"/>
      <c r="K56" s="707"/>
      <c r="L56" s="707"/>
      <c r="M56" s="707"/>
      <c r="N56" s="707"/>
      <c r="O56" s="707"/>
      <c r="P56" s="707"/>
      <c r="Q56" s="707"/>
      <c r="R56" s="707"/>
      <c r="S56" s="707"/>
      <c r="T56" s="707"/>
      <c r="U56" s="707"/>
      <c r="V56" s="782">
        <f t="shared" si="3"/>
        <v>0</v>
      </c>
      <c r="W56" s="707"/>
      <c r="X56" s="707"/>
      <c r="Y56" s="707"/>
      <c r="Z56" s="782"/>
      <c r="AA56" s="782"/>
      <c r="AB56" s="778"/>
      <c r="AC56" s="814"/>
      <c r="AD56" s="695" t="s">
        <v>3215</v>
      </c>
      <c r="AE56" s="780"/>
      <c r="AF56" s="781" t="e">
        <f t="shared" si="4"/>
        <v>#DIV/0!</v>
      </c>
    </row>
    <row r="57" spans="1:32" s="784" customFormat="1" ht="18" customHeight="1" x14ac:dyDescent="0.25">
      <c r="A57" s="749">
        <v>51</v>
      </c>
      <c r="B57" s="745"/>
      <c r="C57" s="746">
        <v>2026</v>
      </c>
      <c r="D57" s="685" t="s">
        <v>3099</v>
      </c>
      <c r="E57" s="689" t="s">
        <v>3100</v>
      </c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82">
        <f t="shared" si="3"/>
        <v>0</v>
      </c>
      <c r="W57" s="707"/>
      <c r="X57" s="707"/>
      <c r="Y57" s="707"/>
      <c r="Z57" s="782"/>
      <c r="AA57" s="782"/>
      <c r="AB57" s="778"/>
      <c r="AC57" s="814"/>
      <c r="AD57" s="695" t="s">
        <v>3215</v>
      </c>
      <c r="AE57" s="780"/>
      <c r="AF57" s="781" t="e">
        <f t="shared" si="4"/>
        <v>#DIV/0!</v>
      </c>
    </row>
    <row r="58" spans="1:32" s="784" customFormat="1" ht="18" customHeight="1" x14ac:dyDescent="0.25">
      <c r="A58" s="749">
        <v>52</v>
      </c>
      <c r="B58" s="745"/>
      <c r="C58" s="746">
        <v>2026</v>
      </c>
      <c r="D58" s="685" t="s">
        <v>2807</v>
      </c>
      <c r="E58" s="689" t="s">
        <v>2848</v>
      </c>
      <c r="F58" s="707"/>
      <c r="G58" s="707"/>
      <c r="H58" s="707"/>
      <c r="I58" s="707"/>
      <c r="J58" s="707"/>
      <c r="K58" s="707"/>
      <c r="L58" s="707"/>
      <c r="M58" s="707"/>
      <c r="N58" s="707"/>
      <c r="O58" s="707"/>
      <c r="P58" s="707"/>
      <c r="Q58" s="707"/>
      <c r="R58" s="707"/>
      <c r="S58" s="707"/>
      <c r="T58" s="707"/>
      <c r="U58" s="707"/>
      <c r="V58" s="782">
        <f t="shared" si="3"/>
        <v>0</v>
      </c>
      <c r="W58" s="707"/>
      <c r="X58" s="707"/>
      <c r="Y58" s="707"/>
      <c r="Z58" s="782"/>
      <c r="AA58" s="782"/>
      <c r="AB58" s="778"/>
      <c r="AC58" s="814"/>
      <c r="AD58" s="695" t="s">
        <v>2721</v>
      </c>
      <c r="AE58" s="780"/>
      <c r="AF58" s="781" t="e">
        <f t="shared" si="4"/>
        <v>#DIV/0!</v>
      </c>
    </row>
    <row r="59" spans="1:32" s="784" customFormat="1" ht="18" customHeight="1" x14ac:dyDescent="0.25">
      <c r="A59" s="749">
        <v>53</v>
      </c>
      <c r="B59" s="745"/>
      <c r="C59" s="746">
        <v>2026</v>
      </c>
      <c r="D59" s="685" t="s">
        <v>3101</v>
      </c>
      <c r="E59" s="689" t="s">
        <v>2791</v>
      </c>
      <c r="F59" s="707"/>
      <c r="G59" s="707"/>
      <c r="H59" s="707"/>
      <c r="I59" s="707"/>
      <c r="J59" s="707"/>
      <c r="K59" s="707"/>
      <c r="L59" s="707"/>
      <c r="M59" s="707"/>
      <c r="N59" s="707"/>
      <c r="O59" s="707"/>
      <c r="P59" s="707"/>
      <c r="Q59" s="707"/>
      <c r="R59" s="707"/>
      <c r="S59" s="707"/>
      <c r="T59" s="707"/>
      <c r="U59" s="707"/>
      <c r="V59" s="782">
        <f t="shared" si="3"/>
        <v>0</v>
      </c>
      <c r="W59" s="707"/>
      <c r="X59" s="707"/>
      <c r="Y59" s="707"/>
      <c r="Z59" s="782"/>
      <c r="AA59" s="782"/>
      <c r="AB59" s="778"/>
      <c r="AC59" s="814"/>
      <c r="AD59" s="695" t="s">
        <v>3226</v>
      </c>
      <c r="AE59" s="780"/>
      <c r="AF59" s="787" t="e">
        <f t="shared" si="4"/>
        <v>#DIV/0!</v>
      </c>
    </row>
    <row r="60" spans="1:32" s="784" customFormat="1" ht="18" customHeight="1" x14ac:dyDescent="0.25">
      <c r="A60" s="749">
        <v>54</v>
      </c>
      <c r="B60" s="745"/>
      <c r="C60" s="746">
        <v>2026</v>
      </c>
      <c r="D60" s="685" t="s">
        <v>3102</v>
      </c>
      <c r="E60" s="689" t="s">
        <v>2662</v>
      </c>
      <c r="F60" s="707"/>
      <c r="G60" s="707"/>
      <c r="H60" s="707"/>
      <c r="I60" s="707"/>
      <c r="J60" s="707"/>
      <c r="K60" s="707"/>
      <c r="L60" s="707"/>
      <c r="M60" s="707"/>
      <c r="N60" s="707"/>
      <c r="O60" s="707"/>
      <c r="P60" s="707"/>
      <c r="Q60" s="707"/>
      <c r="R60" s="707"/>
      <c r="S60" s="707"/>
      <c r="T60" s="707"/>
      <c r="U60" s="707"/>
      <c r="V60" s="782">
        <f t="shared" si="3"/>
        <v>0</v>
      </c>
      <c r="W60" s="707"/>
      <c r="X60" s="707"/>
      <c r="Y60" s="707"/>
      <c r="Z60" s="782"/>
      <c r="AA60" s="782"/>
      <c r="AB60" s="778"/>
      <c r="AC60" s="814"/>
      <c r="AD60" s="695" t="s">
        <v>3207</v>
      </c>
      <c r="AE60" s="780"/>
      <c r="AF60" s="781" t="e">
        <f t="shared" si="4"/>
        <v>#DIV/0!</v>
      </c>
    </row>
    <row r="61" spans="1:32" s="784" customFormat="1" ht="18" customHeight="1" x14ac:dyDescent="0.25">
      <c r="A61" s="749">
        <v>55</v>
      </c>
      <c r="B61" s="745"/>
      <c r="C61" s="746">
        <v>2026</v>
      </c>
      <c r="D61" s="685" t="s">
        <v>3103</v>
      </c>
      <c r="E61" s="689" t="s">
        <v>975</v>
      </c>
      <c r="F61" s="707"/>
      <c r="G61" s="707"/>
      <c r="H61" s="707"/>
      <c r="I61" s="707"/>
      <c r="J61" s="707"/>
      <c r="K61" s="707"/>
      <c r="L61" s="707"/>
      <c r="M61" s="707"/>
      <c r="N61" s="707"/>
      <c r="O61" s="707"/>
      <c r="P61" s="707"/>
      <c r="Q61" s="707"/>
      <c r="R61" s="707"/>
      <c r="S61" s="707"/>
      <c r="T61" s="707"/>
      <c r="U61" s="707"/>
      <c r="V61" s="782">
        <f t="shared" si="3"/>
        <v>0</v>
      </c>
      <c r="W61" s="707"/>
      <c r="X61" s="707"/>
      <c r="Y61" s="707"/>
      <c r="Z61" s="782"/>
      <c r="AA61" s="782"/>
      <c r="AB61" s="778"/>
      <c r="AC61" s="814"/>
      <c r="AD61" s="695" t="s">
        <v>3198</v>
      </c>
      <c r="AE61" s="780"/>
      <c r="AF61" s="781" t="e">
        <f t="shared" si="4"/>
        <v>#DIV/0!</v>
      </c>
    </row>
    <row r="62" spans="1:32" s="784" customFormat="1" ht="18" customHeight="1" x14ac:dyDescent="0.25">
      <c r="A62" s="749">
        <v>56</v>
      </c>
      <c r="B62" s="745"/>
      <c r="C62" s="746">
        <v>2026</v>
      </c>
      <c r="D62" s="685" t="s">
        <v>3104</v>
      </c>
      <c r="E62" s="689" t="s">
        <v>2610</v>
      </c>
      <c r="F62" s="707"/>
      <c r="G62" s="707"/>
      <c r="H62" s="707"/>
      <c r="I62" s="707"/>
      <c r="J62" s="707"/>
      <c r="K62" s="707"/>
      <c r="L62" s="707"/>
      <c r="M62" s="707"/>
      <c r="N62" s="707"/>
      <c r="O62" s="707"/>
      <c r="P62" s="707"/>
      <c r="Q62" s="707"/>
      <c r="R62" s="707"/>
      <c r="S62" s="707"/>
      <c r="T62" s="707"/>
      <c r="U62" s="707"/>
      <c r="V62" s="782">
        <f t="shared" si="3"/>
        <v>0</v>
      </c>
      <c r="W62" s="707"/>
      <c r="X62" s="707"/>
      <c r="Y62" s="707"/>
      <c r="Z62" s="782"/>
      <c r="AA62" s="782"/>
      <c r="AB62" s="778"/>
      <c r="AC62" s="814"/>
      <c r="AD62" s="695" t="s">
        <v>2478</v>
      </c>
      <c r="AE62" s="780"/>
      <c r="AF62" s="781" t="e">
        <f t="shared" si="4"/>
        <v>#DIV/0!</v>
      </c>
    </row>
    <row r="63" spans="1:32" s="784" customFormat="1" ht="18" customHeight="1" x14ac:dyDescent="0.25">
      <c r="A63" s="749">
        <v>57</v>
      </c>
      <c r="B63" s="745"/>
      <c r="C63" s="746">
        <v>2026</v>
      </c>
      <c r="D63" s="685" t="s">
        <v>3105</v>
      </c>
      <c r="E63" s="689" t="s">
        <v>3106</v>
      </c>
      <c r="F63" s="707"/>
      <c r="G63" s="707"/>
      <c r="H63" s="707"/>
      <c r="I63" s="707"/>
      <c r="J63" s="707"/>
      <c r="K63" s="707"/>
      <c r="L63" s="707"/>
      <c r="M63" s="707"/>
      <c r="N63" s="707"/>
      <c r="O63" s="707"/>
      <c r="P63" s="707"/>
      <c r="Q63" s="707"/>
      <c r="R63" s="707"/>
      <c r="S63" s="707"/>
      <c r="T63" s="707"/>
      <c r="U63" s="707"/>
      <c r="V63" s="782">
        <f t="shared" si="3"/>
        <v>0</v>
      </c>
      <c r="W63" s="707"/>
      <c r="X63" s="707"/>
      <c r="Y63" s="707"/>
      <c r="Z63" s="782"/>
      <c r="AA63" s="782"/>
      <c r="AB63" s="778"/>
      <c r="AC63" s="814"/>
      <c r="AD63" s="695" t="s">
        <v>2986</v>
      </c>
      <c r="AE63" s="780"/>
      <c r="AF63" s="781" t="e">
        <f t="shared" si="4"/>
        <v>#DIV/0!</v>
      </c>
    </row>
    <row r="64" spans="1:32" s="788" customFormat="1" ht="18" customHeight="1" x14ac:dyDescent="0.25">
      <c r="A64" s="749">
        <v>58</v>
      </c>
      <c r="B64" s="745"/>
      <c r="C64" s="746">
        <v>2026</v>
      </c>
      <c r="D64" s="685" t="s">
        <v>3107</v>
      </c>
      <c r="E64" s="689" t="s">
        <v>3108</v>
      </c>
      <c r="F64" s="707"/>
      <c r="G64" s="707"/>
      <c r="H64" s="707"/>
      <c r="I64" s="707"/>
      <c r="J64" s="707"/>
      <c r="K64" s="707"/>
      <c r="L64" s="707"/>
      <c r="M64" s="707"/>
      <c r="N64" s="707"/>
      <c r="O64" s="707"/>
      <c r="P64" s="707"/>
      <c r="Q64" s="707"/>
      <c r="R64" s="707"/>
      <c r="S64" s="707"/>
      <c r="T64" s="707"/>
      <c r="U64" s="707"/>
      <c r="V64" s="782">
        <f t="shared" si="3"/>
        <v>0</v>
      </c>
      <c r="W64" s="707"/>
      <c r="X64" s="707"/>
      <c r="Y64" s="707"/>
      <c r="Z64" s="782"/>
      <c r="AA64" s="782"/>
      <c r="AB64" s="778"/>
      <c r="AC64" s="814"/>
      <c r="AD64" s="695" t="s">
        <v>3219</v>
      </c>
      <c r="AE64" s="786"/>
      <c r="AF64" s="781" t="e">
        <f t="shared" si="4"/>
        <v>#DIV/0!</v>
      </c>
    </row>
    <row r="65" spans="1:32" s="784" customFormat="1" ht="18" customHeight="1" x14ac:dyDescent="0.25">
      <c r="A65" s="749">
        <v>59</v>
      </c>
      <c r="B65" s="745"/>
      <c r="C65" s="746">
        <v>2026</v>
      </c>
      <c r="D65" s="685" t="s">
        <v>3109</v>
      </c>
      <c r="E65" s="689" t="s">
        <v>917</v>
      </c>
      <c r="F65" s="707"/>
      <c r="G65" s="707"/>
      <c r="H65" s="707"/>
      <c r="I65" s="707"/>
      <c r="J65" s="707"/>
      <c r="K65" s="707"/>
      <c r="L65" s="707"/>
      <c r="M65" s="707"/>
      <c r="N65" s="707"/>
      <c r="O65" s="707"/>
      <c r="P65" s="707"/>
      <c r="Q65" s="707"/>
      <c r="R65" s="707"/>
      <c r="S65" s="707"/>
      <c r="T65" s="707"/>
      <c r="U65" s="707"/>
      <c r="V65" s="782">
        <f t="shared" si="3"/>
        <v>0</v>
      </c>
      <c r="W65" s="707"/>
      <c r="X65" s="707"/>
      <c r="Y65" s="707"/>
      <c r="Z65" s="782"/>
      <c r="AA65" s="782"/>
      <c r="AB65" s="778"/>
      <c r="AC65" s="814"/>
      <c r="AD65" s="695" t="s">
        <v>3227</v>
      </c>
      <c r="AE65" s="780"/>
      <c r="AF65" s="781" t="e">
        <f t="shared" si="4"/>
        <v>#DIV/0!</v>
      </c>
    </row>
    <row r="66" spans="1:32" s="784" customFormat="1" ht="18" customHeight="1" x14ac:dyDescent="0.25">
      <c r="A66" s="749">
        <v>60</v>
      </c>
      <c r="B66" s="745"/>
      <c r="C66" s="746">
        <v>2026</v>
      </c>
      <c r="D66" s="685" t="s">
        <v>3110</v>
      </c>
      <c r="E66" s="689" t="s">
        <v>2574</v>
      </c>
      <c r="F66" s="707"/>
      <c r="G66" s="707"/>
      <c r="H66" s="707"/>
      <c r="I66" s="707"/>
      <c r="J66" s="707"/>
      <c r="K66" s="707"/>
      <c r="L66" s="707"/>
      <c r="M66" s="707"/>
      <c r="N66" s="707"/>
      <c r="O66" s="707"/>
      <c r="P66" s="707"/>
      <c r="Q66" s="707"/>
      <c r="R66" s="707"/>
      <c r="S66" s="707"/>
      <c r="T66" s="707"/>
      <c r="U66" s="707"/>
      <c r="V66" s="782">
        <f t="shared" si="3"/>
        <v>0</v>
      </c>
      <c r="W66" s="707"/>
      <c r="X66" s="707"/>
      <c r="Y66" s="707"/>
      <c r="Z66" s="782"/>
      <c r="AA66" s="782"/>
      <c r="AB66" s="778"/>
      <c r="AC66" s="814"/>
      <c r="AD66" s="695" t="s">
        <v>3228</v>
      </c>
      <c r="AE66" s="780"/>
      <c r="AF66" s="781" t="e">
        <f t="shared" si="4"/>
        <v>#DIV/0!</v>
      </c>
    </row>
    <row r="67" spans="1:32" s="784" customFormat="1" ht="18" customHeight="1" x14ac:dyDescent="0.25">
      <c r="A67" s="749">
        <v>61</v>
      </c>
      <c r="B67" s="745"/>
      <c r="C67" s="746">
        <v>2026</v>
      </c>
      <c r="D67" s="685" t="s">
        <v>3111</v>
      </c>
      <c r="E67" s="689" t="s">
        <v>3112</v>
      </c>
      <c r="F67" s="707"/>
      <c r="G67" s="707"/>
      <c r="H67" s="707"/>
      <c r="I67" s="707"/>
      <c r="J67" s="707"/>
      <c r="K67" s="707"/>
      <c r="L67" s="707"/>
      <c r="M67" s="707"/>
      <c r="N67" s="707"/>
      <c r="O67" s="707"/>
      <c r="P67" s="707"/>
      <c r="Q67" s="707"/>
      <c r="R67" s="707"/>
      <c r="S67" s="707"/>
      <c r="T67" s="707"/>
      <c r="U67" s="707"/>
      <c r="V67" s="782">
        <f t="shared" si="3"/>
        <v>0</v>
      </c>
      <c r="W67" s="707"/>
      <c r="X67" s="707"/>
      <c r="Y67" s="707"/>
      <c r="Z67" s="782"/>
      <c r="AA67" s="782"/>
      <c r="AB67" s="778"/>
      <c r="AC67" s="814"/>
      <c r="AD67" s="695" t="s">
        <v>3229</v>
      </c>
      <c r="AE67" s="780"/>
      <c r="AF67" s="781" t="e">
        <f t="shared" si="4"/>
        <v>#DIV/0!</v>
      </c>
    </row>
    <row r="68" spans="1:32" s="784" customFormat="1" ht="18" customHeight="1" x14ac:dyDescent="0.25">
      <c r="A68" s="749">
        <v>62</v>
      </c>
      <c r="B68" s="745"/>
      <c r="C68" s="746">
        <v>2026</v>
      </c>
      <c r="D68" s="685" t="s">
        <v>3113</v>
      </c>
      <c r="E68" s="689" t="s">
        <v>3114</v>
      </c>
      <c r="F68" s="707"/>
      <c r="G68" s="707"/>
      <c r="H68" s="707"/>
      <c r="I68" s="707"/>
      <c r="J68" s="707"/>
      <c r="K68" s="707"/>
      <c r="L68" s="707"/>
      <c r="M68" s="707"/>
      <c r="N68" s="707"/>
      <c r="O68" s="707"/>
      <c r="P68" s="707"/>
      <c r="Q68" s="707"/>
      <c r="R68" s="707"/>
      <c r="S68" s="707"/>
      <c r="T68" s="707"/>
      <c r="U68" s="707"/>
      <c r="V68" s="782">
        <f t="shared" si="3"/>
        <v>0</v>
      </c>
      <c r="W68" s="707"/>
      <c r="X68" s="707"/>
      <c r="Y68" s="707"/>
      <c r="Z68" s="782"/>
      <c r="AA68" s="782"/>
      <c r="AB68" s="778"/>
      <c r="AC68" s="814"/>
      <c r="AD68" s="695" t="s">
        <v>2530</v>
      </c>
      <c r="AE68" s="780"/>
      <c r="AF68" s="781" t="e">
        <f t="shared" si="4"/>
        <v>#DIV/0!</v>
      </c>
    </row>
    <row r="69" spans="1:32" s="784" customFormat="1" ht="18" customHeight="1" x14ac:dyDescent="0.25">
      <c r="A69" s="749">
        <v>63</v>
      </c>
      <c r="B69" s="745"/>
      <c r="C69" s="746">
        <v>2026</v>
      </c>
      <c r="D69" s="685" t="s">
        <v>3115</v>
      </c>
      <c r="E69" s="689" t="s">
        <v>3116</v>
      </c>
      <c r="F69" s="707"/>
      <c r="G69" s="707"/>
      <c r="H69" s="707"/>
      <c r="I69" s="707"/>
      <c r="J69" s="707"/>
      <c r="K69" s="707"/>
      <c r="L69" s="707"/>
      <c r="M69" s="707"/>
      <c r="N69" s="707"/>
      <c r="O69" s="707"/>
      <c r="P69" s="707"/>
      <c r="Q69" s="707"/>
      <c r="R69" s="707"/>
      <c r="S69" s="707"/>
      <c r="T69" s="707"/>
      <c r="U69" s="707"/>
      <c r="V69" s="782">
        <f t="shared" si="3"/>
        <v>0</v>
      </c>
      <c r="W69" s="707"/>
      <c r="X69" s="707"/>
      <c r="Y69" s="707"/>
      <c r="Z69" s="782"/>
      <c r="AA69" s="782"/>
      <c r="AB69" s="778"/>
      <c r="AC69" s="814"/>
      <c r="AD69" s="695" t="s">
        <v>2724</v>
      </c>
      <c r="AE69" s="780"/>
      <c r="AF69" s="781" t="e">
        <f t="shared" si="4"/>
        <v>#DIV/0!</v>
      </c>
    </row>
    <row r="70" spans="1:32" s="784" customFormat="1" ht="18" customHeight="1" x14ac:dyDescent="0.25">
      <c r="A70" s="749">
        <v>64</v>
      </c>
      <c r="B70" s="745"/>
      <c r="C70" s="746">
        <v>2026</v>
      </c>
      <c r="D70" s="685" t="s">
        <v>2620</v>
      </c>
      <c r="E70" s="689" t="s">
        <v>3117</v>
      </c>
      <c r="F70" s="707"/>
      <c r="G70" s="707"/>
      <c r="H70" s="707"/>
      <c r="I70" s="707"/>
      <c r="J70" s="707"/>
      <c r="K70" s="707"/>
      <c r="L70" s="707"/>
      <c r="M70" s="707"/>
      <c r="N70" s="707"/>
      <c r="O70" s="707"/>
      <c r="P70" s="707"/>
      <c r="Q70" s="707"/>
      <c r="R70" s="707"/>
      <c r="S70" s="707"/>
      <c r="T70" s="707"/>
      <c r="U70" s="707"/>
      <c r="V70" s="782">
        <f t="shared" si="3"/>
        <v>0</v>
      </c>
      <c r="W70" s="707"/>
      <c r="X70" s="707"/>
      <c r="Y70" s="707"/>
      <c r="Z70" s="782"/>
      <c r="AA70" s="782"/>
      <c r="AB70" s="778"/>
      <c r="AC70" s="814"/>
      <c r="AD70" s="695" t="s">
        <v>3230</v>
      </c>
      <c r="AE70" s="780"/>
      <c r="AF70" s="781" t="e">
        <f t="shared" si="4"/>
        <v>#DIV/0!</v>
      </c>
    </row>
    <row r="71" spans="1:32" s="784" customFormat="1" ht="18" customHeight="1" x14ac:dyDescent="0.25">
      <c r="A71" s="749">
        <v>65</v>
      </c>
      <c r="B71" s="745"/>
      <c r="C71" s="746">
        <v>2026</v>
      </c>
      <c r="D71" s="685" t="s">
        <v>3118</v>
      </c>
      <c r="E71" s="689" t="s">
        <v>3119</v>
      </c>
      <c r="F71" s="707"/>
      <c r="G71" s="707"/>
      <c r="H71" s="707"/>
      <c r="I71" s="707"/>
      <c r="J71" s="707"/>
      <c r="K71" s="707"/>
      <c r="L71" s="707"/>
      <c r="M71" s="707"/>
      <c r="N71" s="707"/>
      <c r="O71" s="707"/>
      <c r="P71" s="707"/>
      <c r="Q71" s="707"/>
      <c r="R71" s="707"/>
      <c r="S71" s="707"/>
      <c r="T71" s="707"/>
      <c r="U71" s="707"/>
      <c r="V71" s="782">
        <f t="shared" si="3"/>
        <v>0</v>
      </c>
      <c r="W71" s="707"/>
      <c r="X71" s="707"/>
      <c r="Y71" s="707"/>
      <c r="Z71" s="782"/>
      <c r="AA71" s="782"/>
      <c r="AB71" s="778"/>
      <c r="AC71" s="814"/>
      <c r="AD71" s="695" t="s">
        <v>3231</v>
      </c>
      <c r="AE71" s="780"/>
      <c r="AF71" s="781" t="e">
        <f t="shared" si="4"/>
        <v>#DIV/0!</v>
      </c>
    </row>
    <row r="72" spans="1:32" s="784" customFormat="1" ht="18" customHeight="1" x14ac:dyDescent="0.25">
      <c r="A72" s="749">
        <v>66</v>
      </c>
      <c r="B72" s="745"/>
      <c r="C72" s="746">
        <v>2026</v>
      </c>
      <c r="D72" s="685" t="s">
        <v>3120</v>
      </c>
      <c r="E72" s="689" t="s">
        <v>1497</v>
      </c>
      <c r="F72" s="707"/>
      <c r="G72" s="707"/>
      <c r="H72" s="707"/>
      <c r="I72" s="707"/>
      <c r="J72" s="707"/>
      <c r="K72" s="707"/>
      <c r="L72" s="707"/>
      <c r="M72" s="707"/>
      <c r="N72" s="707"/>
      <c r="O72" s="707"/>
      <c r="P72" s="707"/>
      <c r="Q72" s="707"/>
      <c r="R72" s="707"/>
      <c r="S72" s="707"/>
      <c r="T72" s="707"/>
      <c r="U72" s="707"/>
      <c r="V72" s="782">
        <f t="shared" si="3"/>
        <v>0</v>
      </c>
      <c r="W72" s="707"/>
      <c r="X72" s="707"/>
      <c r="Y72" s="707"/>
      <c r="Z72" s="782"/>
      <c r="AA72" s="782"/>
      <c r="AB72" s="778"/>
      <c r="AC72" s="814"/>
      <c r="AD72" s="695" t="s">
        <v>2969</v>
      </c>
      <c r="AE72" s="780"/>
      <c r="AF72" s="781" t="e">
        <f t="shared" si="4"/>
        <v>#DIV/0!</v>
      </c>
    </row>
    <row r="73" spans="1:32" s="784" customFormat="1" ht="18" customHeight="1" x14ac:dyDescent="0.25">
      <c r="A73" s="749">
        <v>67</v>
      </c>
      <c r="B73" s="745"/>
      <c r="C73" s="746">
        <v>2026</v>
      </c>
      <c r="D73" s="685" t="s">
        <v>3121</v>
      </c>
      <c r="E73" s="689" t="s">
        <v>3122</v>
      </c>
      <c r="F73" s="707"/>
      <c r="G73" s="707"/>
      <c r="H73" s="707"/>
      <c r="I73" s="707"/>
      <c r="J73" s="707"/>
      <c r="K73" s="707"/>
      <c r="L73" s="707"/>
      <c r="M73" s="707"/>
      <c r="N73" s="707"/>
      <c r="O73" s="707"/>
      <c r="P73" s="707"/>
      <c r="Q73" s="707"/>
      <c r="R73" s="707"/>
      <c r="S73" s="707"/>
      <c r="T73" s="707"/>
      <c r="U73" s="707"/>
      <c r="V73" s="782">
        <f t="shared" si="3"/>
        <v>0</v>
      </c>
      <c r="W73" s="707"/>
      <c r="X73" s="707"/>
      <c r="Y73" s="707"/>
      <c r="Z73" s="782"/>
      <c r="AA73" s="782"/>
      <c r="AB73" s="778"/>
      <c r="AC73" s="814"/>
      <c r="AD73" s="695" t="s">
        <v>3232</v>
      </c>
      <c r="AE73" s="780"/>
      <c r="AF73" s="781" t="e">
        <f t="shared" si="4"/>
        <v>#DIV/0!</v>
      </c>
    </row>
    <row r="74" spans="1:32" s="784" customFormat="1" ht="18" customHeight="1" x14ac:dyDescent="0.25">
      <c r="A74" s="749">
        <v>68</v>
      </c>
      <c r="B74" s="745"/>
      <c r="C74" s="746">
        <v>2026</v>
      </c>
      <c r="D74" s="685" t="s">
        <v>3123</v>
      </c>
      <c r="E74" s="689" t="s">
        <v>3124</v>
      </c>
      <c r="F74" s="707"/>
      <c r="G74" s="707"/>
      <c r="H74" s="707"/>
      <c r="I74" s="707"/>
      <c r="J74" s="707"/>
      <c r="K74" s="707"/>
      <c r="L74" s="707"/>
      <c r="M74" s="707"/>
      <c r="N74" s="707"/>
      <c r="O74" s="707"/>
      <c r="P74" s="707"/>
      <c r="Q74" s="707"/>
      <c r="R74" s="707"/>
      <c r="S74" s="707"/>
      <c r="T74" s="707"/>
      <c r="U74" s="707"/>
      <c r="V74" s="782">
        <f t="shared" si="3"/>
        <v>0</v>
      </c>
      <c r="W74" s="707"/>
      <c r="X74" s="707"/>
      <c r="Y74" s="707"/>
      <c r="Z74" s="782"/>
      <c r="AA74" s="782"/>
      <c r="AB74" s="778"/>
      <c r="AC74" s="814"/>
      <c r="AD74" s="695" t="s">
        <v>3233</v>
      </c>
      <c r="AE74" s="780"/>
      <c r="AF74" s="781" t="e">
        <f t="shared" si="4"/>
        <v>#DIV/0!</v>
      </c>
    </row>
    <row r="75" spans="1:32" s="784" customFormat="1" ht="18" customHeight="1" x14ac:dyDescent="0.25">
      <c r="A75" s="749">
        <v>69</v>
      </c>
      <c r="B75" s="745"/>
      <c r="C75" s="746">
        <v>2026</v>
      </c>
      <c r="D75" s="685" t="s">
        <v>3125</v>
      </c>
      <c r="E75" s="689" t="s">
        <v>3126</v>
      </c>
      <c r="F75" s="707"/>
      <c r="G75" s="707"/>
      <c r="H75" s="707"/>
      <c r="I75" s="707"/>
      <c r="J75" s="707"/>
      <c r="K75" s="707"/>
      <c r="L75" s="707"/>
      <c r="M75" s="707"/>
      <c r="N75" s="707"/>
      <c r="O75" s="707"/>
      <c r="P75" s="707"/>
      <c r="Q75" s="707"/>
      <c r="R75" s="707"/>
      <c r="S75" s="707"/>
      <c r="T75" s="707"/>
      <c r="U75" s="707"/>
      <c r="V75" s="782">
        <f t="shared" si="3"/>
        <v>0</v>
      </c>
      <c r="W75" s="707"/>
      <c r="X75" s="707"/>
      <c r="Y75" s="707"/>
      <c r="Z75" s="782"/>
      <c r="AA75" s="782"/>
      <c r="AB75" s="778"/>
      <c r="AC75" s="814"/>
      <c r="AD75" s="695" t="s">
        <v>3234</v>
      </c>
      <c r="AE75" s="780"/>
      <c r="AF75" s="781" t="e">
        <f t="shared" si="4"/>
        <v>#DIV/0!</v>
      </c>
    </row>
    <row r="76" spans="1:32" s="784" customFormat="1" ht="18" customHeight="1" x14ac:dyDescent="0.25">
      <c r="A76" s="749">
        <v>70</v>
      </c>
      <c r="B76" s="745"/>
      <c r="C76" s="746">
        <v>2026</v>
      </c>
      <c r="D76" s="685" t="s">
        <v>2862</v>
      </c>
      <c r="E76" s="689" t="s">
        <v>3127</v>
      </c>
      <c r="F76" s="707"/>
      <c r="G76" s="707"/>
      <c r="H76" s="707"/>
      <c r="I76" s="707"/>
      <c r="J76" s="707"/>
      <c r="K76" s="707"/>
      <c r="L76" s="707"/>
      <c r="M76" s="707"/>
      <c r="N76" s="707"/>
      <c r="O76" s="707"/>
      <c r="P76" s="707"/>
      <c r="Q76" s="707"/>
      <c r="R76" s="707"/>
      <c r="S76" s="707"/>
      <c r="T76" s="707"/>
      <c r="U76" s="707"/>
      <c r="V76" s="782">
        <f t="shared" si="3"/>
        <v>0</v>
      </c>
      <c r="W76" s="707"/>
      <c r="X76" s="707"/>
      <c r="Y76" s="707"/>
      <c r="Z76" s="782"/>
      <c r="AA76" s="782"/>
      <c r="AB76" s="778"/>
      <c r="AC76" s="814"/>
      <c r="AD76" s="695" t="s">
        <v>2533</v>
      </c>
      <c r="AE76" s="780"/>
      <c r="AF76" s="781" t="e">
        <f t="shared" si="4"/>
        <v>#DIV/0!</v>
      </c>
    </row>
    <row r="77" spans="1:32" s="784" customFormat="1" ht="18" customHeight="1" x14ac:dyDescent="0.25">
      <c r="A77" s="749">
        <v>71</v>
      </c>
      <c r="B77" s="745"/>
      <c r="C77" s="746">
        <v>2026</v>
      </c>
      <c r="D77" s="685" t="s">
        <v>3128</v>
      </c>
      <c r="E77" s="689" t="s">
        <v>3129</v>
      </c>
      <c r="F77" s="707"/>
      <c r="G77" s="707"/>
      <c r="H77" s="707"/>
      <c r="I77" s="707"/>
      <c r="J77" s="707"/>
      <c r="K77" s="707"/>
      <c r="L77" s="707"/>
      <c r="M77" s="707"/>
      <c r="N77" s="707"/>
      <c r="O77" s="707"/>
      <c r="P77" s="707"/>
      <c r="Q77" s="707"/>
      <c r="R77" s="707"/>
      <c r="S77" s="707"/>
      <c r="T77" s="707"/>
      <c r="U77" s="707"/>
      <c r="V77" s="782">
        <f t="shared" si="3"/>
        <v>0</v>
      </c>
      <c r="W77" s="707"/>
      <c r="X77" s="707"/>
      <c r="Y77" s="707"/>
      <c r="Z77" s="782"/>
      <c r="AA77" s="782"/>
      <c r="AB77" s="778"/>
      <c r="AC77" s="814"/>
      <c r="AD77" s="695" t="s">
        <v>2738</v>
      </c>
      <c r="AE77" s="780"/>
      <c r="AF77" s="781" t="e">
        <f t="shared" si="4"/>
        <v>#DIV/0!</v>
      </c>
    </row>
    <row r="78" spans="1:32" s="784" customFormat="1" ht="18" customHeight="1" x14ac:dyDescent="0.25">
      <c r="A78" s="749">
        <v>72</v>
      </c>
      <c r="B78" s="745"/>
      <c r="C78" s="746">
        <v>2026</v>
      </c>
      <c r="D78" s="685" t="s">
        <v>3130</v>
      </c>
      <c r="E78" s="689" t="s">
        <v>2621</v>
      </c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07"/>
      <c r="R78" s="707"/>
      <c r="S78" s="707"/>
      <c r="T78" s="707"/>
      <c r="U78" s="707"/>
      <c r="V78" s="782">
        <f t="shared" si="3"/>
        <v>0</v>
      </c>
      <c r="W78" s="707"/>
      <c r="X78" s="707"/>
      <c r="Y78" s="707"/>
      <c r="Z78" s="782"/>
      <c r="AA78" s="782"/>
      <c r="AB78" s="778"/>
      <c r="AC78" s="814"/>
      <c r="AD78" s="695" t="s">
        <v>3235</v>
      </c>
      <c r="AE78" s="780"/>
      <c r="AF78" s="781" t="e">
        <f t="shared" si="4"/>
        <v>#DIV/0!</v>
      </c>
    </row>
    <row r="79" spans="1:32" s="784" customFormat="1" ht="18" customHeight="1" x14ac:dyDescent="0.25">
      <c r="A79" s="749">
        <v>73</v>
      </c>
      <c r="B79" s="745"/>
      <c r="C79" s="746">
        <v>2026</v>
      </c>
      <c r="D79" s="685" t="s">
        <v>3131</v>
      </c>
      <c r="E79" s="689" t="s">
        <v>2861</v>
      </c>
      <c r="F79" s="707"/>
      <c r="G79" s="707"/>
      <c r="H79" s="707"/>
      <c r="I79" s="707"/>
      <c r="J79" s="707"/>
      <c r="K79" s="707"/>
      <c r="L79" s="707"/>
      <c r="M79" s="707"/>
      <c r="N79" s="707"/>
      <c r="O79" s="707"/>
      <c r="P79" s="707"/>
      <c r="Q79" s="707"/>
      <c r="R79" s="707"/>
      <c r="S79" s="707"/>
      <c r="T79" s="707"/>
      <c r="U79" s="707"/>
      <c r="V79" s="782">
        <f t="shared" si="3"/>
        <v>0</v>
      </c>
      <c r="W79" s="707"/>
      <c r="X79" s="707"/>
      <c r="Y79" s="707"/>
      <c r="Z79" s="782"/>
      <c r="AA79" s="782"/>
      <c r="AB79" s="778"/>
      <c r="AC79" s="814"/>
      <c r="AD79" s="695" t="s">
        <v>3236</v>
      </c>
      <c r="AE79" s="780"/>
      <c r="AF79" s="781" t="e">
        <f t="shared" ref="AF79:AF110" si="5">AVERAGE(F79:U79)</f>
        <v>#DIV/0!</v>
      </c>
    </row>
    <row r="80" spans="1:32" s="788" customFormat="1" ht="18" customHeight="1" x14ac:dyDescent="0.25">
      <c r="A80" s="749">
        <v>74</v>
      </c>
      <c r="B80" s="745"/>
      <c r="C80" s="746">
        <v>2026</v>
      </c>
      <c r="D80" s="685" t="s">
        <v>3132</v>
      </c>
      <c r="E80" s="689" t="s">
        <v>3133</v>
      </c>
      <c r="F80" s="707"/>
      <c r="G80" s="707"/>
      <c r="H80" s="707"/>
      <c r="I80" s="707"/>
      <c r="J80" s="707"/>
      <c r="K80" s="707"/>
      <c r="L80" s="707"/>
      <c r="M80" s="707"/>
      <c r="N80" s="707"/>
      <c r="O80" s="707"/>
      <c r="P80" s="707"/>
      <c r="Q80" s="707"/>
      <c r="R80" s="707"/>
      <c r="S80" s="707"/>
      <c r="T80" s="707"/>
      <c r="U80" s="707"/>
      <c r="V80" s="782">
        <f t="shared" si="3"/>
        <v>0</v>
      </c>
      <c r="W80" s="707"/>
      <c r="X80" s="707"/>
      <c r="Y80" s="707"/>
      <c r="Z80" s="782"/>
      <c r="AA80" s="782"/>
      <c r="AB80" s="778"/>
      <c r="AC80" s="814"/>
      <c r="AD80" s="695" t="s">
        <v>2724</v>
      </c>
      <c r="AE80" s="786"/>
      <c r="AF80" s="787" t="e">
        <f t="shared" si="5"/>
        <v>#DIV/0!</v>
      </c>
    </row>
    <row r="81" spans="1:32" s="784" customFormat="1" ht="18" customHeight="1" x14ac:dyDescent="0.25">
      <c r="A81" s="749">
        <v>75</v>
      </c>
      <c r="B81" s="745"/>
      <c r="C81" s="746">
        <v>2026</v>
      </c>
      <c r="D81" s="685" t="s">
        <v>3134</v>
      </c>
      <c r="E81" s="689" t="s">
        <v>3135</v>
      </c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07"/>
      <c r="R81" s="707"/>
      <c r="S81" s="707"/>
      <c r="T81" s="707"/>
      <c r="U81" s="707"/>
      <c r="V81" s="782">
        <f t="shared" ref="V81:V118" si="6">SUM(F81:U81)/16</f>
        <v>0</v>
      </c>
      <c r="W81" s="707"/>
      <c r="X81" s="707"/>
      <c r="Y81" s="707"/>
      <c r="Z81" s="782"/>
      <c r="AA81" s="782"/>
      <c r="AB81" s="778"/>
      <c r="AC81" s="814"/>
      <c r="AD81" s="695" t="s">
        <v>3215</v>
      </c>
      <c r="AE81" s="780"/>
      <c r="AF81" s="781" t="e">
        <f t="shared" si="5"/>
        <v>#DIV/0!</v>
      </c>
    </row>
    <row r="82" spans="1:32" s="784" customFormat="1" ht="18" customHeight="1" x14ac:dyDescent="0.25">
      <c r="A82" s="749">
        <v>76</v>
      </c>
      <c r="B82" s="745"/>
      <c r="C82" s="746">
        <v>2026</v>
      </c>
      <c r="D82" s="685" t="s">
        <v>3136</v>
      </c>
      <c r="E82" s="689" t="s">
        <v>2821</v>
      </c>
      <c r="F82" s="707"/>
      <c r="G82" s="707"/>
      <c r="H82" s="707"/>
      <c r="I82" s="707"/>
      <c r="J82" s="707"/>
      <c r="K82" s="707"/>
      <c r="L82" s="707"/>
      <c r="M82" s="707"/>
      <c r="N82" s="707"/>
      <c r="O82" s="707"/>
      <c r="P82" s="707"/>
      <c r="Q82" s="707"/>
      <c r="R82" s="707"/>
      <c r="S82" s="707"/>
      <c r="T82" s="707"/>
      <c r="U82" s="707"/>
      <c r="V82" s="782">
        <f t="shared" si="6"/>
        <v>0</v>
      </c>
      <c r="W82" s="707"/>
      <c r="X82" s="707"/>
      <c r="Y82" s="707"/>
      <c r="Z82" s="782"/>
      <c r="AA82" s="782"/>
      <c r="AB82" s="778"/>
      <c r="AC82" s="814"/>
      <c r="AD82" s="695" t="s">
        <v>3234</v>
      </c>
      <c r="AE82" s="780"/>
      <c r="AF82" s="781" t="e">
        <f t="shared" si="5"/>
        <v>#DIV/0!</v>
      </c>
    </row>
    <row r="83" spans="1:32" s="784" customFormat="1" ht="18" customHeight="1" x14ac:dyDescent="0.25">
      <c r="A83" s="749">
        <v>77</v>
      </c>
      <c r="B83" s="745"/>
      <c r="C83" s="746">
        <v>2026</v>
      </c>
      <c r="D83" s="685" t="s">
        <v>3137</v>
      </c>
      <c r="E83" s="689" t="s">
        <v>3138</v>
      </c>
      <c r="F83" s="707"/>
      <c r="G83" s="707"/>
      <c r="H83" s="707"/>
      <c r="I83" s="707"/>
      <c r="J83" s="707"/>
      <c r="K83" s="707"/>
      <c r="L83" s="707"/>
      <c r="M83" s="707"/>
      <c r="N83" s="707"/>
      <c r="O83" s="707"/>
      <c r="P83" s="707"/>
      <c r="Q83" s="707"/>
      <c r="R83" s="707"/>
      <c r="S83" s="707"/>
      <c r="T83" s="707"/>
      <c r="U83" s="707"/>
      <c r="V83" s="782">
        <f t="shared" si="6"/>
        <v>0</v>
      </c>
      <c r="W83" s="707"/>
      <c r="X83" s="707"/>
      <c r="Y83" s="707"/>
      <c r="Z83" s="782"/>
      <c r="AA83" s="782"/>
      <c r="AB83" s="778"/>
      <c r="AC83" s="814"/>
      <c r="AD83" s="695" t="s">
        <v>3006</v>
      </c>
      <c r="AE83" s="780"/>
      <c r="AF83" s="781" t="e">
        <f t="shared" si="5"/>
        <v>#DIV/0!</v>
      </c>
    </row>
    <row r="84" spans="1:32" s="784" customFormat="1" ht="18" customHeight="1" x14ac:dyDescent="0.25">
      <c r="A84" s="749">
        <v>78</v>
      </c>
      <c r="B84" s="745"/>
      <c r="C84" s="746">
        <v>2026</v>
      </c>
      <c r="D84" s="685" t="s">
        <v>3139</v>
      </c>
      <c r="E84" s="689" t="s">
        <v>3140</v>
      </c>
      <c r="F84" s="707"/>
      <c r="G84" s="707"/>
      <c r="H84" s="707"/>
      <c r="I84" s="707"/>
      <c r="J84" s="707"/>
      <c r="K84" s="707"/>
      <c r="L84" s="707"/>
      <c r="M84" s="707"/>
      <c r="N84" s="707"/>
      <c r="O84" s="707"/>
      <c r="P84" s="707"/>
      <c r="Q84" s="707"/>
      <c r="R84" s="707"/>
      <c r="S84" s="707"/>
      <c r="T84" s="707"/>
      <c r="U84" s="707"/>
      <c r="V84" s="782">
        <f t="shared" si="6"/>
        <v>0</v>
      </c>
      <c r="W84" s="707"/>
      <c r="X84" s="707"/>
      <c r="Y84" s="707"/>
      <c r="Z84" s="782"/>
      <c r="AA84" s="782"/>
      <c r="AB84" s="778"/>
      <c r="AC84" s="814"/>
      <c r="AD84" s="695" t="s">
        <v>2512</v>
      </c>
      <c r="AE84" s="780"/>
      <c r="AF84" s="781" t="e">
        <f t="shared" si="5"/>
        <v>#DIV/0!</v>
      </c>
    </row>
    <row r="85" spans="1:32" s="784" customFormat="1" ht="18" customHeight="1" x14ac:dyDescent="0.25">
      <c r="A85" s="749">
        <v>79</v>
      </c>
      <c r="B85" s="745"/>
      <c r="C85" s="746">
        <v>2026</v>
      </c>
      <c r="D85" s="685" t="s">
        <v>3141</v>
      </c>
      <c r="E85" s="689" t="s">
        <v>1559</v>
      </c>
      <c r="F85" s="707"/>
      <c r="G85" s="707"/>
      <c r="H85" s="707"/>
      <c r="I85" s="707"/>
      <c r="J85" s="707"/>
      <c r="K85" s="707"/>
      <c r="L85" s="707"/>
      <c r="M85" s="707"/>
      <c r="N85" s="707"/>
      <c r="O85" s="707"/>
      <c r="P85" s="707"/>
      <c r="Q85" s="707"/>
      <c r="R85" s="707"/>
      <c r="S85" s="707"/>
      <c r="T85" s="707"/>
      <c r="U85" s="707"/>
      <c r="V85" s="782">
        <f t="shared" si="6"/>
        <v>0</v>
      </c>
      <c r="W85" s="707"/>
      <c r="X85" s="707"/>
      <c r="Y85" s="707"/>
      <c r="Z85" s="782"/>
      <c r="AA85" s="782"/>
      <c r="AB85" s="778"/>
      <c r="AC85" s="814"/>
      <c r="AD85" s="695" t="s">
        <v>2530</v>
      </c>
      <c r="AE85" s="780"/>
      <c r="AF85" s="781" t="e">
        <f t="shared" si="5"/>
        <v>#DIV/0!</v>
      </c>
    </row>
    <row r="86" spans="1:32" s="784" customFormat="1" ht="18" customHeight="1" x14ac:dyDescent="0.25">
      <c r="A86" s="749">
        <v>80</v>
      </c>
      <c r="B86" s="745"/>
      <c r="C86" s="746">
        <v>2026</v>
      </c>
      <c r="D86" s="685" t="s">
        <v>3142</v>
      </c>
      <c r="E86" s="689" t="s">
        <v>2621</v>
      </c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82">
        <f t="shared" si="6"/>
        <v>0</v>
      </c>
      <c r="W86" s="707"/>
      <c r="X86" s="707"/>
      <c r="Y86" s="707"/>
      <c r="Z86" s="782"/>
      <c r="AA86" s="782"/>
      <c r="AB86" s="778"/>
      <c r="AC86" s="814"/>
      <c r="AD86" s="695" t="s">
        <v>3237</v>
      </c>
      <c r="AE86" s="780"/>
      <c r="AF86" s="781" t="e">
        <f t="shared" si="5"/>
        <v>#DIV/0!</v>
      </c>
    </row>
    <row r="87" spans="1:32" s="784" customFormat="1" ht="18" customHeight="1" x14ac:dyDescent="0.25">
      <c r="A87" s="749">
        <v>81</v>
      </c>
      <c r="B87" s="745"/>
      <c r="C87" s="746">
        <v>2026</v>
      </c>
      <c r="D87" s="685" t="s">
        <v>3143</v>
      </c>
      <c r="E87" s="689" t="s">
        <v>2768</v>
      </c>
      <c r="F87" s="707"/>
      <c r="G87" s="707"/>
      <c r="H87" s="707"/>
      <c r="I87" s="707"/>
      <c r="J87" s="707"/>
      <c r="K87" s="707"/>
      <c r="L87" s="707"/>
      <c r="M87" s="707"/>
      <c r="N87" s="707"/>
      <c r="O87" s="707"/>
      <c r="P87" s="707"/>
      <c r="Q87" s="707"/>
      <c r="R87" s="707"/>
      <c r="S87" s="707"/>
      <c r="T87" s="707"/>
      <c r="U87" s="707"/>
      <c r="V87" s="782">
        <f t="shared" si="6"/>
        <v>0</v>
      </c>
      <c r="W87" s="707"/>
      <c r="X87" s="707"/>
      <c r="Y87" s="707"/>
      <c r="Z87" s="782"/>
      <c r="AA87" s="782"/>
      <c r="AB87" s="778"/>
      <c r="AC87" s="814"/>
      <c r="AD87" s="695" t="s">
        <v>3196</v>
      </c>
      <c r="AE87" s="780"/>
      <c r="AF87" s="781" t="e">
        <f t="shared" si="5"/>
        <v>#DIV/0!</v>
      </c>
    </row>
    <row r="88" spans="1:32" s="784" customFormat="1" ht="18" customHeight="1" x14ac:dyDescent="0.25">
      <c r="A88" s="749">
        <v>82</v>
      </c>
      <c r="B88" s="745"/>
      <c r="C88" s="746">
        <v>2026</v>
      </c>
      <c r="D88" s="685" t="s">
        <v>3144</v>
      </c>
      <c r="E88" s="689" t="s">
        <v>3145</v>
      </c>
      <c r="F88" s="707"/>
      <c r="G88" s="707"/>
      <c r="H88" s="707"/>
      <c r="I88" s="707"/>
      <c r="J88" s="707"/>
      <c r="K88" s="707"/>
      <c r="L88" s="707"/>
      <c r="M88" s="707"/>
      <c r="N88" s="707"/>
      <c r="O88" s="707"/>
      <c r="P88" s="707"/>
      <c r="Q88" s="707"/>
      <c r="R88" s="707"/>
      <c r="S88" s="707"/>
      <c r="T88" s="707"/>
      <c r="U88" s="707"/>
      <c r="V88" s="782">
        <f t="shared" si="6"/>
        <v>0</v>
      </c>
      <c r="W88" s="707"/>
      <c r="X88" s="707"/>
      <c r="Y88" s="707"/>
      <c r="Z88" s="782"/>
      <c r="AA88" s="782"/>
      <c r="AB88" s="778"/>
      <c r="AC88" s="814"/>
      <c r="AD88" s="695" t="s">
        <v>2730</v>
      </c>
      <c r="AE88" s="780"/>
      <c r="AF88" s="781" t="e">
        <f t="shared" si="5"/>
        <v>#DIV/0!</v>
      </c>
    </row>
    <row r="89" spans="1:32" s="784" customFormat="1" ht="18" customHeight="1" x14ac:dyDescent="0.25">
      <c r="A89" s="749">
        <v>83</v>
      </c>
      <c r="B89" s="745"/>
      <c r="C89" s="746">
        <v>2026</v>
      </c>
      <c r="D89" s="685" t="s">
        <v>3146</v>
      </c>
      <c r="E89" s="689" t="s">
        <v>3147</v>
      </c>
      <c r="F89" s="707"/>
      <c r="G89" s="707"/>
      <c r="H89" s="707"/>
      <c r="I89" s="707"/>
      <c r="J89" s="707"/>
      <c r="K89" s="707"/>
      <c r="L89" s="707"/>
      <c r="M89" s="707"/>
      <c r="N89" s="707"/>
      <c r="O89" s="707"/>
      <c r="P89" s="707"/>
      <c r="Q89" s="707"/>
      <c r="R89" s="707"/>
      <c r="S89" s="707"/>
      <c r="T89" s="707"/>
      <c r="U89" s="707"/>
      <c r="V89" s="782">
        <f t="shared" si="6"/>
        <v>0</v>
      </c>
      <c r="W89" s="707"/>
      <c r="X89" s="707"/>
      <c r="Y89" s="707"/>
      <c r="Z89" s="782"/>
      <c r="AA89" s="782"/>
      <c r="AB89" s="778"/>
      <c r="AC89" s="814"/>
      <c r="AD89" s="695" t="s">
        <v>3222</v>
      </c>
      <c r="AE89" s="780"/>
      <c r="AF89" s="781" t="e">
        <f t="shared" si="5"/>
        <v>#DIV/0!</v>
      </c>
    </row>
    <row r="90" spans="1:32" s="784" customFormat="1" ht="18" customHeight="1" x14ac:dyDescent="0.25">
      <c r="A90" s="749">
        <v>84</v>
      </c>
      <c r="B90" s="745"/>
      <c r="C90" s="746">
        <v>2026</v>
      </c>
      <c r="D90" s="685" t="s">
        <v>3148</v>
      </c>
      <c r="E90" s="689" t="s">
        <v>2863</v>
      </c>
      <c r="F90" s="707"/>
      <c r="G90" s="707"/>
      <c r="H90" s="707"/>
      <c r="I90" s="707"/>
      <c r="J90" s="707"/>
      <c r="K90" s="707"/>
      <c r="L90" s="707"/>
      <c r="M90" s="707"/>
      <c r="N90" s="707"/>
      <c r="O90" s="707"/>
      <c r="P90" s="707"/>
      <c r="Q90" s="707"/>
      <c r="R90" s="707"/>
      <c r="S90" s="707"/>
      <c r="T90" s="707"/>
      <c r="U90" s="707"/>
      <c r="V90" s="782">
        <f t="shared" si="6"/>
        <v>0</v>
      </c>
      <c r="W90" s="707"/>
      <c r="X90" s="707"/>
      <c r="Y90" s="707"/>
      <c r="Z90" s="782"/>
      <c r="AA90" s="782"/>
      <c r="AB90" s="778"/>
      <c r="AC90" s="814"/>
      <c r="AD90" s="695" t="s">
        <v>3238</v>
      </c>
      <c r="AE90" s="780"/>
      <c r="AF90" s="781" t="e">
        <f t="shared" si="5"/>
        <v>#DIV/0!</v>
      </c>
    </row>
    <row r="91" spans="1:32" s="784" customFormat="1" ht="18" customHeight="1" x14ac:dyDescent="0.25">
      <c r="A91" s="749">
        <v>85</v>
      </c>
      <c r="B91" s="745"/>
      <c r="C91" s="746">
        <v>2026</v>
      </c>
      <c r="D91" s="685" t="s">
        <v>3149</v>
      </c>
      <c r="E91" s="689" t="s">
        <v>3150</v>
      </c>
      <c r="F91" s="707"/>
      <c r="G91" s="707"/>
      <c r="H91" s="707"/>
      <c r="I91" s="707"/>
      <c r="J91" s="707"/>
      <c r="K91" s="707"/>
      <c r="L91" s="707"/>
      <c r="M91" s="707"/>
      <c r="N91" s="707"/>
      <c r="O91" s="707"/>
      <c r="P91" s="707"/>
      <c r="Q91" s="707"/>
      <c r="R91" s="707"/>
      <c r="S91" s="707"/>
      <c r="T91" s="707"/>
      <c r="U91" s="707"/>
      <c r="V91" s="782">
        <f t="shared" si="6"/>
        <v>0</v>
      </c>
      <c r="W91" s="707"/>
      <c r="X91" s="707"/>
      <c r="Y91" s="707"/>
      <c r="Z91" s="782"/>
      <c r="AA91" s="782"/>
      <c r="AB91" s="778"/>
      <c r="AC91" s="814"/>
      <c r="AD91" s="695" t="s">
        <v>2723</v>
      </c>
      <c r="AE91" s="780"/>
      <c r="AF91" s="781" t="e">
        <f t="shared" si="5"/>
        <v>#DIV/0!</v>
      </c>
    </row>
    <row r="92" spans="1:32" s="784" customFormat="1" ht="18" customHeight="1" x14ac:dyDescent="0.25">
      <c r="A92" s="749">
        <v>86</v>
      </c>
      <c r="B92" s="745"/>
      <c r="C92" s="746">
        <v>2026</v>
      </c>
      <c r="D92" s="685" t="s">
        <v>3151</v>
      </c>
      <c r="E92" s="689" t="s">
        <v>3152</v>
      </c>
      <c r="F92" s="707"/>
      <c r="G92" s="707"/>
      <c r="H92" s="707"/>
      <c r="I92" s="707"/>
      <c r="J92" s="707"/>
      <c r="K92" s="707"/>
      <c r="L92" s="707"/>
      <c r="M92" s="707"/>
      <c r="N92" s="707"/>
      <c r="O92" s="707"/>
      <c r="P92" s="707"/>
      <c r="Q92" s="707"/>
      <c r="R92" s="707"/>
      <c r="S92" s="707"/>
      <c r="T92" s="707"/>
      <c r="U92" s="707"/>
      <c r="V92" s="782">
        <f t="shared" si="6"/>
        <v>0</v>
      </c>
      <c r="W92" s="707"/>
      <c r="X92" s="707"/>
      <c r="Y92" s="707"/>
      <c r="Z92" s="782"/>
      <c r="AA92" s="782"/>
      <c r="AB92" s="778"/>
      <c r="AC92" s="814"/>
      <c r="AD92" s="695" t="s">
        <v>3239</v>
      </c>
      <c r="AE92" s="780"/>
      <c r="AF92" s="781" t="e">
        <f t="shared" si="5"/>
        <v>#DIV/0!</v>
      </c>
    </row>
    <row r="93" spans="1:32" s="784" customFormat="1" ht="18" customHeight="1" x14ac:dyDescent="0.25">
      <c r="A93" s="749">
        <v>87</v>
      </c>
      <c r="B93" s="745"/>
      <c r="C93" s="746">
        <v>2026</v>
      </c>
      <c r="D93" s="685" t="s">
        <v>3153</v>
      </c>
      <c r="E93" s="689" t="s">
        <v>3154</v>
      </c>
      <c r="F93" s="707"/>
      <c r="G93" s="707"/>
      <c r="H93" s="707"/>
      <c r="I93" s="707"/>
      <c r="J93" s="707"/>
      <c r="K93" s="707"/>
      <c r="L93" s="707"/>
      <c r="M93" s="707"/>
      <c r="N93" s="707"/>
      <c r="O93" s="707"/>
      <c r="P93" s="707"/>
      <c r="Q93" s="707"/>
      <c r="R93" s="707"/>
      <c r="S93" s="707"/>
      <c r="T93" s="707"/>
      <c r="U93" s="707"/>
      <c r="V93" s="782">
        <f t="shared" si="6"/>
        <v>0</v>
      </c>
      <c r="W93" s="707"/>
      <c r="X93" s="707"/>
      <c r="Y93" s="707"/>
      <c r="Z93" s="782"/>
      <c r="AA93" s="782"/>
      <c r="AB93" s="778"/>
      <c r="AC93" s="814"/>
      <c r="AD93" s="695" t="s">
        <v>2695</v>
      </c>
      <c r="AE93" s="780"/>
      <c r="AF93" s="781" t="e">
        <f t="shared" si="5"/>
        <v>#DIV/0!</v>
      </c>
    </row>
    <row r="94" spans="1:32" s="784" customFormat="1" ht="18" customHeight="1" x14ac:dyDescent="0.25">
      <c r="A94" s="749">
        <v>88</v>
      </c>
      <c r="B94" s="745"/>
      <c r="C94" s="746">
        <v>2026</v>
      </c>
      <c r="D94" s="685" t="s">
        <v>3155</v>
      </c>
      <c r="E94" s="689" t="s">
        <v>3124</v>
      </c>
      <c r="F94" s="707"/>
      <c r="G94" s="707"/>
      <c r="H94" s="707"/>
      <c r="I94" s="707"/>
      <c r="J94" s="707"/>
      <c r="K94" s="707"/>
      <c r="L94" s="707"/>
      <c r="M94" s="707"/>
      <c r="N94" s="707"/>
      <c r="O94" s="707"/>
      <c r="P94" s="707"/>
      <c r="Q94" s="707"/>
      <c r="R94" s="707"/>
      <c r="S94" s="707"/>
      <c r="T94" s="707"/>
      <c r="U94" s="707"/>
      <c r="V94" s="782">
        <f t="shared" si="6"/>
        <v>0</v>
      </c>
      <c r="W94" s="707"/>
      <c r="X94" s="707"/>
      <c r="Y94" s="707"/>
      <c r="Z94" s="782"/>
      <c r="AA94" s="782"/>
      <c r="AB94" s="778"/>
      <c r="AC94" s="814"/>
      <c r="AD94" s="695" t="s">
        <v>3003</v>
      </c>
      <c r="AE94" s="780"/>
      <c r="AF94" s="781" t="e">
        <f t="shared" si="5"/>
        <v>#DIV/0!</v>
      </c>
    </row>
    <row r="95" spans="1:32" s="784" customFormat="1" ht="18" customHeight="1" x14ac:dyDescent="0.25">
      <c r="A95" s="749">
        <v>89</v>
      </c>
      <c r="B95" s="745"/>
      <c r="C95" s="746">
        <v>2026</v>
      </c>
      <c r="D95" s="685" t="s">
        <v>3156</v>
      </c>
      <c r="E95" s="689" t="s">
        <v>3086</v>
      </c>
      <c r="F95" s="707"/>
      <c r="G95" s="707"/>
      <c r="H95" s="707"/>
      <c r="I95" s="707"/>
      <c r="J95" s="707"/>
      <c r="K95" s="707"/>
      <c r="L95" s="707"/>
      <c r="M95" s="707"/>
      <c r="N95" s="707"/>
      <c r="O95" s="707"/>
      <c r="P95" s="707"/>
      <c r="Q95" s="707"/>
      <c r="R95" s="707"/>
      <c r="S95" s="707"/>
      <c r="T95" s="707"/>
      <c r="U95" s="707"/>
      <c r="V95" s="782">
        <f t="shared" si="6"/>
        <v>0</v>
      </c>
      <c r="W95" s="707"/>
      <c r="X95" s="707"/>
      <c r="Y95" s="707"/>
      <c r="Z95" s="782"/>
      <c r="AA95" s="782"/>
      <c r="AB95" s="778"/>
      <c r="AC95" s="814"/>
      <c r="AD95" s="695" t="s">
        <v>3204</v>
      </c>
      <c r="AE95" s="780"/>
      <c r="AF95" s="781" t="e">
        <f t="shared" si="5"/>
        <v>#DIV/0!</v>
      </c>
    </row>
    <row r="96" spans="1:32" s="784" customFormat="1" ht="18" customHeight="1" x14ac:dyDescent="0.25">
      <c r="A96" s="749">
        <v>90</v>
      </c>
      <c r="B96" s="745"/>
      <c r="C96" s="746">
        <v>2026</v>
      </c>
      <c r="D96" s="685" t="s">
        <v>3157</v>
      </c>
      <c r="E96" s="689" t="s">
        <v>3158</v>
      </c>
      <c r="F96" s="707"/>
      <c r="G96" s="707"/>
      <c r="H96" s="707"/>
      <c r="I96" s="707"/>
      <c r="J96" s="707"/>
      <c r="K96" s="707"/>
      <c r="L96" s="707"/>
      <c r="M96" s="707"/>
      <c r="N96" s="707"/>
      <c r="O96" s="707"/>
      <c r="P96" s="707"/>
      <c r="Q96" s="707"/>
      <c r="R96" s="707"/>
      <c r="S96" s="707"/>
      <c r="T96" s="707"/>
      <c r="U96" s="707"/>
      <c r="V96" s="782">
        <f t="shared" si="6"/>
        <v>0</v>
      </c>
      <c r="W96" s="707"/>
      <c r="X96" s="707"/>
      <c r="Y96" s="707"/>
      <c r="Z96" s="782"/>
      <c r="AA96" s="782"/>
      <c r="AB96" s="778"/>
      <c r="AC96" s="814"/>
      <c r="AD96" s="695" t="s">
        <v>3217</v>
      </c>
      <c r="AE96" s="780"/>
      <c r="AF96" s="781" t="e">
        <f t="shared" si="5"/>
        <v>#DIV/0!</v>
      </c>
    </row>
    <row r="97" spans="1:32" s="784" customFormat="1" ht="18" customHeight="1" x14ac:dyDescent="0.25">
      <c r="A97" s="749">
        <v>91</v>
      </c>
      <c r="B97" s="745"/>
      <c r="C97" s="746">
        <v>2026</v>
      </c>
      <c r="D97" s="685" t="s">
        <v>3159</v>
      </c>
      <c r="E97" s="689" t="s">
        <v>3160</v>
      </c>
      <c r="F97" s="707"/>
      <c r="G97" s="707"/>
      <c r="H97" s="707"/>
      <c r="I97" s="707"/>
      <c r="J97" s="707"/>
      <c r="K97" s="707"/>
      <c r="L97" s="707"/>
      <c r="M97" s="707"/>
      <c r="N97" s="707"/>
      <c r="O97" s="707"/>
      <c r="P97" s="707"/>
      <c r="Q97" s="707"/>
      <c r="R97" s="707"/>
      <c r="S97" s="707"/>
      <c r="T97" s="707"/>
      <c r="U97" s="707"/>
      <c r="V97" s="782">
        <f t="shared" si="6"/>
        <v>0</v>
      </c>
      <c r="W97" s="707"/>
      <c r="X97" s="707"/>
      <c r="Y97" s="707"/>
      <c r="Z97" s="782"/>
      <c r="AA97" s="782"/>
      <c r="AB97" s="778"/>
      <c r="AC97" s="814"/>
      <c r="AD97" s="695" t="s">
        <v>3240</v>
      </c>
      <c r="AE97" s="780"/>
      <c r="AF97" s="781" t="e">
        <f t="shared" si="5"/>
        <v>#DIV/0!</v>
      </c>
    </row>
    <row r="98" spans="1:32" s="784" customFormat="1" ht="18" customHeight="1" x14ac:dyDescent="0.25">
      <c r="A98" s="749">
        <v>92</v>
      </c>
      <c r="B98" s="745"/>
      <c r="C98" s="746">
        <v>2026</v>
      </c>
      <c r="D98" s="685" t="s">
        <v>3161</v>
      </c>
      <c r="E98" s="689" t="s">
        <v>3162</v>
      </c>
      <c r="F98" s="707"/>
      <c r="G98" s="707"/>
      <c r="H98" s="707"/>
      <c r="I98" s="707"/>
      <c r="J98" s="707"/>
      <c r="K98" s="707"/>
      <c r="L98" s="707"/>
      <c r="M98" s="707"/>
      <c r="N98" s="707"/>
      <c r="O98" s="707"/>
      <c r="P98" s="707"/>
      <c r="Q98" s="707"/>
      <c r="R98" s="707"/>
      <c r="S98" s="707"/>
      <c r="T98" s="707"/>
      <c r="U98" s="707"/>
      <c r="V98" s="782">
        <f t="shared" si="6"/>
        <v>0</v>
      </c>
      <c r="W98" s="707"/>
      <c r="X98" s="707"/>
      <c r="Y98" s="707"/>
      <c r="Z98" s="782"/>
      <c r="AA98" s="782"/>
      <c r="AB98" s="778"/>
      <c r="AC98" s="814"/>
      <c r="AD98" s="695" t="s">
        <v>3241</v>
      </c>
      <c r="AE98" s="780"/>
      <c r="AF98" s="781" t="e">
        <f t="shared" si="5"/>
        <v>#DIV/0!</v>
      </c>
    </row>
    <row r="99" spans="1:32" s="784" customFormat="1" ht="18" customHeight="1" x14ac:dyDescent="0.25">
      <c r="A99" s="749">
        <v>93</v>
      </c>
      <c r="B99" s="745"/>
      <c r="C99" s="746">
        <v>2026</v>
      </c>
      <c r="D99" s="685" t="s">
        <v>3163</v>
      </c>
      <c r="E99" s="689" t="s">
        <v>3164</v>
      </c>
      <c r="F99" s="707"/>
      <c r="G99" s="707"/>
      <c r="H99" s="707"/>
      <c r="I99" s="707"/>
      <c r="J99" s="707"/>
      <c r="K99" s="707"/>
      <c r="L99" s="707"/>
      <c r="M99" s="707"/>
      <c r="N99" s="707"/>
      <c r="O99" s="707"/>
      <c r="P99" s="707"/>
      <c r="Q99" s="707"/>
      <c r="R99" s="707"/>
      <c r="S99" s="707"/>
      <c r="T99" s="707"/>
      <c r="U99" s="707"/>
      <c r="V99" s="782">
        <f t="shared" si="6"/>
        <v>0</v>
      </c>
      <c r="W99" s="707"/>
      <c r="X99" s="707"/>
      <c r="Y99" s="707"/>
      <c r="Z99" s="782"/>
      <c r="AA99" s="782"/>
      <c r="AB99" s="778"/>
      <c r="AC99" s="814"/>
      <c r="AD99" s="695" t="s">
        <v>3241</v>
      </c>
      <c r="AE99" s="780"/>
      <c r="AF99" s="781" t="e">
        <f t="shared" si="5"/>
        <v>#DIV/0!</v>
      </c>
    </row>
    <row r="100" spans="1:32" s="784" customFormat="1" ht="18" customHeight="1" x14ac:dyDescent="0.25">
      <c r="A100" s="749">
        <v>94</v>
      </c>
      <c r="B100" s="745"/>
      <c r="C100" s="746">
        <v>2026</v>
      </c>
      <c r="D100" s="685" t="s">
        <v>2927</v>
      </c>
      <c r="E100" s="689" t="s">
        <v>3051</v>
      </c>
      <c r="F100" s="707"/>
      <c r="G100" s="707"/>
      <c r="H100" s="707"/>
      <c r="I100" s="707"/>
      <c r="J100" s="707"/>
      <c r="K100" s="707"/>
      <c r="L100" s="707"/>
      <c r="M100" s="707"/>
      <c r="N100" s="707"/>
      <c r="O100" s="707"/>
      <c r="P100" s="707"/>
      <c r="Q100" s="707"/>
      <c r="R100" s="707"/>
      <c r="S100" s="707"/>
      <c r="T100" s="707"/>
      <c r="U100" s="707"/>
      <c r="V100" s="782">
        <f t="shared" si="6"/>
        <v>0</v>
      </c>
      <c r="W100" s="707"/>
      <c r="X100" s="707"/>
      <c r="Y100" s="707"/>
      <c r="Z100" s="782"/>
      <c r="AA100" s="782"/>
      <c r="AB100" s="778"/>
      <c r="AC100" s="814"/>
      <c r="AD100" s="695" t="s">
        <v>3208</v>
      </c>
      <c r="AE100" s="780"/>
      <c r="AF100" s="781" t="e">
        <f t="shared" si="5"/>
        <v>#DIV/0!</v>
      </c>
    </row>
    <row r="101" spans="1:32" s="784" customFormat="1" ht="18" customHeight="1" x14ac:dyDescent="0.25">
      <c r="A101" s="749">
        <v>95</v>
      </c>
      <c r="B101" s="745"/>
      <c r="C101" s="746">
        <v>2026</v>
      </c>
      <c r="D101" s="685" t="s">
        <v>3165</v>
      </c>
      <c r="E101" s="689" t="s">
        <v>3166</v>
      </c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82">
        <f t="shared" si="6"/>
        <v>0</v>
      </c>
      <c r="W101" s="707"/>
      <c r="X101" s="707"/>
      <c r="Y101" s="707"/>
      <c r="Z101" s="782"/>
      <c r="AA101" s="782"/>
      <c r="AB101" s="778"/>
      <c r="AC101" s="814"/>
      <c r="AD101" s="695" t="s">
        <v>3242</v>
      </c>
      <c r="AE101" s="780"/>
      <c r="AF101" s="781" t="e">
        <f t="shared" si="5"/>
        <v>#DIV/0!</v>
      </c>
    </row>
    <row r="102" spans="1:32" s="784" customFormat="1" ht="18" customHeight="1" x14ac:dyDescent="0.25">
      <c r="A102" s="749">
        <v>96</v>
      </c>
      <c r="B102" s="745"/>
      <c r="C102" s="746">
        <v>2026</v>
      </c>
      <c r="D102" s="685" t="s">
        <v>3167</v>
      </c>
      <c r="E102" s="689" t="s">
        <v>3168</v>
      </c>
      <c r="F102" s="707"/>
      <c r="G102" s="707"/>
      <c r="H102" s="707"/>
      <c r="I102" s="707"/>
      <c r="J102" s="707"/>
      <c r="K102" s="707"/>
      <c r="L102" s="707"/>
      <c r="M102" s="707"/>
      <c r="N102" s="707"/>
      <c r="O102" s="707"/>
      <c r="P102" s="707"/>
      <c r="Q102" s="707"/>
      <c r="R102" s="707"/>
      <c r="S102" s="707"/>
      <c r="T102" s="707"/>
      <c r="U102" s="707"/>
      <c r="V102" s="782">
        <f t="shared" si="6"/>
        <v>0</v>
      </c>
      <c r="W102" s="707"/>
      <c r="X102" s="707"/>
      <c r="Y102" s="707"/>
      <c r="Z102" s="782"/>
      <c r="AA102" s="782"/>
      <c r="AB102" s="778"/>
      <c r="AC102" s="814"/>
      <c r="AD102" s="695" t="s">
        <v>2716</v>
      </c>
      <c r="AE102" s="780"/>
      <c r="AF102" s="781" t="e">
        <f t="shared" si="5"/>
        <v>#DIV/0!</v>
      </c>
    </row>
    <row r="103" spans="1:32" s="784" customFormat="1" ht="18" customHeight="1" x14ac:dyDescent="0.25">
      <c r="A103" s="749">
        <v>97</v>
      </c>
      <c r="B103" s="745"/>
      <c r="C103" s="746">
        <v>2026</v>
      </c>
      <c r="D103" s="685" t="s">
        <v>3169</v>
      </c>
      <c r="E103" s="689" t="s">
        <v>712</v>
      </c>
      <c r="F103" s="707"/>
      <c r="G103" s="707"/>
      <c r="H103" s="707"/>
      <c r="I103" s="707"/>
      <c r="J103" s="707"/>
      <c r="K103" s="707"/>
      <c r="L103" s="707"/>
      <c r="M103" s="707"/>
      <c r="N103" s="707"/>
      <c r="O103" s="707"/>
      <c r="P103" s="707"/>
      <c r="Q103" s="707"/>
      <c r="R103" s="707"/>
      <c r="S103" s="707"/>
      <c r="T103" s="707"/>
      <c r="U103" s="707"/>
      <c r="V103" s="782">
        <f t="shared" si="6"/>
        <v>0</v>
      </c>
      <c r="W103" s="707"/>
      <c r="X103" s="707"/>
      <c r="Y103" s="707"/>
      <c r="Z103" s="782"/>
      <c r="AA103" s="782"/>
      <c r="AB103" s="778"/>
      <c r="AC103" s="814"/>
      <c r="AD103" s="695" t="s">
        <v>3231</v>
      </c>
      <c r="AE103" s="780"/>
      <c r="AF103" s="781" t="e">
        <f t="shared" si="5"/>
        <v>#DIV/0!</v>
      </c>
    </row>
    <row r="104" spans="1:32" s="784" customFormat="1" ht="18" customHeight="1" x14ac:dyDescent="0.25">
      <c r="A104" s="749">
        <v>98</v>
      </c>
      <c r="B104" s="745"/>
      <c r="C104" s="746">
        <v>2026</v>
      </c>
      <c r="D104" s="685" t="s">
        <v>3170</v>
      </c>
      <c r="E104" s="689" t="s">
        <v>3171</v>
      </c>
      <c r="F104" s="707"/>
      <c r="G104" s="707"/>
      <c r="H104" s="707"/>
      <c r="I104" s="707"/>
      <c r="J104" s="707"/>
      <c r="K104" s="707"/>
      <c r="L104" s="707"/>
      <c r="M104" s="707"/>
      <c r="N104" s="707"/>
      <c r="O104" s="707"/>
      <c r="P104" s="707"/>
      <c r="Q104" s="707"/>
      <c r="R104" s="707"/>
      <c r="S104" s="707"/>
      <c r="T104" s="707"/>
      <c r="U104" s="707"/>
      <c r="V104" s="782">
        <f t="shared" si="6"/>
        <v>0</v>
      </c>
      <c r="W104" s="707"/>
      <c r="X104" s="707"/>
      <c r="Y104" s="707"/>
      <c r="Z104" s="782"/>
      <c r="AA104" s="782"/>
      <c r="AB104" s="778"/>
      <c r="AC104" s="814"/>
      <c r="AD104" s="695" t="s">
        <v>3206</v>
      </c>
      <c r="AE104" s="780"/>
      <c r="AF104" s="781" t="e">
        <f t="shared" si="5"/>
        <v>#DIV/0!</v>
      </c>
    </row>
    <row r="105" spans="1:32" s="784" customFormat="1" ht="18" customHeight="1" x14ac:dyDescent="0.25">
      <c r="A105" s="749">
        <v>99</v>
      </c>
      <c r="B105" s="745"/>
      <c r="C105" s="746">
        <v>2026</v>
      </c>
      <c r="D105" s="685" t="s">
        <v>3172</v>
      </c>
      <c r="E105" s="689" t="s">
        <v>3173</v>
      </c>
      <c r="F105" s="707"/>
      <c r="G105" s="707"/>
      <c r="H105" s="707"/>
      <c r="I105" s="707"/>
      <c r="J105" s="707"/>
      <c r="K105" s="707"/>
      <c r="L105" s="707"/>
      <c r="M105" s="707"/>
      <c r="N105" s="707"/>
      <c r="O105" s="707"/>
      <c r="P105" s="707"/>
      <c r="Q105" s="707"/>
      <c r="R105" s="707"/>
      <c r="S105" s="707"/>
      <c r="T105" s="707"/>
      <c r="U105" s="707"/>
      <c r="V105" s="782">
        <f t="shared" si="6"/>
        <v>0</v>
      </c>
      <c r="W105" s="707"/>
      <c r="X105" s="707"/>
      <c r="Y105" s="707"/>
      <c r="Z105" s="782"/>
      <c r="AA105" s="782"/>
      <c r="AB105" s="778"/>
      <c r="AC105" s="814"/>
      <c r="AD105" s="695" t="s">
        <v>3243</v>
      </c>
      <c r="AE105" s="780"/>
      <c r="AF105" s="781" t="e">
        <f t="shared" si="5"/>
        <v>#DIV/0!</v>
      </c>
    </row>
    <row r="106" spans="1:32" s="784" customFormat="1" ht="18" customHeight="1" x14ac:dyDescent="0.25">
      <c r="A106" s="749">
        <v>100</v>
      </c>
      <c r="B106" s="745"/>
      <c r="C106" s="746">
        <v>2026</v>
      </c>
      <c r="D106" s="685" t="s">
        <v>3174</v>
      </c>
      <c r="E106" s="689" t="s">
        <v>3100</v>
      </c>
      <c r="F106" s="707"/>
      <c r="G106" s="707"/>
      <c r="H106" s="707"/>
      <c r="I106" s="707"/>
      <c r="J106" s="707"/>
      <c r="K106" s="707"/>
      <c r="L106" s="707"/>
      <c r="M106" s="707"/>
      <c r="N106" s="707"/>
      <c r="O106" s="707"/>
      <c r="P106" s="707"/>
      <c r="Q106" s="707"/>
      <c r="R106" s="707"/>
      <c r="S106" s="707"/>
      <c r="T106" s="707"/>
      <c r="U106" s="707"/>
      <c r="V106" s="782">
        <f t="shared" si="6"/>
        <v>0</v>
      </c>
      <c r="W106" s="707"/>
      <c r="X106" s="707"/>
      <c r="Y106" s="707"/>
      <c r="Z106" s="782"/>
      <c r="AA106" s="782"/>
      <c r="AB106" s="778"/>
      <c r="AC106" s="814"/>
      <c r="AD106" s="695" t="s">
        <v>2741</v>
      </c>
      <c r="AE106" s="780"/>
      <c r="AF106" s="787" t="e">
        <f t="shared" si="5"/>
        <v>#DIV/0!</v>
      </c>
    </row>
    <row r="107" spans="1:32" s="784" customFormat="1" ht="18" customHeight="1" x14ac:dyDescent="0.25">
      <c r="A107" s="749">
        <v>101</v>
      </c>
      <c r="B107" s="745"/>
      <c r="C107" s="746">
        <v>2026</v>
      </c>
      <c r="D107" s="685" t="s">
        <v>3175</v>
      </c>
      <c r="E107" s="689" t="s">
        <v>3176</v>
      </c>
      <c r="F107" s="707"/>
      <c r="G107" s="707"/>
      <c r="H107" s="707"/>
      <c r="I107" s="707"/>
      <c r="J107" s="707"/>
      <c r="K107" s="707"/>
      <c r="L107" s="707"/>
      <c r="M107" s="707"/>
      <c r="N107" s="707"/>
      <c r="O107" s="707"/>
      <c r="P107" s="707"/>
      <c r="Q107" s="707"/>
      <c r="R107" s="707"/>
      <c r="S107" s="707"/>
      <c r="T107" s="707"/>
      <c r="U107" s="707"/>
      <c r="V107" s="782">
        <f t="shared" si="6"/>
        <v>0</v>
      </c>
      <c r="W107" s="707"/>
      <c r="X107" s="707"/>
      <c r="Y107" s="707"/>
      <c r="Z107" s="782"/>
      <c r="AA107" s="782"/>
      <c r="AB107" s="778"/>
      <c r="AC107" s="814"/>
      <c r="AD107" s="695" t="s">
        <v>3244</v>
      </c>
      <c r="AE107" s="780"/>
      <c r="AF107" s="781" t="e">
        <f t="shared" si="5"/>
        <v>#DIV/0!</v>
      </c>
    </row>
    <row r="108" spans="1:32" s="784" customFormat="1" ht="18" customHeight="1" x14ac:dyDescent="0.25">
      <c r="A108" s="749">
        <v>102</v>
      </c>
      <c r="B108" s="745"/>
      <c r="C108" s="746">
        <v>2026</v>
      </c>
      <c r="D108" s="685" t="s">
        <v>3177</v>
      </c>
      <c r="E108" s="689" t="s">
        <v>3178</v>
      </c>
      <c r="F108" s="707"/>
      <c r="G108" s="707"/>
      <c r="H108" s="707"/>
      <c r="I108" s="707"/>
      <c r="J108" s="707"/>
      <c r="K108" s="707"/>
      <c r="L108" s="707"/>
      <c r="M108" s="707"/>
      <c r="N108" s="707"/>
      <c r="O108" s="707"/>
      <c r="P108" s="707"/>
      <c r="Q108" s="707"/>
      <c r="R108" s="707"/>
      <c r="S108" s="707"/>
      <c r="T108" s="707"/>
      <c r="U108" s="707"/>
      <c r="V108" s="782">
        <f t="shared" si="6"/>
        <v>0</v>
      </c>
      <c r="W108" s="707"/>
      <c r="X108" s="707"/>
      <c r="Y108" s="707"/>
      <c r="Z108" s="782"/>
      <c r="AA108" s="782"/>
      <c r="AB108" s="778"/>
      <c r="AC108" s="814"/>
      <c r="AD108" s="695" t="s">
        <v>3006</v>
      </c>
      <c r="AE108" s="780"/>
      <c r="AF108" s="781" t="e">
        <f t="shared" si="5"/>
        <v>#DIV/0!</v>
      </c>
    </row>
    <row r="109" spans="1:32" s="784" customFormat="1" ht="18" customHeight="1" x14ac:dyDescent="0.25">
      <c r="A109" s="749">
        <v>103</v>
      </c>
      <c r="B109" s="745"/>
      <c r="C109" s="746">
        <v>2026</v>
      </c>
      <c r="D109" s="685" t="s">
        <v>3179</v>
      </c>
      <c r="E109" s="689" t="s">
        <v>3180</v>
      </c>
      <c r="F109" s="707"/>
      <c r="G109" s="707"/>
      <c r="H109" s="707"/>
      <c r="I109" s="707"/>
      <c r="J109" s="707"/>
      <c r="K109" s="707"/>
      <c r="L109" s="707"/>
      <c r="M109" s="707"/>
      <c r="N109" s="707"/>
      <c r="O109" s="707"/>
      <c r="P109" s="707"/>
      <c r="Q109" s="707"/>
      <c r="R109" s="707"/>
      <c r="S109" s="707"/>
      <c r="T109" s="707"/>
      <c r="U109" s="707"/>
      <c r="V109" s="782">
        <f t="shared" si="6"/>
        <v>0</v>
      </c>
      <c r="W109" s="707"/>
      <c r="X109" s="707"/>
      <c r="Y109" s="707"/>
      <c r="Z109" s="782"/>
      <c r="AA109" s="782"/>
      <c r="AB109" s="778"/>
      <c r="AC109" s="814"/>
      <c r="AD109" s="695" t="s">
        <v>3221</v>
      </c>
      <c r="AE109" s="780"/>
      <c r="AF109" s="781" t="e">
        <f t="shared" si="5"/>
        <v>#DIV/0!</v>
      </c>
    </row>
    <row r="110" spans="1:32" s="784" customFormat="1" ht="18" customHeight="1" x14ac:dyDescent="0.25">
      <c r="A110" s="749">
        <v>104</v>
      </c>
      <c r="B110" s="745"/>
      <c r="C110" s="746">
        <v>2026</v>
      </c>
      <c r="D110" s="685" t="s">
        <v>3181</v>
      </c>
      <c r="E110" s="689" t="s">
        <v>3182</v>
      </c>
      <c r="F110" s="707"/>
      <c r="G110" s="707"/>
      <c r="H110" s="707"/>
      <c r="I110" s="707"/>
      <c r="J110" s="707"/>
      <c r="K110" s="707"/>
      <c r="L110" s="707"/>
      <c r="M110" s="707"/>
      <c r="N110" s="707"/>
      <c r="O110" s="707"/>
      <c r="P110" s="707"/>
      <c r="Q110" s="707"/>
      <c r="R110" s="707"/>
      <c r="S110" s="707"/>
      <c r="T110" s="707"/>
      <c r="U110" s="707"/>
      <c r="V110" s="782">
        <f t="shared" si="6"/>
        <v>0</v>
      </c>
      <c r="W110" s="707"/>
      <c r="X110" s="707"/>
      <c r="Y110" s="707"/>
      <c r="Z110" s="782"/>
      <c r="AA110" s="782"/>
      <c r="AB110" s="778"/>
      <c r="AC110" s="814"/>
      <c r="AD110" s="695" t="s">
        <v>2537</v>
      </c>
      <c r="AE110" s="780"/>
      <c r="AF110" s="781" t="e">
        <f t="shared" si="5"/>
        <v>#DIV/0!</v>
      </c>
    </row>
    <row r="111" spans="1:32" s="784" customFormat="1" ht="18" customHeight="1" x14ac:dyDescent="0.25">
      <c r="A111" s="749">
        <v>105</v>
      </c>
      <c r="B111" s="745"/>
      <c r="C111" s="746">
        <v>2026</v>
      </c>
      <c r="D111" s="685" t="s">
        <v>3183</v>
      </c>
      <c r="E111" s="689" t="s">
        <v>3184</v>
      </c>
      <c r="F111" s="707"/>
      <c r="G111" s="707"/>
      <c r="H111" s="707"/>
      <c r="I111" s="707"/>
      <c r="J111" s="707"/>
      <c r="K111" s="707"/>
      <c r="L111" s="707"/>
      <c r="M111" s="707"/>
      <c r="N111" s="707"/>
      <c r="O111" s="707"/>
      <c r="P111" s="707"/>
      <c r="Q111" s="707"/>
      <c r="R111" s="707"/>
      <c r="S111" s="707"/>
      <c r="T111" s="707"/>
      <c r="U111" s="707"/>
      <c r="V111" s="782">
        <f t="shared" si="6"/>
        <v>0</v>
      </c>
      <c r="W111" s="707"/>
      <c r="X111" s="707"/>
      <c r="Y111" s="707"/>
      <c r="Z111" s="782"/>
      <c r="AA111" s="782"/>
      <c r="AB111" s="778"/>
      <c r="AC111" s="814"/>
      <c r="AD111" s="695" t="s">
        <v>3239</v>
      </c>
      <c r="AE111" s="780"/>
      <c r="AF111" s="781" t="e">
        <f t="shared" ref="AF111:AF118" si="7">AVERAGE(F111:U111)</f>
        <v>#DIV/0!</v>
      </c>
    </row>
    <row r="112" spans="1:32" s="784" customFormat="1" ht="18" customHeight="1" x14ac:dyDescent="0.25">
      <c r="A112" s="749">
        <v>106</v>
      </c>
      <c r="B112" s="745"/>
      <c r="C112" s="746">
        <v>2026</v>
      </c>
      <c r="D112" s="685" t="s">
        <v>3185</v>
      </c>
      <c r="E112" s="689" t="s">
        <v>3186</v>
      </c>
      <c r="F112" s="707"/>
      <c r="G112" s="707"/>
      <c r="H112" s="707"/>
      <c r="I112" s="707"/>
      <c r="J112" s="707"/>
      <c r="K112" s="707"/>
      <c r="L112" s="707"/>
      <c r="M112" s="707"/>
      <c r="N112" s="707"/>
      <c r="O112" s="707"/>
      <c r="P112" s="707"/>
      <c r="Q112" s="707"/>
      <c r="R112" s="707"/>
      <c r="S112" s="707"/>
      <c r="T112" s="707"/>
      <c r="U112" s="707"/>
      <c r="V112" s="782">
        <f t="shared" si="6"/>
        <v>0</v>
      </c>
      <c r="W112" s="707"/>
      <c r="X112" s="707"/>
      <c r="Y112" s="707"/>
      <c r="Z112" s="782"/>
      <c r="AA112" s="782"/>
      <c r="AB112" s="778"/>
      <c r="AC112" s="814"/>
      <c r="AD112" s="695" t="s">
        <v>3245</v>
      </c>
      <c r="AE112" s="780"/>
      <c r="AF112" s="781" t="e">
        <f t="shared" si="7"/>
        <v>#DIV/0!</v>
      </c>
    </row>
    <row r="113" spans="1:32" s="784" customFormat="1" ht="18" customHeight="1" x14ac:dyDescent="0.25">
      <c r="A113" s="749">
        <v>107</v>
      </c>
      <c r="B113" s="745"/>
      <c r="C113" s="746">
        <v>2026</v>
      </c>
      <c r="D113" s="685" t="s">
        <v>3187</v>
      </c>
      <c r="E113" s="689" t="s">
        <v>2821</v>
      </c>
      <c r="F113" s="707"/>
      <c r="G113" s="707"/>
      <c r="H113" s="707"/>
      <c r="I113" s="707"/>
      <c r="J113" s="707"/>
      <c r="K113" s="707"/>
      <c r="L113" s="707"/>
      <c r="M113" s="707"/>
      <c r="N113" s="707"/>
      <c r="O113" s="707"/>
      <c r="P113" s="707"/>
      <c r="Q113" s="707"/>
      <c r="R113" s="707"/>
      <c r="S113" s="707"/>
      <c r="T113" s="707"/>
      <c r="U113" s="707"/>
      <c r="V113" s="782">
        <f t="shared" si="6"/>
        <v>0</v>
      </c>
      <c r="W113" s="707"/>
      <c r="X113" s="707"/>
      <c r="Y113" s="707"/>
      <c r="Z113" s="782"/>
      <c r="AA113" s="782"/>
      <c r="AB113" s="778"/>
      <c r="AC113" s="814"/>
      <c r="AD113" s="695" t="s">
        <v>3246</v>
      </c>
      <c r="AE113" s="780"/>
      <c r="AF113" s="781" t="e">
        <f t="shared" si="7"/>
        <v>#DIV/0!</v>
      </c>
    </row>
    <row r="114" spans="1:32" s="784" customFormat="1" ht="18" customHeight="1" x14ac:dyDescent="0.25">
      <c r="A114" s="749">
        <v>108</v>
      </c>
      <c r="B114" s="745"/>
      <c r="C114" s="746">
        <v>2026</v>
      </c>
      <c r="D114" s="685" t="s">
        <v>3188</v>
      </c>
      <c r="E114" s="689" t="s">
        <v>3189</v>
      </c>
      <c r="F114" s="707"/>
      <c r="G114" s="707"/>
      <c r="H114" s="707"/>
      <c r="I114" s="707"/>
      <c r="J114" s="707"/>
      <c r="K114" s="707"/>
      <c r="L114" s="707"/>
      <c r="M114" s="707"/>
      <c r="N114" s="707"/>
      <c r="O114" s="707"/>
      <c r="P114" s="707"/>
      <c r="Q114" s="707"/>
      <c r="R114" s="707"/>
      <c r="S114" s="707"/>
      <c r="T114" s="707"/>
      <c r="U114" s="707"/>
      <c r="V114" s="782">
        <f t="shared" si="6"/>
        <v>0</v>
      </c>
      <c r="W114" s="707"/>
      <c r="X114" s="707"/>
      <c r="Y114" s="707"/>
      <c r="Z114" s="782"/>
      <c r="AA114" s="782"/>
      <c r="AB114" s="778"/>
      <c r="AC114" s="814"/>
      <c r="AD114" s="695" t="s">
        <v>3214</v>
      </c>
      <c r="AE114" s="780"/>
      <c r="AF114" s="781" t="e">
        <f t="shared" si="7"/>
        <v>#DIV/0!</v>
      </c>
    </row>
    <row r="115" spans="1:32" s="784" customFormat="1" ht="18" customHeight="1" x14ac:dyDescent="0.25">
      <c r="A115" s="749">
        <v>109</v>
      </c>
      <c r="B115" s="745"/>
      <c r="C115" s="746">
        <v>2026</v>
      </c>
      <c r="D115" s="685" t="s">
        <v>3190</v>
      </c>
      <c r="E115" s="689" t="s">
        <v>2606</v>
      </c>
      <c r="F115" s="707"/>
      <c r="G115" s="707"/>
      <c r="H115" s="707"/>
      <c r="I115" s="707"/>
      <c r="J115" s="707"/>
      <c r="K115" s="707"/>
      <c r="L115" s="707"/>
      <c r="M115" s="707"/>
      <c r="N115" s="707"/>
      <c r="O115" s="707"/>
      <c r="P115" s="707"/>
      <c r="Q115" s="707"/>
      <c r="R115" s="707"/>
      <c r="S115" s="707"/>
      <c r="T115" s="707"/>
      <c r="U115" s="707"/>
      <c r="V115" s="782">
        <f t="shared" si="6"/>
        <v>0</v>
      </c>
      <c r="W115" s="707"/>
      <c r="X115" s="707"/>
      <c r="Y115" s="707"/>
      <c r="Z115" s="782"/>
      <c r="AA115" s="782"/>
      <c r="AB115" s="778"/>
      <c r="AC115" s="814"/>
      <c r="AD115" s="695" t="s">
        <v>2699</v>
      </c>
      <c r="AE115" s="780"/>
      <c r="AF115" s="781" t="e">
        <f t="shared" si="7"/>
        <v>#DIV/0!</v>
      </c>
    </row>
    <row r="116" spans="1:32" s="784" customFormat="1" ht="18" customHeight="1" x14ac:dyDescent="0.25">
      <c r="A116" s="749">
        <v>110</v>
      </c>
      <c r="B116" s="745"/>
      <c r="C116" s="746">
        <v>2026</v>
      </c>
      <c r="D116" s="685" t="s">
        <v>3191</v>
      </c>
      <c r="E116" s="689" t="s">
        <v>2398</v>
      </c>
      <c r="F116" s="707"/>
      <c r="G116" s="707"/>
      <c r="H116" s="707"/>
      <c r="I116" s="707"/>
      <c r="J116" s="707"/>
      <c r="K116" s="707"/>
      <c r="L116" s="707"/>
      <c r="M116" s="707"/>
      <c r="N116" s="707"/>
      <c r="O116" s="707"/>
      <c r="P116" s="707"/>
      <c r="Q116" s="707"/>
      <c r="R116" s="707"/>
      <c r="S116" s="707"/>
      <c r="T116" s="707"/>
      <c r="U116" s="707"/>
      <c r="V116" s="782">
        <f t="shared" si="6"/>
        <v>0</v>
      </c>
      <c r="W116" s="707"/>
      <c r="X116" s="707"/>
      <c r="Y116" s="707"/>
      <c r="Z116" s="782"/>
      <c r="AA116" s="782"/>
      <c r="AB116" s="778"/>
      <c r="AC116" s="814"/>
      <c r="AD116" s="695" t="s">
        <v>3208</v>
      </c>
      <c r="AE116" s="780"/>
      <c r="AF116" s="781" t="e">
        <f t="shared" si="7"/>
        <v>#DIV/0!</v>
      </c>
    </row>
    <row r="117" spans="1:32" s="784" customFormat="1" ht="18" customHeight="1" x14ac:dyDescent="0.25">
      <c r="A117" s="749">
        <v>111</v>
      </c>
      <c r="B117" s="745"/>
      <c r="C117" s="746">
        <v>2026</v>
      </c>
      <c r="D117" s="685" t="s">
        <v>3192</v>
      </c>
      <c r="E117" s="689" t="s">
        <v>3193</v>
      </c>
      <c r="F117" s="707"/>
      <c r="G117" s="707"/>
      <c r="H117" s="707"/>
      <c r="I117" s="707"/>
      <c r="J117" s="707"/>
      <c r="K117" s="707"/>
      <c r="L117" s="707"/>
      <c r="M117" s="707"/>
      <c r="N117" s="707"/>
      <c r="O117" s="707"/>
      <c r="P117" s="707"/>
      <c r="Q117" s="707"/>
      <c r="R117" s="707"/>
      <c r="S117" s="707"/>
      <c r="T117" s="707"/>
      <c r="U117" s="707"/>
      <c r="V117" s="782">
        <f t="shared" si="6"/>
        <v>0</v>
      </c>
      <c r="W117" s="707"/>
      <c r="X117" s="707"/>
      <c r="Y117" s="707"/>
      <c r="Z117" s="782"/>
      <c r="AA117" s="782"/>
      <c r="AB117" s="778"/>
      <c r="AC117" s="814"/>
      <c r="AD117" s="695" t="s">
        <v>2720</v>
      </c>
      <c r="AE117" s="780"/>
      <c r="AF117" s="781" t="e">
        <f t="shared" si="7"/>
        <v>#DIV/0!</v>
      </c>
    </row>
    <row r="118" spans="1:32" s="784" customFormat="1" ht="18" customHeight="1" x14ac:dyDescent="0.25">
      <c r="A118" s="749">
        <v>112</v>
      </c>
      <c r="B118" s="745"/>
      <c r="C118" s="746">
        <v>2026</v>
      </c>
      <c r="D118" s="685" t="s">
        <v>3194</v>
      </c>
      <c r="E118" s="689" t="s">
        <v>3195</v>
      </c>
      <c r="F118" s="707"/>
      <c r="G118" s="707"/>
      <c r="H118" s="707"/>
      <c r="I118" s="707"/>
      <c r="J118" s="707"/>
      <c r="K118" s="707"/>
      <c r="L118" s="707"/>
      <c r="M118" s="707"/>
      <c r="N118" s="707"/>
      <c r="O118" s="707"/>
      <c r="P118" s="707"/>
      <c r="Q118" s="707"/>
      <c r="R118" s="707"/>
      <c r="S118" s="707"/>
      <c r="T118" s="707"/>
      <c r="U118" s="707"/>
      <c r="V118" s="782">
        <f t="shared" si="6"/>
        <v>0</v>
      </c>
      <c r="W118" s="707"/>
      <c r="X118" s="707"/>
      <c r="Y118" s="707"/>
      <c r="Z118" s="782"/>
      <c r="AA118" s="782"/>
      <c r="AB118" s="778"/>
      <c r="AC118" s="814"/>
      <c r="AD118" s="695" t="s">
        <v>3227</v>
      </c>
      <c r="AE118" s="780"/>
      <c r="AF118" s="781" t="e">
        <f t="shared" si="7"/>
        <v>#DIV/0!</v>
      </c>
    </row>
    <row r="119" spans="1:32" s="796" customFormat="1" ht="15" customHeight="1" thickBot="1" x14ac:dyDescent="0.35">
      <c r="A119" s="790"/>
      <c r="B119" s="791"/>
      <c r="C119" s="792"/>
      <c r="D119" s="815"/>
      <c r="E119" s="792"/>
      <c r="F119" s="709"/>
      <c r="G119" s="709"/>
      <c r="H119" s="709"/>
      <c r="I119" s="709"/>
      <c r="J119" s="709"/>
      <c r="K119" s="709"/>
      <c r="L119" s="709"/>
      <c r="M119" s="709"/>
      <c r="N119" s="709"/>
      <c r="O119" s="709"/>
      <c r="P119" s="709"/>
      <c r="Q119" s="710"/>
      <c r="R119" s="710"/>
      <c r="S119" s="710"/>
      <c r="T119" s="710"/>
      <c r="U119" s="710"/>
      <c r="V119" s="710"/>
      <c r="W119" s="710"/>
      <c r="X119" s="710"/>
      <c r="Y119" s="710"/>
      <c r="Z119" s="710"/>
      <c r="AA119" s="710"/>
      <c r="AB119" s="710"/>
      <c r="AC119" s="794"/>
      <c r="AD119" s="816"/>
      <c r="AE119" s="780"/>
    </row>
    <row r="120" spans="1:32" s="796" customFormat="1" ht="19.5" thickTop="1" x14ac:dyDescent="0.3">
      <c r="A120" s="797"/>
      <c r="B120" s="797"/>
      <c r="C120" s="797"/>
      <c r="E120" s="797"/>
      <c r="F120" s="797"/>
      <c r="G120" s="797"/>
      <c r="H120" s="797"/>
      <c r="I120" s="797"/>
      <c r="J120" s="797"/>
      <c r="K120" s="797"/>
      <c r="L120" s="797"/>
      <c r="M120" s="797"/>
      <c r="N120" s="797"/>
      <c r="O120" s="797"/>
      <c r="P120" s="797"/>
      <c r="Q120" s="798"/>
      <c r="R120" s="798"/>
      <c r="S120" s="798"/>
      <c r="T120" s="798"/>
      <c r="U120" s="798"/>
      <c r="V120" s="1071"/>
      <c r="W120" s="1071"/>
      <c r="X120" s="1071"/>
      <c r="Y120" s="797"/>
      <c r="Z120" s="797"/>
      <c r="AA120" s="797"/>
      <c r="AB120" s="797"/>
      <c r="AC120" s="799"/>
      <c r="AD120" s="797"/>
    </row>
    <row r="121" spans="1:32" s="796" customFormat="1" x14ac:dyDescent="0.3">
      <c r="A121" s="797"/>
      <c r="B121" s="797"/>
      <c r="C121" s="797"/>
      <c r="E121" s="797"/>
      <c r="F121" s="797"/>
      <c r="G121" s="797"/>
      <c r="H121" s="797"/>
      <c r="I121" s="797"/>
      <c r="J121" s="797"/>
      <c r="K121" s="797"/>
      <c r="L121" s="797"/>
      <c r="M121" s="797"/>
      <c r="N121" s="797"/>
      <c r="O121" s="797"/>
      <c r="P121" s="797"/>
      <c r="Q121" s="780"/>
      <c r="R121" s="780"/>
      <c r="S121" s="780"/>
      <c r="T121" s="780"/>
      <c r="U121" s="780"/>
      <c r="V121" s="800"/>
      <c r="W121" s="780"/>
      <c r="X121" s="780"/>
      <c r="Y121" s="797"/>
      <c r="Z121" s="797"/>
      <c r="AA121" s="797"/>
      <c r="AB121" s="797"/>
      <c r="AC121" s="799"/>
      <c r="AD121" s="797"/>
    </row>
    <row r="122" spans="1:32" s="802" customFormat="1" x14ac:dyDescent="0.3">
      <c r="A122" s="801"/>
      <c r="B122" s="801"/>
      <c r="C122" s="801"/>
      <c r="E122" s="801"/>
      <c r="F122" s="801"/>
      <c r="G122" s="801"/>
      <c r="H122" s="801"/>
      <c r="I122" s="801"/>
      <c r="J122" s="801"/>
      <c r="K122" s="801"/>
      <c r="L122" s="801"/>
      <c r="M122" s="801"/>
      <c r="N122" s="801"/>
      <c r="O122" s="801"/>
      <c r="P122" s="801"/>
      <c r="Q122" s="761"/>
      <c r="R122" s="761"/>
      <c r="S122" s="761"/>
      <c r="T122" s="761"/>
      <c r="U122" s="761"/>
      <c r="V122" s="817"/>
      <c r="W122" s="761"/>
      <c r="X122" s="761"/>
      <c r="Y122" s="801"/>
      <c r="Z122" s="801"/>
      <c r="AA122" s="801"/>
      <c r="AB122" s="804"/>
      <c r="AC122" s="805"/>
      <c r="AD122" s="801"/>
      <c r="AF122" s="796" t="s">
        <v>2293</v>
      </c>
    </row>
    <row r="123" spans="1:32" s="802" customFormat="1" x14ac:dyDescent="0.3">
      <c r="A123" s="801"/>
      <c r="B123" s="801"/>
      <c r="C123" s="801"/>
      <c r="E123" s="801"/>
      <c r="F123" s="801"/>
      <c r="G123" s="801"/>
      <c r="H123" s="801"/>
      <c r="I123" s="801"/>
      <c r="J123" s="801"/>
      <c r="K123" s="801"/>
      <c r="L123" s="801"/>
      <c r="M123" s="801"/>
      <c r="N123" s="801"/>
      <c r="O123" s="801"/>
      <c r="P123" s="801"/>
      <c r="Q123" s="1046"/>
      <c r="R123" s="1046"/>
      <c r="S123" s="1046"/>
      <c r="T123" s="1046"/>
      <c r="U123" s="1046"/>
      <c r="V123" s="1046"/>
      <c r="W123" s="1046"/>
      <c r="X123" s="1046"/>
      <c r="Y123" s="1046"/>
      <c r="Z123" s="1046"/>
      <c r="AA123" s="1046"/>
      <c r="AB123" s="1046"/>
      <c r="AC123" s="1046"/>
      <c r="AD123" s="1046"/>
      <c r="AF123" s="796"/>
    </row>
    <row r="124" spans="1:32" x14ac:dyDescent="0.3">
      <c r="A124" s="236"/>
      <c r="B124" s="4"/>
      <c r="C124" s="4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236"/>
      <c r="Q124" s="4"/>
      <c r="R124" s="4"/>
      <c r="S124" s="236"/>
      <c r="T124" s="236"/>
      <c r="U124" s="4"/>
      <c r="W124" s="20"/>
      <c r="X124" s="20"/>
      <c r="Y124" s="20"/>
      <c r="Z124" s="4"/>
      <c r="AA124" s="4"/>
      <c r="AB124" s="39"/>
      <c r="AC124" s="14"/>
      <c r="AD124" s="4"/>
    </row>
    <row r="125" spans="1:32" x14ac:dyDescent="0.3">
      <c r="A125" s="236"/>
      <c r="B125" s="4"/>
      <c r="C125" s="4"/>
      <c r="D125" s="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236"/>
      <c r="Q125" s="4"/>
      <c r="R125" s="4"/>
      <c r="S125" s="236"/>
      <c r="T125" s="236"/>
      <c r="U125" s="4"/>
      <c r="W125" s="20"/>
      <c r="X125" s="20"/>
      <c r="Y125" s="20"/>
      <c r="Z125" s="4"/>
      <c r="AA125" s="4"/>
      <c r="AB125" s="39"/>
      <c r="AC125" s="14"/>
      <c r="AD125" s="4"/>
    </row>
    <row r="126" spans="1:32" x14ac:dyDescent="0.3">
      <c r="A126" s="236"/>
      <c r="B126" s="4"/>
      <c r="C126" s="4"/>
      <c r="D126" s="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236"/>
      <c r="Q126" s="4"/>
      <c r="R126" s="4"/>
      <c r="S126" s="236"/>
      <c r="T126" s="236"/>
      <c r="U126" s="4"/>
      <c r="W126" s="20"/>
      <c r="X126" s="20"/>
      <c r="Y126" s="20"/>
      <c r="Z126" s="4"/>
      <c r="AA126" s="4"/>
      <c r="AB126" s="39"/>
      <c r="AC126" s="14"/>
      <c r="AD126" s="4"/>
    </row>
    <row r="127" spans="1:32" x14ac:dyDescent="0.3">
      <c r="A127" s="236"/>
      <c r="B127" s="4"/>
      <c r="C127" s="4"/>
      <c r="D127" s="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236"/>
      <c r="Q127" s="4"/>
      <c r="R127" s="4"/>
      <c r="S127" s="236"/>
      <c r="T127" s="236"/>
      <c r="U127" s="4"/>
      <c r="W127" s="20"/>
      <c r="X127" s="20"/>
      <c r="Y127" s="20"/>
      <c r="Z127" s="4"/>
      <c r="AA127" s="4"/>
      <c r="AB127" s="39"/>
      <c r="AC127" s="14"/>
      <c r="AD127" s="4"/>
    </row>
    <row r="128" spans="1:32" x14ac:dyDescent="0.3">
      <c r="A128" s="236"/>
      <c r="B128" s="4"/>
      <c r="C128" s="4"/>
      <c r="D128" s="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236"/>
      <c r="Q128" s="4"/>
      <c r="R128" s="4"/>
      <c r="S128" s="236"/>
      <c r="T128" s="236"/>
      <c r="U128" s="4"/>
      <c r="W128" s="20"/>
      <c r="X128" s="20"/>
      <c r="Y128" s="20"/>
      <c r="Z128" s="4"/>
      <c r="AA128" s="4"/>
      <c r="AB128" s="39"/>
      <c r="AC128" s="14"/>
      <c r="AD128" s="4"/>
    </row>
  </sheetData>
  <autoFilter ref="AF1:AF128"/>
  <mergeCells count="16">
    <mergeCell ref="A5:A6"/>
    <mergeCell ref="D5:D6"/>
    <mergeCell ref="B5:C6"/>
    <mergeCell ref="W5:Z5"/>
    <mergeCell ref="E5:E6"/>
    <mergeCell ref="F5:U5"/>
    <mergeCell ref="V5:V6"/>
    <mergeCell ref="E1:AD1"/>
    <mergeCell ref="Q123:AD123"/>
    <mergeCell ref="V120:X120"/>
    <mergeCell ref="AA5:AA6"/>
    <mergeCell ref="AD5:AD6"/>
    <mergeCell ref="E3:AD3"/>
    <mergeCell ref="AB5:AB6"/>
    <mergeCell ref="AC5:AC6"/>
    <mergeCell ref="F2:AD2"/>
  </mergeCells>
  <phoneticPr fontId="0" type="noConversion"/>
  <printOptions horizontalCentered="1"/>
  <pageMargins left="0.63" right="0.16" top="0.27" bottom="0.27" header="0.2" footer="0.2"/>
  <pageSetup scale="98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rgb="FF00FF00"/>
  </sheetPr>
  <dimension ref="A1:AF77"/>
  <sheetViews>
    <sheetView topLeftCell="A8" zoomScale="120" zoomScaleNormal="120" workbookViewId="0">
      <selection activeCell="AA9" sqref="AA9:AA66"/>
    </sheetView>
  </sheetViews>
  <sheetFormatPr defaultRowHeight="18.75" x14ac:dyDescent="0.3"/>
  <cols>
    <col min="1" max="1" width="3" style="1" customWidth="1"/>
    <col min="2" max="2" width="3.8984375" style="1" customWidth="1"/>
    <col min="3" max="3" width="4.296875" style="1" customWidth="1"/>
    <col min="4" max="4" width="16.796875" customWidth="1"/>
    <col min="5" max="5" width="8.296875" style="1" customWidth="1"/>
    <col min="6" max="18" width="2.796875" style="1" customWidth="1"/>
    <col min="19" max="19" width="4.3984375" style="25" customWidth="1"/>
    <col min="20" max="22" width="2.19921875" style="22" hidden="1" customWidth="1"/>
    <col min="23" max="24" width="3.3984375" style="1" hidden="1" customWidth="1"/>
    <col min="25" max="25" width="4" style="1" customWidth="1"/>
    <col min="26" max="26" width="4.3984375" style="15" hidden="1" customWidth="1"/>
    <col min="27" max="27" width="22.69921875" style="1" customWidth="1"/>
    <col min="28" max="28" width="1.19921875" customWidth="1"/>
    <col min="29" max="29" width="5.69921875" style="461" customWidth="1"/>
  </cols>
  <sheetData>
    <row r="1" spans="1:32" s="806" customFormat="1" ht="8.25" customHeight="1" x14ac:dyDescent="0.3">
      <c r="A1" s="807"/>
      <c r="B1" s="807"/>
      <c r="C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27"/>
      <c r="T1" s="807"/>
      <c r="U1" s="807"/>
      <c r="V1" s="807"/>
      <c r="W1" s="807"/>
      <c r="X1" s="807"/>
      <c r="Y1" s="807"/>
      <c r="Z1" s="808"/>
      <c r="AA1" s="807"/>
    </row>
    <row r="2" spans="1:32" s="780" customFormat="1" ht="15.75" x14ac:dyDescent="0.25">
      <c r="B2" s="991"/>
      <c r="C2" s="991"/>
      <c r="D2" s="991"/>
      <c r="E2" s="1071" t="s">
        <v>2237</v>
      </c>
      <c r="F2" s="1071"/>
      <c r="G2" s="1071"/>
      <c r="H2" s="1071"/>
      <c r="I2" s="1071"/>
      <c r="J2" s="1071"/>
      <c r="K2" s="1071"/>
      <c r="L2" s="1071"/>
      <c r="M2" s="1071"/>
      <c r="N2" s="1071"/>
      <c r="O2" s="1071"/>
      <c r="P2" s="1071"/>
      <c r="Q2" s="1071"/>
      <c r="R2" s="1071"/>
      <c r="S2" s="1071"/>
      <c r="T2" s="1071"/>
      <c r="U2" s="1071"/>
      <c r="V2" s="1071"/>
      <c r="W2" s="1071"/>
      <c r="X2" s="1071"/>
      <c r="Y2" s="1071"/>
      <c r="Z2" s="1071"/>
      <c r="AA2" s="1071"/>
    </row>
    <row r="3" spans="1:32" s="780" customFormat="1" ht="15.75" x14ac:dyDescent="0.25">
      <c r="B3" s="991"/>
      <c r="C3" s="991"/>
      <c r="D3" s="991"/>
      <c r="E3" s="1071" t="s">
        <v>2303</v>
      </c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1071"/>
      <c r="W3" s="1071"/>
      <c r="X3" s="1071"/>
      <c r="Y3" s="1071"/>
      <c r="Z3" s="1071"/>
      <c r="AA3" s="1071"/>
    </row>
    <row r="4" spans="1:32" s="780" customFormat="1" ht="15.75" hidden="1" x14ac:dyDescent="0.25">
      <c r="B4" s="992"/>
      <c r="C4" s="992"/>
      <c r="D4" s="992"/>
      <c r="E4" s="1076" t="s">
        <v>34</v>
      </c>
      <c r="F4" s="1076"/>
      <c r="G4" s="1076"/>
      <c r="H4" s="1076"/>
      <c r="I4" s="1076"/>
      <c r="J4" s="1076"/>
      <c r="K4" s="1076"/>
      <c r="L4" s="1076"/>
      <c r="M4" s="1076"/>
      <c r="N4" s="1076"/>
      <c r="O4" s="1076"/>
      <c r="P4" s="1076"/>
      <c r="Q4" s="1076"/>
      <c r="R4" s="1076"/>
      <c r="S4" s="1076"/>
      <c r="T4" s="1076"/>
      <c r="U4" s="1076"/>
      <c r="V4" s="1076"/>
      <c r="W4" s="1076"/>
      <c r="X4" s="1076"/>
      <c r="Y4" s="1076"/>
      <c r="Z4" s="1076"/>
      <c r="AA4" s="1076"/>
    </row>
    <row r="5" spans="1:32" s="780" customFormat="1" ht="15.75" customHeight="1" x14ac:dyDescent="0.25">
      <c r="B5" s="991"/>
      <c r="C5" s="991"/>
      <c r="D5" s="991"/>
      <c r="E5" s="1094" t="s">
        <v>2304</v>
      </c>
      <c r="F5" s="1094"/>
      <c r="G5" s="1094"/>
      <c r="H5" s="1094"/>
      <c r="I5" s="1094"/>
      <c r="J5" s="1094"/>
      <c r="K5" s="1094"/>
      <c r="L5" s="1094"/>
      <c r="M5" s="1094"/>
      <c r="N5" s="1094"/>
      <c r="O5" s="1094"/>
      <c r="P5" s="1094"/>
      <c r="Q5" s="1094"/>
      <c r="R5" s="1094"/>
      <c r="S5" s="1094"/>
      <c r="T5" s="1094"/>
      <c r="U5" s="1094"/>
      <c r="V5" s="1094"/>
      <c r="W5" s="1094"/>
      <c r="X5" s="1094"/>
      <c r="Y5" s="1094"/>
      <c r="Z5" s="1094"/>
      <c r="AA5" s="1094"/>
      <c r="AB5" s="1094"/>
      <c r="AC5" s="1094"/>
      <c r="AD5" s="1094"/>
      <c r="AE5" s="1094"/>
      <c r="AF5" s="1094"/>
    </row>
    <row r="6" spans="1:32" s="796" customFormat="1" ht="20.25" thickBot="1" x14ac:dyDescent="0.4">
      <c r="A6" s="879"/>
      <c r="B6" s="879"/>
      <c r="C6" s="879"/>
      <c r="D6" s="879"/>
      <c r="E6" s="879"/>
      <c r="F6" s="879"/>
      <c r="G6" s="879"/>
      <c r="H6" s="879"/>
      <c r="I6" s="879"/>
      <c r="J6" s="879"/>
      <c r="K6" s="879"/>
      <c r="L6" s="879"/>
      <c r="M6" s="879"/>
      <c r="N6" s="879"/>
      <c r="O6" s="879"/>
      <c r="P6" s="879"/>
      <c r="Q6" s="879"/>
      <c r="R6" s="879"/>
      <c r="S6" s="879"/>
      <c r="T6" s="879"/>
      <c r="U6" s="879"/>
      <c r="V6" s="879"/>
      <c r="W6" s="879"/>
      <c r="X6" s="879"/>
      <c r="Y6" s="879"/>
      <c r="Z6" s="879"/>
      <c r="AA6" s="879"/>
    </row>
    <row r="7" spans="1:32" s="780" customFormat="1" ht="23.25" customHeight="1" thickTop="1" x14ac:dyDescent="0.25">
      <c r="A7" s="1056" t="s">
        <v>91</v>
      </c>
      <c r="B7" s="1060" t="s">
        <v>2118</v>
      </c>
      <c r="C7" s="1061"/>
      <c r="D7" s="1058" t="s">
        <v>2119</v>
      </c>
      <c r="E7" s="1058" t="s">
        <v>2120</v>
      </c>
      <c r="F7" s="1053" t="s">
        <v>2133</v>
      </c>
      <c r="G7" s="1054"/>
      <c r="H7" s="1054"/>
      <c r="I7" s="1054"/>
      <c r="J7" s="1054"/>
      <c r="K7" s="1054"/>
      <c r="L7" s="1054"/>
      <c r="M7" s="1054"/>
      <c r="N7" s="1054"/>
      <c r="O7" s="1054"/>
      <c r="P7" s="1054"/>
      <c r="Q7" s="1054"/>
      <c r="R7" s="1055"/>
      <c r="S7" s="1069" t="s">
        <v>2107</v>
      </c>
      <c r="T7" s="1053" t="s">
        <v>104</v>
      </c>
      <c r="U7" s="1054"/>
      <c r="V7" s="1054"/>
      <c r="W7" s="1055"/>
      <c r="X7" s="1048" t="s">
        <v>99</v>
      </c>
      <c r="Y7" s="1048" t="s">
        <v>2108</v>
      </c>
      <c r="Z7" s="1048" t="s">
        <v>103</v>
      </c>
      <c r="AA7" s="1067" t="s">
        <v>2121</v>
      </c>
    </row>
    <row r="8" spans="1:32" s="780" customFormat="1" ht="180.75" customHeight="1" x14ac:dyDescent="0.25">
      <c r="A8" s="1057"/>
      <c r="B8" s="1062"/>
      <c r="C8" s="1063"/>
      <c r="D8" s="1059"/>
      <c r="E8" s="1059"/>
      <c r="F8" s="714" t="s">
        <v>2128</v>
      </c>
      <c r="G8" s="725" t="s">
        <v>2097</v>
      </c>
      <c r="H8" s="725" t="s">
        <v>2134</v>
      </c>
      <c r="I8" s="725" t="s">
        <v>2135</v>
      </c>
      <c r="J8" s="725" t="s">
        <v>2136</v>
      </c>
      <c r="K8" s="725" t="s">
        <v>2137</v>
      </c>
      <c r="L8" s="725" t="s">
        <v>2138</v>
      </c>
      <c r="M8" s="714" t="s">
        <v>2095</v>
      </c>
      <c r="N8" s="714" t="s">
        <v>2113</v>
      </c>
      <c r="O8" s="725" t="s">
        <v>2139</v>
      </c>
      <c r="P8" s="725" t="s">
        <v>2140</v>
      </c>
      <c r="Q8" s="725" t="s">
        <v>2141</v>
      </c>
      <c r="R8" s="727" t="s">
        <v>2142</v>
      </c>
      <c r="S8" s="1070"/>
      <c r="T8" s="718" t="s">
        <v>108</v>
      </c>
      <c r="U8" s="718" t="s">
        <v>97</v>
      </c>
      <c r="V8" s="718" t="s">
        <v>96</v>
      </c>
      <c r="W8" s="719" t="s">
        <v>98</v>
      </c>
      <c r="X8" s="1049"/>
      <c r="Y8" s="1049"/>
      <c r="Z8" s="1049"/>
      <c r="AA8" s="1068"/>
      <c r="AB8" s="880" t="s">
        <v>94</v>
      </c>
    </row>
    <row r="9" spans="1:32" s="784" customFormat="1" ht="18" customHeight="1" x14ac:dyDescent="0.25">
      <c r="A9" s="741">
        <v>1</v>
      </c>
      <c r="B9" s="742" t="s">
        <v>1808</v>
      </c>
      <c r="C9" s="743">
        <v>2026</v>
      </c>
      <c r="D9" s="690" t="s">
        <v>3247</v>
      </c>
      <c r="E9" s="687" t="s">
        <v>3248</v>
      </c>
      <c r="F9" s="705"/>
      <c r="G9" s="705"/>
      <c r="H9" s="705"/>
      <c r="I9" s="705"/>
      <c r="J9" s="705"/>
      <c r="K9" s="705"/>
      <c r="L9" s="705"/>
      <c r="M9" s="705"/>
      <c r="N9" s="705"/>
      <c r="O9" s="705"/>
      <c r="P9" s="705"/>
      <c r="Q9" s="705"/>
      <c r="R9" s="705"/>
      <c r="S9" s="776">
        <f>SUM(F9:R9)/13</f>
        <v>0</v>
      </c>
      <c r="T9" s="705"/>
      <c r="U9" s="705"/>
      <c r="V9" s="705"/>
      <c r="W9" s="776">
        <f>SUM(T9:V9)/3</f>
        <v>0</v>
      </c>
      <c r="X9" s="776">
        <f>SUM(S9+W9)/2</f>
        <v>0</v>
      </c>
      <c r="Y9" s="819"/>
      <c r="Z9" s="813"/>
      <c r="AA9" s="694" t="s">
        <v>2731</v>
      </c>
      <c r="AB9" s="829"/>
      <c r="AC9" s="781" t="e">
        <f t="shared" ref="AC9:AC66" si="0">AVERAGE(F9:R9)</f>
        <v>#DIV/0!</v>
      </c>
    </row>
    <row r="10" spans="1:32" s="784" customFormat="1" ht="18" customHeight="1" x14ac:dyDescent="0.25">
      <c r="A10" s="744">
        <v>2</v>
      </c>
      <c r="B10" s="745"/>
      <c r="C10" s="746">
        <v>2026</v>
      </c>
      <c r="D10" s="685" t="s">
        <v>3249</v>
      </c>
      <c r="E10" s="689" t="s">
        <v>3250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7"/>
      <c r="R10" s="707"/>
      <c r="S10" s="782">
        <f>SUM(F10:R10)/13</f>
        <v>0</v>
      </c>
      <c r="T10" s="707"/>
      <c r="U10" s="707"/>
      <c r="V10" s="707"/>
      <c r="W10" s="782">
        <f t="shared" ref="W10:W27" si="1">SUM(T10:V10)/3</f>
        <v>0</v>
      </c>
      <c r="X10" s="782">
        <f t="shared" ref="X10:X27" si="2">SUM(S10+W10)/2</f>
        <v>0</v>
      </c>
      <c r="Y10" s="778"/>
      <c r="Z10" s="814"/>
      <c r="AA10" s="695" t="s">
        <v>3208</v>
      </c>
      <c r="AB10" s="829"/>
      <c r="AC10" s="781" t="e">
        <f t="shared" si="0"/>
        <v>#DIV/0!</v>
      </c>
    </row>
    <row r="11" spans="1:32" s="784" customFormat="1" ht="18" customHeight="1" x14ac:dyDescent="0.25">
      <c r="A11" s="744">
        <v>3</v>
      </c>
      <c r="B11" s="745"/>
      <c r="C11" s="746">
        <v>2026</v>
      </c>
      <c r="D11" s="685" t="s">
        <v>3025</v>
      </c>
      <c r="E11" s="689" t="s">
        <v>3251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07"/>
      <c r="R11" s="707"/>
      <c r="S11" s="782">
        <f t="shared" ref="S11:S66" si="3">SUM(F11:R11)/13</f>
        <v>0</v>
      </c>
      <c r="T11" s="707"/>
      <c r="U11" s="707"/>
      <c r="V11" s="707"/>
      <c r="W11" s="782">
        <f t="shared" si="1"/>
        <v>0</v>
      </c>
      <c r="X11" s="782">
        <f t="shared" si="2"/>
        <v>0</v>
      </c>
      <c r="Y11" s="778"/>
      <c r="Z11" s="814"/>
      <c r="AA11" s="695" t="s">
        <v>3350</v>
      </c>
      <c r="AB11" s="829"/>
      <c r="AC11" s="781" t="e">
        <f t="shared" si="0"/>
        <v>#DIV/0!</v>
      </c>
    </row>
    <row r="12" spans="1:32" s="784" customFormat="1" ht="18" customHeight="1" x14ac:dyDescent="0.25">
      <c r="A12" s="744">
        <v>4</v>
      </c>
      <c r="B12" s="745"/>
      <c r="C12" s="746">
        <v>2026</v>
      </c>
      <c r="D12" s="685" t="s">
        <v>3252</v>
      </c>
      <c r="E12" s="689" t="s">
        <v>3253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07"/>
      <c r="R12" s="707"/>
      <c r="S12" s="782">
        <f t="shared" si="3"/>
        <v>0</v>
      </c>
      <c r="T12" s="707"/>
      <c r="U12" s="707"/>
      <c r="V12" s="707"/>
      <c r="W12" s="782">
        <f t="shared" si="1"/>
        <v>0</v>
      </c>
      <c r="X12" s="782">
        <f t="shared" si="2"/>
        <v>0</v>
      </c>
      <c r="Y12" s="778"/>
      <c r="Z12" s="814"/>
      <c r="AA12" s="695" t="s">
        <v>3351</v>
      </c>
      <c r="AB12" s="829"/>
      <c r="AC12" s="781" t="e">
        <f t="shared" si="0"/>
        <v>#DIV/0!</v>
      </c>
    </row>
    <row r="13" spans="1:32" s="784" customFormat="1" ht="18" customHeight="1" x14ac:dyDescent="0.25">
      <c r="A13" s="744">
        <v>5</v>
      </c>
      <c r="B13" s="745"/>
      <c r="C13" s="746">
        <v>2026</v>
      </c>
      <c r="D13" s="685" t="s">
        <v>3254</v>
      </c>
      <c r="E13" s="689" t="s">
        <v>3255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07"/>
      <c r="R13" s="707"/>
      <c r="S13" s="782">
        <f t="shared" si="3"/>
        <v>0</v>
      </c>
      <c r="T13" s="707"/>
      <c r="U13" s="707"/>
      <c r="V13" s="707"/>
      <c r="W13" s="782">
        <f t="shared" si="1"/>
        <v>0</v>
      </c>
      <c r="X13" s="782">
        <f t="shared" si="2"/>
        <v>0</v>
      </c>
      <c r="Y13" s="778"/>
      <c r="Z13" s="814"/>
      <c r="AA13" s="695" t="s">
        <v>2497</v>
      </c>
      <c r="AB13" s="829"/>
      <c r="AC13" s="781" t="e">
        <f t="shared" si="0"/>
        <v>#DIV/0!</v>
      </c>
    </row>
    <row r="14" spans="1:32" s="784" customFormat="1" ht="18" customHeight="1" x14ac:dyDescent="0.25">
      <c r="A14" s="744">
        <v>6</v>
      </c>
      <c r="B14" s="745"/>
      <c r="C14" s="746">
        <v>2026</v>
      </c>
      <c r="D14" s="685" t="s">
        <v>3256</v>
      </c>
      <c r="E14" s="689" t="s">
        <v>3257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07"/>
      <c r="S14" s="782">
        <f t="shared" si="3"/>
        <v>0</v>
      </c>
      <c r="T14" s="707"/>
      <c r="U14" s="707"/>
      <c r="V14" s="707"/>
      <c r="W14" s="782">
        <f t="shared" si="1"/>
        <v>0</v>
      </c>
      <c r="X14" s="782">
        <f t="shared" si="2"/>
        <v>0</v>
      </c>
      <c r="Y14" s="778"/>
      <c r="Z14" s="814"/>
      <c r="AA14" s="695" t="s">
        <v>2721</v>
      </c>
      <c r="AB14" s="829"/>
      <c r="AC14" s="781" t="e">
        <f t="shared" si="0"/>
        <v>#DIV/0!</v>
      </c>
    </row>
    <row r="15" spans="1:32" s="784" customFormat="1" ht="18" customHeight="1" x14ac:dyDescent="0.25">
      <c r="A15" s="744">
        <v>7</v>
      </c>
      <c r="B15" s="745"/>
      <c r="C15" s="746">
        <v>2026</v>
      </c>
      <c r="D15" s="685" t="s">
        <v>3258</v>
      </c>
      <c r="E15" s="689" t="s">
        <v>3259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07"/>
      <c r="R15" s="707"/>
      <c r="S15" s="782">
        <f t="shared" si="3"/>
        <v>0</v>
      </c>
      <c r="T15" s="707"/>
      <c r="U15" s="707"/>
      <c r="V15" s="707"/>
      <c r="W15" s="782">
        <f t="shared" si="1"/>
        <v>0</v>
      </c>
      <c r="X15" s="782">
        <f t="shared" si="2"/>
        <v>0</v>
      </c>
      <c r="Y15" s="778"/>
      <c r="Z15" s="814"/>
      <c r="AA15" s="695" t="s">
        <v>3215</v>
      </c>
      <c r="AB15" s="829"/>
      <c r="AC15" s="781" t="e">
        <f t="shared" si="0"/>
        <v>#DIV/0!</v>
      </c>
    </row>
    <row r="16" spans="1:32" s="784" customFormat="1" ht="18" customHeight="1" x14ac:dyDescent="0.25">
      <c r="A16" s="744">
        <v>8</v>
      </c>
      <c r="B16" s="745"/>
      <c r="C16" s="746">
        <v>2026</v>
      </c>
      <c r="D16" s="685" t="s">
        <v>3260</v>
      </c>
      <c r="E16" s="689" t="s">
        <v>3261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07"/>
      <c r="R16" s="707"/>
      <c r="S16" s="782">
        <f t="shared" si="3"/>
        <v>0</v>
      </c>
      <c r="T16" s="707"/>
      <c r="U16" s="707"/>
      <c r="V16" s="707"/>
      <c r="W16" s="782">
        <f t="shared" si="1"/>
        <v>0</v>
      </c>
      <c r="X16" s="782">
        <f t="shared" si="2"/>
        <v>0</v>
      </c>
      <c r="Y16" s="778"/>
      <c r="Z16" s="814"/>
      <c r="AA16" s="695" t="s">
        <v>2988</v>
      </c>
      <c r="AB16" s="829"/>
      <c r="AC16" s="781" t="e">
        <f t="shared" si="0"/>
        <v>#DIV/0!</v>
      </c>
    </row>
    <row r="17" spans="1:29" s="784" customFormat="1" ht="18" customHeight="1" x14ac:dyDescent="0.25">
      <c r="A17" s="744">
        <v>9</v>
      </c>
      <c r="B17" s="745"/>
      <c r="C17" s="746">
        <v>2026</v>
      </c>
      <c r="D17" s="685" t="s">
        <v>3262</v>
      </c>
      <c r="E17" s="689" t="s">
        <v>3263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07"/>
      <c r="S17" s="782">
        <f t="shared" si="3"/>
        <v>0</v>
      </c>
      <c r="T17" s="707"/>
      <c r="U17" s="707"/>
      <c r="V17" s="707"/>
      <c r="W17" s="782">
        <f t="shared" si="1"/>
        <v>0</v>
      </c>
      <c r="X17" s="782">
        <f t="shared" si="2"/>
        <v>0</v>
      </c>
      <c r="Y17" s="778"/>
      <c r="Z17" s="814"/>
      <c r="AA17" s="695" t="s">
        <v>2492</v>
      </c>
      <c r="AB17" s="829"/>
      <c r="AC17" s="781" t="e">
        <f t="shared" si="0"/>
        <v>#DIV/0!</v>
      </c>
    </row>
    <row r="18" spans="1:29" s="784" customFormat="1" ht="18" customHeight="1" x14ac:dyDescent="0.25">
      <c r="A18" s="744">
        <v>10</v>
      </c>
      <c r="B18" s="745"/>
      <c r="C18" s="746">
        <v>2026</v>
      </c>
      <c r="D18" s="685" t="s">
        <v>3264</v>
      </c>
      <c r="E18" s="689" t="s">
        <v>3265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07"/>
      <c r="R18" s="707"/>
      <c r="S18" s="782">
        <f t="shared" si="3"/>
        <v>0</v>
      </c>
      <c r="T18" s="707"/>
      <c r="U18" s="707"/>
      <c r="V18" s="707"/>
      <c r="W18" s="782">
        <f t="shared" si="1"/>
        <v>0</v>
      </c>
      <c r="X18" s="782">
        <f t="shared" si="2"/>
        <v>0</v>
      </c>
      <c r="Y18" s="778"/>
      <c r="Z18" s="814"/>
      <c r="AA18" s="695" t="s">
        <v>3352</v>
      </c>
      <c r="AB18" s="829"/>
      <c r="AC18" s="781" t="e">
        <f t="shared" si="0"/>
        <v>#DIV/0!</v>
      </c>
    </row>
    <row r="19" spans="1:29" s="784" customFormat="1" ht="18" customHeight="1" x14ac:dyDescent="0.25">
      <c r="A19" s="744">
        <v>11</v>
      </c>
      <c r="B19" s="745"/>
      <c r="C19" s="746">
        <v>2026</v>
      </c>
      <c r="D19" s="685" t="s">
        <v>3266</v>
      </c>
      <c r="E19" s="689" t="s">
        <v>3267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07"/>
      <c r="S19" s="782">
        <f t="shared" si="3"/>
        <v>0</v>
      </c>
      <c r="T19" s="707"/>
      <c r="U19" s="707"/>
      <c r="V19" s="707"/>
      <c r="W19" s="782">
        <f t="shared" si="1"/>
        <v>0</v>
      </c>
      <c r="X19" s="782">
        <f t="shared" si="2"/>
        <v>0</v>
      </c>
      <c r="Y19" s="778"/>
      <c r="Z19" s="814"/>
      <c r="AA19" s="695" t="s">
        <v>3353</v>
      </c>
      <c r="AB19" s="829"/>
      <c r="AC19" s="781" t="e">
        <f t="shared" si="0"/>
        <v>#DIV/0!</v>
      </c>
    </row>
    <row r="20" spans="1:29" s="784" customFormat="1" ht="18" customHeight="1" x14ac:dyDescent="0.25">
      <c r="A20" s="744">
        <v>12</v>
      </c>
      <c r="B20" s="745"/>
      <c r="C20" s="746">
        <v>2026</v>
      </c>
      <c r="D20" s="685" t="s">
        <v>3268</v>
      </c>
      <c r="E20" s="689" t="s">
        <v>2400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82">
        <f t="shared" si="3"/>
        <v>0</v>
      </c>
      <c r="T20" s="707"/>
      <c r="U20" s="707"/>
      <c r="V20" s="707"/>
      <c r="W20" s="782">
        <f t="shared" si="1"/>
        <v>0</v>
      </c>
      <c r="X20" s="782">
        <f t="shared" si="2"/>
        <v>0</v>
      </c>
      <c r="Y20" s="778"/>
      <c r="Z20" s="814"/>
      <c r="AA20" s="695" t="s">
        <v>2502</v>
      </c>
      <c r="AB20" s="829"/>
      <c r="AC20" s="781" t="e">
        <f t="shared" si="0"/>
        <v>#DIV/0!</v>
      </c>
    </row>
    <row r="21" spans="1:29" s="784" customFormat="1" ht="18" customHeight="1" x14ac:dyDescent="0.25">
      <c r="A21" s="744">
        <v>13</v>
      </c>
      <c r="B21" s="745"/>
      <c r="C21" s="746">
        <v>2026</v>
      </c>
      <c r="D21" s="685" t="s">
        <v>3269</v>
      </c>
      <c r="E21" s="689" t="s">
        <v>3270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07"/>
      <c r="R21" s="707"/>
      <c r="S21" s="782">
        <f t="shared" si="3"/>
        <v>0</v>
      </c>
      <c r="T21" s="707"/>
      <c r="U21" s="707"/>
      <c r="V21" s="707"/>
      <c r="W21" s="782">
        <f t="shared" si="1"/>
        <v>0</v>
      </c>
      <c r="X21" s="782">
        <f t="shared" si="2"/>
        <v>0</v>
      </c>
      <c r="Y21" s="778"/>
      <c r="Z21" s="814"/>
      <c r="AA21" s="695" t="s">
        <v>3354</v>
      </c>
      <c r="AB21" s="829"/>
      <c r="AC21" s="781" t="e">
        <f t="shared" si="0"/>
        <v>#DIV/0!</v>
      </c>
    </row>
    <row r="22" spans="1:29" s="784" customFormat="1" ht="18" customHeight="1" x14ac:dyDescent="0.25">
      <c r="A22" s="744">
        <v>14</v>
      </c>
      <c r="B22" s="745"/>
      <c r="C22" s="746">
        <v>2026</v>
      </c>
      <c r="D22" s="685" t="s">
        <v>3271</v>
      </c>
      <c r="E22" s="689" t="s">
        <v>3272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07"/>
      <c r="R22" s="707"/>
      <c r="S22" s="782">
        <f t="shared" si="3"/>
        <v>0</v>
      </c>
      <c r="T22" s="707"/>
      <c r="U22" s="707"/>
      <c r="V22" s="707"/>
      <c r="W22" s="782">
        <f t="shared" si="1"/>
        <v>0</v>
      </c>
      <c r="X22" s="782">
        <f t="shared" si="2"/>
        <v>0</v>
      </c>
      <c r="Y22" s="778"/>
      <c r="Z22" s="814"/>
      <c r="AA22" s="695" t="s">
        <v>3223</v>
      </c>
      <c r="AB22" s="829"/>
      <c r="AC22" s="781" t="e">
        <f t="shared" si="0"/>
        <v>#DIV/0!</v>
      </c>
    </row>
    <row r="23" spans="1:29" s="784" customFormat="1" ht="18" customHeight="1" x14ac:dyDescent="0.25">
      <c r="A23" s="744">
        <v>15</v>
      </c>
      <c r="B23" s="745"/>
      <c r="C23" s="746">
        <v>2026</v>
      </c>
      <c r="D23" s="685" t="s">
        <v>3273</v>
      </c>
      <c r="E23" s="689" t="s">
        <v>3274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07"/>
      <c r="R23" s="707"/>
      <c r="S23" s="782">
        <f t="shared" si="3"/>
        <v>0</v>
      </c>
      <c r="T23" s="707"/>
      <c r="U23" s="707"/>
      <c r="V23" s="707"/>
      <c r="W23" s="782">
        <f t="shared" si="1"/>
        <v>0</v>
      </c>
      <c r="X23" s="782">
        <f t="shared" si="2"/>
        <v>0</v>
      </c>
      <c r="Y23" s="778"/>
      <c r="Z23" s="814"/>
      <c r="AA23" s="695" t="s">
        <v>3355</v>
      </c>
      <c r="AB23" s="829"/>
      <c r="AC23" s="781" t="e">
        <f t="shared" si="0"/>
        <v>#DIV/0!</v>
      </c>
    </row>
    <row r="24" spans="1:29" s="784" customFormat="1" ht="18" customHeight="1" x14ac:dyDescent="0.25">
      <c r="A24" s="744">
        <v>16</v>
      </c>
      <c r="B24" s="745"/>
      <c r="C24" s="746">
        <v>2026</v>
      </c>
      <c r="D24" s="685" t="s">
        <v>3275</v>
      </c>
      <c r="E24" s="689" t="s">
        <v>3276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07"/>
      <c r="R24" s="707"/>
      <c r="S24" s="782">
        <f t="shared" si="3"/>
        <v>0</v>
      </c>
      <c r="T24" s="707"/>
      <c r="U24" s="707"/>
      <c r="V24" s="707"/>
      <c r="W24" s="782">
        <f t="shared" si="1"/>
        <v>0</v>
      </c>
      <c r="X24" s="782">
        <f t="shared" si="2"/>
        <v>0</v>
      </c>
      <c r="Y24" s="778"/>
      <c r="Z24" s="814"/>
      <c r="AA24" s="695" t="s">
        <v>3356</v>
      </c>
      <c r="AB24" s="829"/>
      <c r="AC24" s="781" t="e">
        <f t="shared" si="0"/>
        <v>#DIV/0!</v>
      </c>
    </row>
    <row r="25" spans="1:29" s="784" customFormat="1" ht="18" customHeight="1" x14ac:dyDescent="0.25">
      <c r="A25" s="744">
        <v>17</v>
      </c>
      <c r="B25" s="745"/>
      <c r="C25" s="746">
        <v>2026</v>
      </c>
      <c r="D25" s="685" t="s">
        <v>3277</v>
      </c>
      <c r="E25" s="689" t="s">
        <v>3278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07"/>
      <c r="R25" s="707"/>
      <c r="S25" s="782">
        <f t="shared" si="3"/>
        <v>0</v>
      </c>
      <c r="T25" s="707"/>
      <c r="U25" s="707"/>
      <c r="V25" s="707"/>
      <c r="W25" s="782">
        <f t="shared" si="1"/>
        <v>0</v>
      </c>
      <c r="X25" s="782">
        <f t="shared" si="2"/>
        <v>0</v>
      </c>
      <c r="Y25" s="778"/>
      <c r="Z25" s="814"/>
      <c r="AA25" s="695" t="s">
        <v>2716</v>
      </c>
      <c r="AB25" s="829"/>
      <c r="AC25" s="781" t="e">
        <f t="shared" si="0"/>
        <v>#DIV/0!</v>
      </c>
    </row>
    <row r="26" spans="1:29" s="784" customFormat="1" ht="18" customHeight="1" x14ac:dyDescent="0.25">
      <c r="A26" s="744">
        <v>18</v>
      </c>
      <c r="B26" s="745"/>
      <c r="C26" s="746">
        <v>2026</v>
      </c>
      <c r="D26" s="685" t="s">
        <v>3279</v>
      </c>
      <c r="E26" s="689" t="s">
        <v>3280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07"/>
      <c r="R26" s="707"/>
      <c r="S26" s="782">
        <f t="shared" si="3"/>
        <v>0</v>
      </c>
      <c r="T26" s="707"/>
      <c r="U26" s="707"/>
      <c r="V26" s="707"/>
      <c r="W26" s="782">
        <f t="shared" si="1"/>
        <v>0</v>
      </c>
      <c r="X26" s="782">
        <f t="shared" si="2"/>
        <v>0</v>
      </c>
      <c r="Y26" s="778"/>
      <c r="Z26" s="814"/>
      <c r="AA26" s="695" t="s">
        <v>3357</v>
      </c>
      <c r="AB26" s="829"/>
      <c r="AC26" s="781" t="e">
        <f t="shared" si="0"/>
        <v>#DIV/0!</v>
      </c>
    </row>
    <row r="27" spans="1:29" s="784" customFormat="1" ht="18" customHeight="1" x14ac:dyDescent="0.25">
      <c r="A27" s="744">
        <v>19</v>
      </c>
      <c r="B27" s="745"/>
      <c r="C27" s="746">
        <v>2026</v>
      </c>
      <c r="D27" s="685" t="s">
        <v>3281</v>
      </c>
      <c r="E27" s="689" t="s">
        <v>3282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07"/>
      <c r="R27" s="707"/>
      <c r="S27" s="782">
        <f t="shared" si="3"/>
        <v>0</v>
      </c>
      <c r="T27" s="707"/>
      <c r="U27" s="707"/>
      <c r="V27" s="707"/>
      <c r="W27" s="782">
        <f t="shared" si="1"/>
        <v>0</v>
      </c>
      <c r="X27" s="782">
        <f t="shared" si="2"/>
        <v>0</v>
      </c>
      <c r="Y27" s="778"/>
      <c r="Z27" s="814"/>
      <c r="AA27" s="695" t="s">
        <v>3358</v>
      </c>
      <c r="AB27" s="829"/>
      <c r="AC27" s="781" t="e">
        <f t="shared" si="0"/>
        <v>#DIV/0!</v>
      </c>
    </row>
    <row r="28" spans="1:29" s="784" customFormat="1" ht="18" customHeight="1" x14ac:dyDescent="0.25">
      <c r="A28" s="744">
        <v>20</v>
      </c>
      <c r="B28" s="745"/>
      <c r="C28" s="746">
        <v>2026</v>
      </c>
      <c r="D28" s="685" t="s">
        <v>2807</v>
      </c>
      <c r="E28" s="689" t="s">
        <v>3283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07"/>
      <c r="R28" s="707"/>
      <c r="S28" s="782">
        <f t="shared" si="3"/>
        <v>0</v>
      </c>
      <c r="T28" s="707"/>
      <c r="U28" s="707"/>
      <c r="V28" s="707"/>
      <c r="W28" s="782">
        <f>SUM(T28:V28)/3</f>
        <v>0</v>
      </c>
      <c r="X28" s="782">
        <f>SUM(S28+W28)/2</f>
        <v>0</v>
      </c>
      <c r="Y28" s="778"/>
      <c r="Z28" s="814"/>
      <c r="AA28" s="695" t="s">
        <v>2984</v>
      </c>
      <c r="AB28" s="829"/>
      <c r="AC28" s="781" t="e">
        <f t="shared" si="0"/>
        <v>#DIV/0!</v>
      </c>
    </row>
    <row r="29" spans="1:29" s="784" customFormat="1" ht="18" customHeight="1" x14ac:dyDescent="0.25">
      <c r="A29" s="744">
        <v>21</v>
      </c>
      <c r="B29" s="745"/>
      <c r="C29" s="746">
        <v>2026</v>
      </c>
      <c r="D29" s="685" t="s">
        <v>2395</v>
      </c>
      <c r="E29" s="689" t="s">
        <v>3284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07"/>
      <c r="R29" s="707"/>
      <c r="S29" s="782">
        <f t="shared" si="3"/>
        <v>0</v>
      </c>
      <c r="T29" s="707"/>
      <c r="U29" s="707"/>
      <c r="V29" s="707"/>
      <c r="W29" s="782">
        <f>SUM(T29:V29)/3</f>
        <v>0</v>
      </c>
      <c r="X29" s="782">
        <f>SUM(S29+W29)/2</f>
        <v>0</v>
      </c>
      <c r="Y29" s="778"/>
      <c r="Z29" s="814"/>
      <c r="AA29" s="695" t="s">
        <v>2700</v>
      </c>
      <c r="AB29" s="829"/>
      <c r="AC29" s="781" t="e">
        <f t="shared" si="0"/>
        <v>#DIV/0!</v>
      </c>
    </row>
    <row r="30" spans="1:29" s="784" customFormat="1" ht="18" customHeight="1" x14ac:dyDescent="0.25">
      <c r="A30" s="744">
        <v>22</v>
      </c>
      <c r="B30" s="745"/>
      <c r="C30" s="746">
        <v>2026</v>
      </c>
      <c r="D30" s="685" t="s">
        <v>2603</v>
      </c>
      <c r="E30" s="689" t="s">
        <v>3285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07"/>
      <c r="R30" s="707"/>
      <c r="S30" s="782">
        <f t="shared" si="3"/>
        <v>0</v>
      </c>
      <c r="T30" s="707"/>
      <c r="U30" s="707"/>
      <c r="V30" s="707"/>
      <c r="W30" s="782">
        <f t="shared" ref="W30:W57" si="4">SUM(T30:V30)/3</f>
        <v>0</v>
      </c>
      <c r="X30" s="782">
        <f t="shared" ref="X30:X57" si="5">SUM(S30+W30)/2</f>
        <v>0</v>
      </c>
      <c r="Y30" s="778"/>
      <c r="Z30" s="814"/>
      <c r="AA30" s="695" t="s">
        <v>2721</v>
      </c>
      <c r="AB30" s="829"/>
      <c r="AC30" s="781" t="e">
        <f t="shared" si="0"/>
        <v>#DIV/0!</v>
      </c>
    </row>
    <row r="31" spans="1:29" s="784" customFormat="1" ht="18" customHeight="1" x14ac:dyDescent="0.25">
      <c r="A31" s="744">
        <v>23</v>
      </c>
      <c r="B31" s="745"/>
      <c r="C31" s="746">
        <v>2026</v>
      </c>
      <c r="D31" s="685" t="s">
        <v>3286</v>
      </c>
      <c r="E31" s="689" t="s">
        <v>3287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07"/>
      <c r="R31" s="707"/>
      <c r="S31" s="782">
        <f t="shared" si="3"/>
        <v>0</v>
      </c>
      <c r="T31" s="707"/>
      <c r="U31" s="707"/>
      <c r="V31" s="707"/>
      <c r="W31" s="782">
        <f t="shared" si="4"/>
        <v>0</v>
      </c>
      <c r="X31" s="782">
        <f t="shared" si="5"/>
        <v>0</v>
      </c>
      <c r="Y31" s="778"/>
      <c r="Z31" s="814"/>
      <c r="AA31" s="695" t="s">
        <v>2723</v>
      </c>
      <c r="AB31" s="829"/>
      <c r="AC31" s="781" t="e">
        <f t="shared" si="0"/>
        <v>#DIV/0!</v>
      </c>
    </row>
    <row r="32" spans="1:29" s="784" customFormat="1" ht="18" customHeight="1" x14ac:dyDescent="0.25">
      <c r="A32" s="744">
        <v>24</v>
      </c>
      <c r="B32" s="745"/>
      <c r="C32" s="746">
        <v>2026</v>
      </c>
      <c r="D32" s="685" t="s">
        <v>3288</v>
      </c>
      <c r="E32" s="689" t="s">
        <v>3289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07"/>
      <c r="R32" s="707"/>
      <c r="S32" s="782">
        <f t="shared" si="3"/>
        <v>0</v>
      </c>
      <c r="T32" s="707"/>
      <c r="U32" s="707"/>
      <c r="V32" s="707"/>
      <c r="W32" s="782">
        <f t="shared" si="4"/>
        <v>0</v>
      </c>
      <c r="X32" s="782">
        <f t="shared" si="5"/>
        <v>0</v>
      </c>
      <c r="Y32" s="778"/>
      <c r="Z32" s="814"/>
      <c r="AA32" s="695" t="s">
        <v>2502</v>
      </c>
      <c r="AB32" s="829"/>
      <c r="AC32" s="781" t="e">
        <f t="shared" si="0"/>
        <v>#DIV/0!</v>
      </c>
    </row>
    <row r="33" spans="1:29" s="784" customFormat="1" ht="18" customHeight="1" x14ac:dyDescent="0.25">
      <c r="A33" s="744">
        <v>25</v>
      </c>
      <c r="B33" s="745"/>
      <c r="C33" s="746">
        <v>2026</v>
      </c>
      <c r="D33" s="685" t="s">
        <v>3290</v>
      </c>
      <c r="E33" s="689" t="s">
        <v>3291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07"/>
      <c r="S33" s="782">
        <f t="shared" si="3"/>
        <v>0</v>
      </c>
      <c r="T33" s="707"/>
      <c r="U33" s="707"/>
      <c r="V33" s="707"/>
      <c r="W33" s="782">
        <f t="shared" si="4"/>
        <v>0</v>
      </c>
      <c r="X33" s="782">
        <f t="shared" si="5"/>
        <v>0</v>
      </c>
      <c r="Y33" s="778"/>
      <c r="Z33" s="814"/>
      <c r="AA33" s="695" t="s">
        <v>3004</v>
      </c>
      <c r="AB33" s="829"/>
      <c r="AC33" s="781" t="e">
        <f t="shared" si="0"/>
        <v>#DIV/0!</v>
      </c>
    </row>
    <row r="34" spans="1:29" s="784" customFormat="1" ht="18" customHeight="1" x14ac:dyDescent="0.25">
      <c r="A34" s="744">
        <v>26</v>
      </c>
      <c r="B34" s="745"/>
      <c r="C34" s="746">
        <v>2026</v>
      </c>
      <c r="D34" s="685" t="s">
        <v>3292</v>
      </c>
      <c r="E34" s="689" t="s">
        <v>3293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82">
        <f t="shared" si="3"/>
        <v>0</v>
      </c>
      <c r="T34" s="707"/>
      <c r="U34" s="707"/>
      <c r="V34" s="707"/>
      <c r="W34" s="782">
        <f t="shared" si="4"/>
        <v>0</v>
      </c>
      <c r="X34" s="782">
        <f t="shared" si="5"/>
        <v>0</v>
      </c>
      <c r="Y34" s="778"/>
      <c r="Z34" s="814"/>
      <c r="AA34" s="695" t="s">
        <v>2970</v>
      </c>
      <c r="AB34" s="829"/>
      <c r="AC34" s="781" t="e">
        <f t="shared" si="0"/>
        <v>#DIV/0!</v>
      </c>
    </row>
    <row r="35" spans="1:29" s="784" customFormat="1" ht="18" customHeight="1" x14ac:dyDescent="0.25">
      <c r="A35" s="744">
        <v>27</v>
      </c>
      <c r="B35" s="745"/>
      <c r="C35" s="746">
        <v>2026</v>
      </c>
      <c r="D35" s="685" t="s">
        <v>2619</v>
      </c>
      <c r="E35" s="689" t="s">
        <v>3294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07"/>
      <c r="S35" s="782">
        <f t="shared" si="3"/>
        <v>0</v>
      </c>
      <c r="T35" s="707"/>
      <c r="U35" s="707"/>
      <c r="V35" s="707"/>
      <c r="W35" s="782">
        <f t="shared" si="4"/>
        <v>0</v>
      </c>
      <c r="X35" s="782">
        <f t="shared" si="5"/>
        <v>0</v>
      </c>
      <c r="Y35" s="778"/>
      <c r="Z35" s="814"/>
      <c r="AA35" s="695" t="s">
        <v>2497</v>
      </c>
      <c r="AB35" s="829"/>
      <c r="AC35" s="781" t="e">
        <f t="shared" si="0"/>
        <v>#DIV/0!</v>
      </c>
    </row>
    <row r="36" spans="1:29" s="784" customFormat="1" ht="18" customHeight="1" x14ac:dyDescent="0.25">
      <c r="A36" s="744">
        <v>28</v>
      </c>
      <c r="B36" s="745"/>
      <c r="C36" s="746">
        <v>2026</v>
      </c>
      <c r="D36" s="685" t="s">
        <v>3295</v>
      </c>
      <c r="E36" s="689" t="s">
        <v>3296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7"/>
      <c r="Q36" s="707"/>
      <c r="R36" s="707"/>
      <c r="S36" s="782">
        <f t="shared" si="3"/>
        <v>0</v>
      </c>
      <c r="T36" s="707"/>
      <c r="U36" s="707"/>
      <c r="V36" s="707"/>
      <c r="W36" s="782">
        <f t="shared" si="4"/>
        <v>0</v>
      </c>
      <c r="X36" s="782">
        <f t="shared" si="5"/>
        <v>0</v>
      </c>
      <c r="Y36" s="778"/>
      <c r="Z36" s="814"/>
      <c r="AA36" s="695" t="s">
        <v>2972</v>
      </c>
      <c r="AB36" s="829"/>
      <c r="AC36" s="781" t="e">
        <f t="shared" si="0"/>
        <v>#DIV/0!</v>
      </c>
    </row>
    <row r="37" spans="1:29" s="784" customFormat="1" ht="18" customHeight="1" x14ac:dyDescent="0.25">
      <c r="A37" s="744">
        <v>29</v>
      </c>
      <c r="B37" s="745"/>
      <c r="C37" s="746">
        <v>2026</v>
      </c>
      <c r="D37" s="685" t="s">
        <v>3297</v>
      </c>
      <c r="E37" s="689" t="s">
        <v>3298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7"/>
      <c r="Q37" s="707"/>
      <c r="R37" s="707"/>
      <c r="S37" s="782">
        <f t="shared" si="3"/>
        <v>0</v>
      </c>
      <c r="T37" s="707"/>
      <c r="U37" s="707"/>
      <c r="V37" s="707"/>
      <c r="W37" s="782">
        <f t="shared" si="4"/>
        <v>0</v>
      </c>
      <c r="X37" s="782">
        <f t="shared" si="5"/>
        <v>0</v>
      </c>
      <c r="Y37" s="778"/>
      <c r="Z37" s="814"/>
      <c r="AA37" s="695" t="s">
        <v>3359</v>
      </c>
      <c r="AB37" s="829"/>
      <c r="AC37" s="781" t="e">
        <f t="shared" si="0"/>
        <v>#DIV/0!</v>
      </c>
    </row>
    <row r="38" spans="1:29" s="784" customFormat="1" ht="18" customHeight="1" x14ac:dyDescent="0.25">
      <c r="A38" s="744">
        <v>30</v>
      </c>
      <c r="B38" s="745"/>
      <c r="C38" s="746">
        <v>2026</v>
      </c>
      <c r="D38" s="685" t="s">
        <v>3299</v>
      </c>
      <c r="E38" s="689" t="s">
        <v>3300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7"/>
      <c r="Q38" s="707"/>
      <c r="R38" s="707"/>
      <c r="S38" s="782">
        <f t="shared" si="3"/>
        <v>0</v>
      </c>
      <c r="T38" s="707"/>
      <c r="U38" s="707"/>
      <c r="V38" s="707"/>
      <c r="W38" s="782">
        <f t="shared" si="4"/>
        <v>0</v>
      </c>
      <c r="X38" s="782">
        <f t="shared" si="5"/>
        <v>0</v>
      </c>
      <c r="Y38" s="778"/>
      <c r="Z38" s="814"/>
      <c r="AA38" s="695" t="s">
        <v>3360</v>
      </c>
      <c r="AB38" s="829"/>
      <c r="AC38" s="781" t="e">
        <f t="shared" si="0"/>
        <v>#DIV/0!</v>
      </c>
    </row>
    <row r="39" spans="1:29" s="784" customFormat="1" ht="18" customHeight="1" x14ac:dyDescent="0.25">
      <c r="A39" s="744">
        <v>31</v>
      </c>
      <c r="B39" s="745"/>
      <c r="C39" s="746">
        <v>2026</v>
      </c>
      <c r="D39" s="685" t="s">
        <v>3301</v>
      </c>
      <c r="E39" s="689" t="s">
        <v>3302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82">
        <f t="shared" si="3"/>
        <v>0</v>
      </c>
      <c r="T39" s="707"/>
      <c r="U39" s="707"/>
      <c r="V39" s="707"/>
      <c r="W39" s="782">
        <f t="shared" si="4"/>
        <v>0</v>
      </c>
      <c r="X39" s="782">
        <f t="shared" si="5"/>
        <v>0</v>
      </c>
      <c r="Y39" s="778"/>
      <c r="Z39" s="814"/>
      <c r="AA39" s="695" t="s">
        <v>3361</v>
      </c>
      <c r="AB39" s="829"/>
      <c r="AC39" s="781" t="e">
        <f t="shared" si="0"/>
        <v>#DIV/0!</v>
      </c>
    </row>
    <row r="40" spans="1:29" s="784" customFormat="1" ht="18" customHeight="1" x14ac:dyDescent="0.25">
      <c r="A40" s="744">
        <v>32</v>
      </c>
      <c r="B40" s="745"/>
      <c r="C40" s="746">
        <v>2026</v>
      </c>
      <c r="D40" s="685" t="s">
        <v>3303</v>
      </c>
      <c r="E40" s="689" t="s">
        <v>3304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07"/>
      <c r="R40" s="707"/>
      <c r="S40" s="782">
        <f t="shared" si="3"/>
        <v>0</v>
      </c>
      <c r="T40" s="707"/>
      <c r="U40" s="707"/>
      <c r="V40" s="707"/>
      <c r="W40" s="782">
        <f t="shared" si="4"/>
        <v>0</v>
      </c>
      <c r="X40" s="782">
        <f t="shared" si="5"/>
        <v>0</v>
      </c>
      <c r="Y40" s="778"/>
      <c r="Z40" s="814"/>
      <c r="AA40" s="695" t="s">
        <v>2731</v>
      </c>
      <c r="AB40" s="829"/>
      <c r="AC40" s="781" t="e">
        <f t="shared" si="0"/>
        <v>#DIV/0!</v>
      </c>
    </row>
    <row r="41" spans="1:29" s="784" customFormat="1" ht="18" customHeight="1" x14ac:dyDescent="0.25">
      <c r="A41" s="744">
        <v>33</v>
      </c>
      <c r="B41" s="745"/>
      <c r="C41" s="746">
        <v>2026</v>
      </c>
      <c r="D41" s="685" t="s">
        <v>3305</v>
      </c>
      <c r="E41" s="689" t="s">
        <v>3306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07"/>
      <c r="R41" s="707"/>
      <c r="S41" s="782">
        <f t="shared" si="3"/>
        <v>0</v>
      </c>
      <c r="T41" s="707"/>
      <c r="U41" s="707"/>
      <c r="V41" s="707"/>
      <c r="W41" s="782">
        <f t="shared" si="4"/>
        <v>0</v>
      </c>
      <c r="X41" s="782">
        <f t="shared" si="5"/>
        <v>0</v>
      </c>
      <c r="Y41" s="778"/>
      <c r="Z41" s="814"/>
      <c r="AA41" s="695" t="s">
        <v>2242</v>
      </c>
      <c r="AB41" s="829"/>
      <c r="AC41" s="781" t="e">
        <f t="shared" si="0"/>
        <v>#DIV/0!</v>
      </c>
    </row>
    <row r="42" spans="1:29" s="784" customFormat="1" ht="18" customHeight="1" x14ac:dyDescent="0.25">
      <c r="A42" s="744">
        <v>34</v>
      </c>
      <c r="B42" s="745"/>
      <c r="C42" s="746">
        <v>2026</v>
      </c>
      <c r="D42" s="685" t="s">
        <v>3307</v>
      </c>
      <c r="E42" s="689" t="s">
        <v>3308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07"/>
      <c r="R42" s="707"/>
      <c r="S42" s="782">
        <f t="shared" si="3"/>
        <v>0</v>
      </c>
      <c r="T42" s="707"/>
      <c r="U42" s="707"/>
      <c r="V42" s="707"/>
      <c r="W42" s="782">
        <f t="shared" si="4"/>
        <v>0</v>
      </c>
      <c r="X42" s="782">
        <f t="shared" si="5"/>
        <v>0</v>
      </c>
      <c r="Y42" s="778"/>
      <c r="Z42" s="814"/>
      <c r="AA42" s="695" t="s">
        <v>3223</v>
      </c>
      <c r="AB42" s="829"/>
      <c r="AC42" s="781" t="e">
        <f t="shared" si="0"/>
        <v>#DIV/0!</v>
      </c>
    </row>
    <row r="43" spans="1:29" s="784" customFormat="1" ht="18" customHeight="1" x14ac:dyDescent="0.25">
      <c r="A43" s="744">
        <v>35</v>
      </c>
      <c r="B43" s="745"/>
      <c r="C43" s="746">
        <v>2026</v>
      </c>
      <c r="D43" s="685" t="s">
        <v>3309</v>
      </c>
      <c r="E43" s="689" t="s">
        <v>3310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07"/>
      <c r="R43" s="707"/>
      <c r="S43" s="782">
        <f t="shared" si="3"/>
        <v>0</v>
      </c>
      <c r="T43" s="707"/>
      <c r="U43" s="707"/>
      <c r="V43" s="707"/>
      <c r="W43" s="782"/>
      <c r="X43" s="782"/>
      <c r="Y43" s="778"/>
      <c r="Z43" s="814"/>
      <c r="AA43" s="695" t="s">
        <v>2516</v>
      </c>
      <c r="AB43" s="829"/>
      <c r="AC43" s="781" t="e">
        <f t="shared" si="0"/>
        <v>#DIV/0!</v>
      </c>
    </row>
    <row r="44" spans="1:29" s="784" customFormat="1" ht="18" customHeight="1" x14ac:dyDescent="0.25">
      <c r="A44" s="744">
        <v>36</v>
      </c>
      <c r="B44" s="745"/>
      <c r="C44" s="746">
        <v>2026</v>
      </c>
      <c r="D44" s="685" t="s">
        <v>3311</v>
      </c>
      <c r="E44" s="689" t="s">
        <v>3312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07"/>
      <c r="S44" s="782">
        <f t="shared" si="3"/>
        <v>0</v>
      </c>
      <c r="T44" s="707"/>
      <c r="U44" s="707"/>
      <c r="V44" s="707"/>
      <c r="W44" s="782"/>
      <c r="X44" s="782"/>
      <c r="Y44" s="778"/>
      <c r="Z44" s="814"/>
      <c r="AA44" s="695" t="s">
        <v>2721</v>
      </c>
      <c r="AB44" s="829"/>
      <c r="AC44" s="781" t="e">
        <f t="shared" si="0"/>
        <v>#DIV/0!</v>
      </c>
    </row>
    <row r="45" spans="1:29" s="784" customFormat="1" ht="18" customHeight="1" x14ac:dyDescent="0.25">
      <c r="A45" s="744">
        <v>37</v>
      </c>
      <c r="B45" s="745"/>
      <c r="C45" s="746">
        <v>2026</v>
      </c>
      <c r="D45" s="685" t="s">
        <v>3313</v>
      </c>
      <c r="E45" s="689" t="s">
        <v>3314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07"/>
      <c r="R45" s="707"/>
      <c r="S45" s="782">
        <f t="shared" si="3"/>
        <v>0</v>
      </c>
      <c r="T45" s="707"/>
      <c r="U45" s="707"/>
      <c r="V45" s="707"/>
      <c r="W45" s="782"/>
      <c r="X45" s="782"/>
      <c r="Y45" s="778"/>
      <c r="Z45" s="814"/>
      <c r="AA45" s="695" t="s">
        <v>3362</v>
      </c>
      <c r="AB45" s="829"/>
      <c r="AC45" s="781" t="e">
        <f t="shared" si="0"/>
        <v>#DIV/0!</v>
      </c>
    </row>
    <row r="46" spans="1:29" s="784" customFormat="1" ht="18" customHeight="1" x14ac:dyDescent="0.25">
      <c r="A46" s="744">
        <v>38</v>
      </c>
      <c r="B46" s="745"/>
      <c r="C46" s="746">
        <v>2026</v>
      </c>
      <c r="D46" s="685" t="s">
        <v>3315</v>
      </c>
      <c r="E46" s="689" t="s">
        <v>3316</v>
      </c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82">
        <f t="shared" si="3"/>
        <v>0</v>
      </c>
      <c r="T46" s="707"/>
      <c r="U46" s="707"/>
      <c r="V46" s="707"/>
      <c r="W46" s="782"/>
      <c r="X46" s="782"/>
      <c r="Y46" s="778"/>
      <c r="Z46" s="814"/>
      <c r="AA46" s="695" t="s">
        <v>3003</v>
      </c>
      <c r="AB46" s="829"/>
      <c r="AC46" s="781" t="e">
        <f t="shared" si="0"/>
        <v>#DIV/0!</v>
      </c>
    </row>
    <row r="47" spans="1:29" s="784" customFormat="1" ht="18" customHeight="1" x14ac:dyDescent="0.25">
      <c r="A47" s="744">
        <v>39</v>
      </c>
      <c r="B47" s="745"/>
      <c r="C47" s="746">
        <v>2026</v>
      </c>
      <c r="D47" s="685" t="s">
        <v>3317</v>
      </c>
      <c r="E47" s="689" t="s">
        <v>3318</v>
      </c>
      <c r="F47" s="707"/>
      <c r="G47" s="707"/>
      <c r="H47" s="707"/>
      <c r="I47" s="707"/>
      <c r="J47" s="707"/>
      <c r="K47" s="707"/>
      <c r="L47" s="707"/>
      <c r="M47" s="707"/>
      <c r="N47" s="707"/>
      <c r="O47" s="707"/>
      <c r="P47" s="707"/>
      <c r="Q47" s="707"/>
      <c r="R47" s="707"/>
      <c r="S47" s="782">
        <f t="shared" si="3"/>
        <v>0</v>
      </c>
      <c r="T47" s="707"/>
      <c r="U47" s="707"/>
      <c r="V47" s="707"/>
      <c r="W47" s="782"/>
      <c r="X47" s="782"/>
      <c r="Y47" s="778"/>
      <c r="Z47" s="814"/>
      <c r="AA47" s="695" t="s">
        <v>2999</v>
      </c>
      <c r="AB47" s="829"/>
      <c r="AC47" s="781" t="e">
        <f t="shared" si="0"/>
        <v>#DIV/0!</v>
      </c>
    </row>
    <row r="48" spans="1:29" s="784" customFormat="1" ht="18" customHeight="1" x14ac:dyDescent="0.25">
      <c r="A48" s="744">
        <v>40</v>
      </c>
      <c r="B48" s="745"/>
      <c r="C48" s="746">
        <v>2026</v>
      </c>
      <c r="D48" s="685" t="s">
        <v>3319</v>
      </c>
      <c r="E48" s="689" t="s">
        <v>3320</v>
      </c>
      <c r="F48" s="707"/>
      <c r="G48" s="707"/>
      <c r="H48" s="707"/>
      <c r="I48" s="707"/>
      <c r="J48" s="707"/>
      <c r="K48" s="707"/>
      <c r="L48" s="707"/>
      <c r="M48" s="707"/>
      <c r="N48" s="707"/>
      <c r="O48" s="707"/>
      <c r="P48" s="707"/>
      <c r="Q48" s="707"/>
      <c r="R48" s="707"/>
      <c r="S48" s="782">
        <f t="shared" si="3"/>
        <v>0</v>
      </c>
      <c r="T48" s="707"/>
      <c r="U48" s="707"/>
      <c r="V48" s="707"/>
      <c r="W48" s="782"/>
      <c r="X48" s="782"/>
      <c r="Y48" s="778"/>
      <c r="Z48" s="814"/>
      <c r="AA48" s="695" t="s">
        <v>2516</v>
      </c>
      <c r="AB48" s="829"/>
      <c r="AC48" s="781" t="e">
        <f t="shared" si="0"/>
        <v>#DIV/0!</v>
      </c>
    </row>
    <row r="49" spans="1:29" s="784" customFormat="1" ht="18" customHeight="1" x14ac:dyDescent="0.25">
      <c r="A49" s="744">
        <v>41</v>
      </c>
      <c r="B49" s="745"/>
      <c r="C49" s="746">
        <v>2026</v>
      </c>
      <c r="D49" s="685" t="s">
        <v>3321</v>
      </c>
      <c r="E49" s="689" t="s">
        <v>3322</v>
      </c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82">
        <f t="shared" si="3"/>
        <v>0</v>
      </c>
      <c r="T49" s="707"/>
      <c r="U49" s="707"/>
      <c r="V49" s="707"/>
      <c r="W49" s="782"/>
      <c r="X49" s="782"/>
      <c r="Y49" s="778"/>
      <c r="Z49" s="814"/>
      <c r="AA49" s="695" t="s">
        <v>3363</v>
      </c>
      <c r="AB49" s="829"/>
      <c r="AC49" s="781" t="e">
        <f t="shared" si="0"/>
        <v>#DIV/0!</v>
      </c>
    </row>
    <row r="50" spans="1:29" s="784" customFormat="1" ht="18" customHeight="1" x14ac:dyDescent="0.25">
      <c r="A50" s="744">
        <v>42</v>
      </c>
      <c r="B50" s="745"/>
      <c r="C50" s="746">
        <v>2026</v>
      </c>
      <c r="D50" s="685" t="s">
        <v>3323</v>
      </c>
      <c r="E50" s="689" t="s">
        <v>3324</v>
      </c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07"/>
      <c r="R50" s="707"/>
      <c r="S50" s="782">
        <f t="shared" si="3"/>
        <v>0</v>
      </c>
      <c r="T50" s="707"/>
      <c r="U50" s="707"/>
      <c r="V50" s="707"/>
      <c r="W50" s="782"/>
      <c r="X50" s="782"/>
      <c r="Y50" s="778"/>
      <c r="Z50" s="814"/>
      <c r="AA50" s="695" t="s">
        <v>3364</v>
      </c>
      <c r="AB50" s="829"/>
      <c r="AC50" s="781" t="e">
        <f t="shared" si="0"/>
        <v>#DIV/0!</v>
      </c>
    </row>
    <row r="51" spans="1:29" s="784" customFormat="1" ht="18" customHeight="1" x14ac:dyDescent="0.25">
      <c r="A51" s="744">
        <v>43</v>
      </c>
      <c r="B51" s="745"/>
      <c r="C51" s="746">
        <v>2026</v>
      </c>
      <c r="D51" s="685" t="s">
        <v>2432</v>
      </c>
      <c r="E51" s="689" t="s">
        <v>3325</v>
      </c>
      <c r="F51" s="707"/>
      <c r="G51" s="707"/>
      <c r="H51" s="707"/>
      <c r="I51" s="707"/>
      <c r="J51" s="707"/>
      <c r="K51" s="707"/>
      <c r="L51" s="707"/>
      <c r="M51" s="707"/>
      <c r="N51" s="707"/>
      <c r="O51" s="707"/>
      <c r="P51" s="707"/>
      <c r="Q51" s="707"/>
      <c r="R51" s="707"/>
      <c r="S51" s="782">
        <f t="shared" si="3"/>
        <v>0</v>
      </c>
      <c r="T51" s="707"/>
      <c r="U51" s="707"/>
      <c r="V51" s="707"/>
      <c r="W51" s="782"/>
      <c r="X51" s="782"/>
      <c r="Y51" s="778"/>
      <c r="Z51" s="814"/>
      <c r="AA51" s="695" t="s">
        <v>2508</v>
      </c>
      <c r="AB51" s="829"/>
      <c r="AC51" s="781" t="e">
        <f t="shared" si="0"/>
        <v>#DIV/0!</v>
      </c>
    </row>
    <row r="52" spans="1:29" s="784" customFormat="1" ht="18" customHeight="1" x14ac:dyDescent="0.25">
      <c r="A52" s="744">
        <v>44</v>
      </c>
      <c r="B52" s="745"/>
      <c r="C52" s="746">
        <v>2026</v>
      </c>
      <c r="D52" s="685" t="s">
        <v>3326</v>
      </c>
      <c r="E52" s="689" t="s">
        <v>3327</v>
      </c>
      <c r="F52" s="707"/>
      <c r="G52" s="707"/>
      <c r="H52" s="707"/>
      <c r="I52" s="707"/>
      <c r="J52" s="707"/>
      <c r="K52" s="707"/>
      <c r="L52" s="707"/>
      <c r="M52" s="707"/>
      <c r="N52" s="707"/>
      <c r="O52" s="707"/>
      <c r="P52" s="707"/>
      <c r="Q52" s="707"/>
      <c r="R52" s="707"/>
      <c r="S52" s="782">
        <f t="shared" si="3"/>
        <v>0</v>
      </c>
      <c r="T52" s="707"/>
      <c r="U52" s="707"/>
      <c r="V52" s="707"/>
      <c r="W52" s="782"/>
      <c r="X52" s="782"/>
      <c r="Y52" s="778"/>
      <c r="Z52" s="814"/>
      <c r="AA52" s="695" t="s">
        <v>3365</v>
      </c>
      <c r="AB52" s="829"/>
      <c r="AC52" s="781" t="e">
        <f t="shared" si="0"/>
        <v>#DIV/0!</v>
      </c>
    </row>
    <row r="53" spans="1:29" s="784" customFormat="1" ht="18" customHeight="1" x14ac:dyDescent="0.25">
      <c r="A53" s="744">
        <v>45</v>
      </c>
      <c r="B53" s="745"/>
      <c r="C53" s="746">
        <v>2026</v>
      </c>
      <c r="D53" s="685" t="s">
        <v>3328</v>
      </c>
      <c r="E53" s="689" t="s">
        <v>3329</v>
      </c>
      <c r="F53" s="707"/>
      <c r="G53" s="707"/>
      <c r="H53" s="707"/>
      <c r="I53" s="707"/>
      <c r="J53" s="707"/>
      <c r="K53" s="707"/>
      <c r="L53" s="707"/>
      <c r="M53" s="707"/>
      <c r="N53" s="707"/>
      <c r="O53" s="707"/>
      <c r="P53" s="707"/>
      <c r="Q53" s="707"/>
      <c r="R53" s="707"/>
      <c r="S53" s="782">
        <f t="shared" si="3"/>
        <v>0</v>
      </c>
      <c r="T53" s="707"/>
      <c r="U53" s="707"/>
      <c r="V53" s="707"/>
      <c r="W53" s="782">
        <f t="shared" si="4"/>
        <v>0</v>
      </c>
      <c r="X53" s="782">
        <f t="shared" si="5"/>
        <v>0</v>
      </c>
      <c r="Y53" s="778"/>
      <c r="Z53" s="814"/>
      <c r="AA53" s="695" t="s">
        <v>3366</v>
      </c>
      <c r="AB53" s="829"/>
      <c r="AC53" s="781" t="e">
        <f t="shared" si="0"/>
        <v>#DIV/0!</v>
      </c>
    </row>
    <row r="54" spans="1:29" s="784" customFormat="1" ht="18" customHeight="1" x14ac:dyDescent="0.25">
      <c r="A54" s="744">
        <v>46</v>
      </c>
      <c r="B54" s="745"/>
      <c r="C54" s="746">
        <v>2026</v>
      </c>
      <c r="D54" s="685" t="s">
        <v>3330</v>
      </c>
      <c r="E54" s="689" t="s">
        <v>3331</v>
      </c>
      <c r="F54" s="707"/>
      <c r="G54" s="707"/>
      <c r="H54" s="707"/>
      <c r="I54" s="707"/>
      <c r="J54" s="707"/>
      <c r="K54" s="707"/>
      <c r="L54" s="707"/>
      <c r="M54" s="707"/>
      <c r="N54" s="707"/>
      <c r="O54" s="707"/>
      <c r="P54" s="707"/>
      <c r="Q54" s="707"/>
      <c r="R54" s="707"/>
      <c r="S54" s="782">
        <f t="shared" si="3"/>
        <v>0</v>
      </c>
      <c r="T54" s="707"/>
      <c r="U54" s="707"/>
      <c r="V54" s="707"/>
      <c r="W54" s="782">
        <f t="shared" si="4"/>
        <v>0</v>
      </c>
      <c r="X54" s="782">
        <f t="shared" si="5"/>
        <v>0</v>
      </c>
      <c r="Y54" s="778"/>
      <c r="Z54" s="814"/>
      <c r="AA54" s="695" t="s">
        <v>3367</v>
      </c>
      <c r="AB54" s="829"/>
      <c r="AC54" s="781" t="e">
        <f t="shared" si="0"/>
        <v>#DIV/0!</v>
      </c>
    </row>
    <row r="55" spans="1:29" s="784" customFormat="1" ht="18" customHeight="1" x14ac:dyDescent="0.25">
      <c r="A55" s="744">
        <v>47</v>
      </c>
      <c r="B55" s="745"/>
      <c r="C55" s="746">
        <v>2026</v>
      </c>
      <c r="D55" s="685" t="s">
        <v>3332</v>
      </c>
      <c r="E55" s="689" t="s">
        <v>3310</v>
      </c>
      <c r="F55" s="707"/>
      <c r="G55" s="707"/>
      <c r="H55" s="707"/>
      <c r="I55" s="707"/>
      <c r="J55" s="707"/>
      <c r="K55" s="707"/>
      <c r="L55" s="707"/>
      <c r="M55" s="707"/>
      <c r="N55" s="707"/>
      <c r="O55" s="707"/>
      <c r="P55" s="707"/>
      <c r="Q55" s="707"/>
      <c r="R55" s="707"/>
      <c r="S55" s="782">
        <f t="shared" si="3"/>
        <v>0</v>
      </c>
      <c r="T55" s="707"/>
      <c r="U55" s="707"/>
      <c r="V55" s="707"/>
      <c r="W55" s="782">
        <f t="shared" si="4"/>
        <v>0</v>
      </c>
      <c r="X55" s="782">
        <f t="shared" si="5"/>
        <v>0</v>
      </c>
      <c r="Y55" s="778"/>
      <c r="Z55" s="814"/>
      <c r="AA55" s="695" t="s">
        <v>2481</v>
      </c>
      <c r="AB55" s="829"/>
      <c r="AC55" s="781" t="e">
        <f t="shared" si="0"/>
        <v>#DIV/0!</v>
      </c>
    </row>
    <row r="56" spans="1:29" s="784" customFormat="1" ht="18.75" customHeight="1" x14ac:dyDescent="0.25">
      <c r="A56" s="744">
        <v>48</v>
      </c>
      <c r="B56" s="745"/>
      <c r="C56" s="746">
        <v>2026</v>
      </c>
      <c r="D56" s="685" t="s">
        <v>3333</v>
      </c>
      <c r="E56" s="689" t="s">
        <v>3334</v>
      </c>
      <c r="F56" s="707"/>
      <c r="G56" s="707"/>
      <c r="H56" s="707"/>
      <c r="I56" s="707"/>
      <c r="J56" s="707"/>
      <c r="K56" s="707"/>
      <c r="L56" s="707"/>
      <c r="M56" s="707"/>
      <c r="N56" s="707"/>
      <c r="O56" s="707"/>
      <c r="P56" s="707"/>
      <c r="Q56" s="707"/>
      <c r="R56" s="707"/>
      <c r="S56" s="782">
        <f t="shared" si="3"/>
        <v>0</v>
      </c>
      <c r="T56" s="707"/>
      <c r="U56" s="707"/>
      <c r="V56" s="707"/>
      <c r="W56" s="782">
        <f t="shared" si="4"/>
        <v>0</v>
      </c>
      <c r="X56" s="782">
        <f t="shared" si="5"/>
        <v>0</v>
      </c>
      <c r="Y56" s="778"/>
      <c r="Z56" s="814"/>
      <c r="AA56" s="695" t="s">
        <v>3368</v>
      </c>
      <c r="AB56" s="829"/>
      <c r="AC56" s="781" t="e">
        <f t="shared" si="0"/>
        <v>#DIV/0!</v>
      </c>
    </row>
    <row r="57" spans="1:29" s="784" customFormat="1" ht="18" customHeight="1" x14ac:dyDescent="0.25">
      <c r="A57" s="744">
        <v>49</v>
      </c>
      <c r="B57" s="745"/>
      <c r="C57" s="746">
        <v>2026</v>
      </c>
      <c r="D57" s="685" t="s">
        <v>3335</v>
      </c>
      <c r="E57" s="689" t="s">
        <v>2787</v>
      </c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82">
        <f t="shared" si="3"/>
        <v>0</v>
      </c>
      <c r="T57" s="707"/>
      <c r="U57" s="707"/>
      <c r="V57" s="707"/>
      <c r="W57" s="782">
        <f t="shared" si="4"/>
        <v>0</v>
      </c>
      <c r="X57" s="782">
        <f t="shared" si="5"/>
        <v>0</v>
      </c>
      <c r="Y57" s="778"/>
      <c r="Z57" s="814"/>
      <c r="AA57" s="695" t="s">
        <v>2510</v>
      </c>
      <c r="AB57" s="829"/>
      <c r="AC57" s="781" t="e">
        <f t="shared" si="0"/>
        <v>#DIV/0!</v>
      </c>
    </row>
    <row r="58" spans="1:29" s="784" customFormat="1" ht="18" customHeight="1" x14ac:dyDescent="0.25">
      <c r="A58" s="744">
        <v>50</v>
      </c>
      <c r="B58" s="745"/>
      <c r="C58" s="746">
        <v>2026</v>
      </c>
      <c r="D58" s="685" t="s">
        <v>3336</v>
      </c>
      <c r="E58" s="689" t="s">
        <v>2916</v>
      </c>
      <c r="F58" s="707"/>
      <c r="G58" s="707"/>
      <c r="H58" s="707"/>
      <c r="I58" s="707"/>
      <c r="J58" s="707"/>
      <c r="K58" s="707"/>
      <c r="L58" s="707"/>
      <c r="M58" s="707"/>
      <c r="N58" s="707"/>
      <c r="O58" s="707"/>
      <c r="P58" s="707"/>
      <c r="Q58" s="707"/>
      <c r="R58" s="707"/>
      <c r="S58" s="782">
        <f t="shared" si="3"/>
        <v>0</v>
      </c>
      <c r="T58" s="707"/>
      <c r="U58" s="707"/>
      <c r="V58" s="707"/>
      <c r="W58" s="782"/>
      <c r="X58" s="782"/>
      <c r="Y58" s="778"/>
      <c r="Z58" s="814"/>
      <c r="AA58" s="695" t="s">
        <v>3369</v>
      </c>
      <c r="AB58" s="829"/>
      <c r="AC58" s="781" t="e">
        <f t="shared" si="0"/>
        <v>#DIV/0!</v>
      </c>
    </row>
    <row r="59" spans="1:29" s="784" customFormat="1" ht="18" customHeight="1" x14ac:dyDescent="0.25">
      <c r="A59" s="744">
        <v>51</v>
      </c>
      <c r="B59" s="745"/>
      <c r="C59" s="746">
        <v>2026</v>
      </c>
      <c r="D59" s="685" t="s">
        <v>3337</v>
      </c>
      <c r="E59" s="689" t="s">
        <v>3338</v>
      </c>
      <c r="F59" s="707"/>
      <c r="G59" s="707"/>
      <c r="H59" s="707"/>
      <c r="I59" s="707"/>
      <c r="J59" s="707"/>
      <c r="K59" s="707"/>
      <c r="L59" s="707"/>
      <c r="M59" s="707"/>
      <c r="N59" s="707"/>
      <c r="O59" s="707"/>
      <c r="P59" s="707"/>
      <c r="Q59" s="707"/>
      <c r="R59" s="707"/>
      <c r="S59" s="782">
        <f t="shared" si="3"/>
        <v>0</v>
      </c>
      <c r="T59" s="707"/>
      <c r="U59" s="707"/>
      <c r="V59" s="707"/>
      <c r="W59" s="782"/>
      <c r="X59" s="782"/>
      <c r="Y59" s="778"/>
      <c r="Z59" s="814"/>
      <c r="AA59" s="695" t="s">
        <v>2716</v>
      </c>
      <c r="AB59" s="829"/>
      <c r="AC59" s="781" t="e">
        <f t="shared" si="0"/>
        <v>#DIV/0!</v>
      </c>
    </row>
    <row r="60" spans="1:29" s="784" customFormat="1" ht="18" customHeight="1" x14ac:dyDescent="0.25">
      <c r="A60" s="744">
        <v>52</v>
      </c>
      <c r="B60" s="745"/>
      <c r="C60" s="746">
        <v>2026</v>
      </c>
      <c r="D60" s="685" t="s">
        <v>3339</v>
      </c>
      <c r="E60" s="689" t="s">
        <v>2469</v>
      </c>
      <c r="F60" s="707"/>
      <c r="G60" s="707"/>
      <c r="H60" s="707"/>
      <c r="I60" s="707"/>
      <c r="J60" s="707"/>
      <c r="K60" s="707"/>
      <c r="L60" s="707"/>
      <c r="M60" s="707"/>
      <c r="N60" s="707"/>
      <c r="O60" s="707"/>
      <c r="P60" s="707"/>
      <c r="Q60" s="707"/>
      <c r="R60" s="707"/>
      <c r="S60" s="782">
        <f t="shared" si="3"/>
        <v>0</v>
      </c>
      <c r="T60" s="707"/>
      <c r="U60" s="707"/>
      <c r="V60" s="707"/>
      <c r="W60" s="782"/>
      <c r="X60" s="782"/>
      <c r="Y60" s="778"/>
      <c r="Z60" s="814"/>
      <c r="AA60" s="695" t="s">
        <v>2732</v>
      </c>
      <c r="AB60" s="829"/>
      <c r="AC60" s="781" t="e">
        <f t="shared" si="0"/>
        <v>#DIV/0!</v>
      </c>
    </row>
    <row r="61" spans="1:29" s="784" customFormat="1" ht="18" customHeight="1" x14ac:dyDescent="0.25">
      <c r="A61" s="744">
        <v>53</v>
      </c>
      <c r="B61" s="745"/>
      <c r="C61" s="746">
        <v>2026</v>
      </c>
      <c r="D61" s="685" t="s">
        <v>3340</v>
      </c>
      <c r="E61" s="689" t="s">
        <v>3341</v>
      </c>
      <c r="F61" s="707"/>
      <c r="G61" s="707"/>
      <c r="H61" s="707"/>
      <c r="I61" s="707"/>
      <c r="J61" s="707"/>
      <c r="K61" s="707"/>
      <c r="L61" s="707"/>
      <c r="M61" s="707"/>
      <c r="N61" s="707"/>
      <c r="O61" s="707"/>
      <c r="P61" s="707"/>
      <c r="Q61" s="707"/>
      <c r="R61" s="707"/>
      <c r="S61" s="782">
        <f t="shared" si="3"/>
        <v>0</v>
      </c>
      <c r="T61" s="707"/>
      <c r="U61" s="707"/>
      <c r="V61" s="707"/>
      <c r="W61" s="782"/>
      <c r="X61" s="782"/>
      <c r="Y61" s="778"/>
      <c r="Z61" s="814"/>
      <c r="AA61" s="695" t="s">
        <v>3215</v>
      </c>
      <c r="AB61" s="829"/>
      <c r="AC61" s="781" t="e">
        <f t="shared" si="0"/>
        <v>#DIV/0!</v>
      </c>
    </row>
    <row r="62" spans="1:29" s="784" customFormat="1" ht="18" customHeight="1" x14ac:dyDescent="0.25">
      <c r="A62" s="744">
        <v>54</v>
      </c>
      <c r="B62" s="745"/>
      <c r="C62" s="746">
        <v>2026</v>
      </c>
      <c r="D62" s="685" t="s">
        <v>3342</v>
      </c>
      <c r="E62" s="689" t="s">
        <v>3343</v>
      </c>
      <c r="F62" s="707"/>
      <c r="G62" s="707"/>
      <c r="H62" s="707"/>
      <c r="I62" s="707"/>
      <c r="J62" s="707"/>
      <c r="K62" s="707"/>
      <c r="L62" s="707"/>
      <c r="M62" s="707"/>
      <c r="N62" s="707"/>
      <c r="O62" s="707"/>
      <c r="P62" s="707"/>
      <c r="Q62" s="707"/>
      <c r="R62" s="707"/>
      <c r="S62" s="782">
        <f t="shared" si="3"/>
        <v>0</v>
      </c>
      <c r="T62" s="707"/>
      <c r="U62" s="707"/>
      <c r="V62" s="707"/>
      <c r="W62" s="782">
        <f t="shared" ref="W62:W66" si="6">SUM(T62:V62)/3</f>
        <v>0</v>
      </c>
      <c r="X62" s="782">
        <f t="shared" ref="X62:X66" si="7">SUM(S62+W62)/2</f>
        <v>0</v>
      </c>
      <c r="Y62" s="778"/>
      <c r="Z62" s="814"/>
      <c r="AA62" s="695" t="s">
        <v>2730</v>
      </c>
      <c r="AB62" s="829"/>
      <c r="AC62" s="781" t="e">
        <f t="shared" si="0"/>
        <v>#DIV/0!</v>
      </c>
    </row>
    <row r="63" spans="1:29" s="784" customFormat="1" ht="18" customHeight="1" x14ac:dyDescent="0.25">
      <c r="A63" s="744">
        <v>55</v>
      </c>
      <c r="B63" s="745"/>
      <c r="C63" s="746">
        <v>2026</v>
      </c>
      <c r="D63" s="685" t="s">
        <v>3344</v>
      </c>
      <c r="E63" s="689" t="s">
        <v>3345</v>
      </c>
      <c r="F63" s="707"/>
      <c r="G63" s="707"/>
      <c r="H63" s="707"/>
      <c r="I63" s="707"/>
      <c r="J63" s="707"/>
      <c r="K63" s="707"/>
      <c r="L63" s="707"/>
      <c r="M63" s="707"/>
      <c r="N63" s="707"/>
      <c r="O63" s="707"/>
      <c r="P63" s="707"/>
      <c r="Q63" s="707"/>
      <c r="R63" s="707"/>
      <c r="S63" s="782">
        <f t="shared" si="3"/>
        <v>0</v>
      </c>
      <c r="T63" s="707"/>
      <c r="U63" s="707"/>
      <c r="V63" s="707"/>
      <c r="W63" s="782">
        <f t="shared" si="6"/>
        <v>0</v>
      </c>
      <c r="X63" s="782">
        <f t="shared" si="7"/>
        <v>0</v>
      </c>
      <c r="Y63" s="778"/>
      <c r="Z63" s="814"/>
      <c r="AA63" s="695" t="s">
        <v>3008</v>
      </c>
      <c r="AB63" s="829"/>
      <c r="AC63" s="781" t="e">
        <f t="shared" si="0"/>
        <v>#DIV/0!</v>
      </c>
    </row>
    <row r="64" spans="1:29" s="784" customFormat="1" ht="18" customHeight="1" x14ac:dyDescent="0.25">
      <c r="A64" s="744">
        <v>56</v>
      </c>
      <c r="B64" s="745"/>
      <c r="C64" s="746">
        <v>2026</v>
      </c>
      <c r="D64" s="685" t="s">
        <v>3346</v>
      </c>
      <c r="E64" s="689" t="s">
        <v>3300</v>
      </c>
      <c r="F64" s="707"/>
      <c r="G64" s="707"/>
      <c r="H64" s="707"/>
      <c r="I64" s="707"/>
      <c r="J64" s="707"/>
      <c r="K64" s="707"/>
      <c r="L64" s="707"/>
      <c r="M64" s="707"/>
      <c r="N64" s="707"/>
      <c r="O64" s="707"/>
      <c r="P64" s="707"/>
      <c r="Q64" s="707"/>
      <c r="R64" s="707"/>
      <c r="S64" s="782">
        <f t="shared" si="3"/>
        <v>0</v>
      </c>
      <c r="T64" s="707"/>
      <c r="U64" s="707"/>
      <c r="V64" s="707"/>
      <c r="W64" s="782"/>
      <c r="X64" s="782"/>
      <c r="Y64" s="778"/>
      <c r="Z64" s="814"/>
      <c r="AA64" s="695" t="s">
        <v>2497</v>
      </c>
      <c r="AB64" s="829"/>
      <c r="AC64" s="781" t="e">
        <f t="shared" si="0"/>
        <v>#DIV/0!</v>
      </c>
    </row>
    <row r="65" spans="1:29" s="784" customFormat="1" ht="18" customHeight="1" x14ac:dyDescent="0.25">
      <c r="A65" s="744">
        <v>57</v>
      </c>
      <c r="B65" s="745"/>
      <c r="C65" s="746">
        <v>2026</v>
      </c>
      <c r="D65" s="685" t="s">
        <v>3347</v>
      </c>
      <c r="E65" s="689" t="s">
        <v>1123</v>
      </c>
      <c r="F65" s="707"/>
      <c r="G65" s="707"/>
      <c r="H65" s="707"/>
      <c r="I65" s="707"/>
      <c r="J65" s="707"/>
      <c r="K65" s="707"/>
      <c r="L65" s="707"/>
      <c r="M65" s="707"/>
      <c r="N65" s="707"/>
      <c r="O65" s="707"/>
      <c r="P65" s="707"/>
      <c r="Q65" s="707"/>
      <c r="R65" s="707"/>
      <c r="S65" s="782">
        <f t="shared" si="3"/>
        <v>0</v>
      </c>
      <c r="T65" s="707"/>
      <c r="U65" s="707"/>
      <c r="V65" s="707"/>
      <c r="W65" s="782"/>
      <c r="X65" s="782"/>
      <c r="Y65" s="778"/>
      <c r="Z65" s="814"/>
      <c r="AA65" s="695" t="s">
        <v>3355</v>
      </c>
      <c r="AB65" s="829"/>
      <c r="AC65" s="781" t="e">
        <f t="shared" si="0"/>
        <v>#DIV/0!</v>
      </c>
    </row>
    <row r="66" spans="1:29" s="784" customFormat="1" ht="18" customHeight="1" x14ac:dyDescent="0.25">
      <c r="A66" s="744">
        <v>58</v>
      </c>
      <c r="B66" s="745"/>
      <c r="C66" s="746">
        <v>2026</v>
      </c>
      <c r="D66" s="685" t="s">
        <v>3348</v>
      </c>
      <c r="E66" s="689" t="s">
        <v>3349</v>
      </c>
      <c r="F66" s="707"/>
      <c r="G66" s="707"/>
      <c r="H66" s="707"/>
      <c r="I66" s="707"/>
      <c r="J66" s="707"/>
      <c r="K66" s="707"/>
      <c r="L66" s="707"/>
      <c r="M66" s="707"/>
      <c r="N66" s="707"/>
      <c r="O66" s="707"/>
      <c r="P66" s="707"/>
      <c r="Q66" s="707"/>
      <c r="R66" s="707"/>
      <c r="S66" s="782">
        <f t="shared" si="3"/>
        <v>0</v>
      </c>
      <c r="T66" s="707"/>
      <c r="U66" s="707"/>
      <c r="V66" s="707"/>
      <c r="W66" s="782">
        <f t="shared" si="6"/>
        <v>0</v>
      </c>
      <c r="X66" s="782">
        <f t="shared" si="7"/>
        <v>0</v>
      </c>
      <c r="Y66" s="778"/>
      <c r="Z66" s="814"/>
      <c r="AA66" s="695" t="s">
        <v>3370</v>
      </c>
      <c r="AB66" s="829"/>
      <c r="AC66" s="781" t="e">
        <f t="shared" si="0"/>
        <v>#DIV/0!</v>
      </c>
    </row>
    <row r="67" spans="1:29" s="796" customFormat="1" ht="15.75" customHeight="1" thickBot="1" x14ac:dyDescent="0.35">
      <c r="A67" s="768"/>
      <c r="B67" s="830"/>
      <c r="C67" s="830"/>
      <c r="D67" s="831"/>
      <c r="E67" s="830"/>
      <c r="F67" s="830"/>
      <c r="G67" s="830"/>
      <c r="H67" s="830"/>
      <c r="I67" s="830"/>
      <c r="J67" s="830"/>
      <c r="K67" s="830"/>
      <c r="L67" s="830"/>
      <c r="M67" s="830"/>
      <c r="N67" s="832"/>
      <c r="O67" s="832"/>
      <c r="P67" s="832"/>
      <c r="Q67" s="832"/>
      <c r="R67" s="832"/>
      <c r="S67" s="832"/>
      <c r="T67" s="832"/>
      <c r="U67" s="832"/>
      <c r="V67" s="832"/>
      <c r="W67" s="832"/>
      <c r="X67" s="832"/>
      <c r="Y67" s="832"/>
      <c r="Z67" s="832"/>
      <c r="AA67" s="833"/>
    </row>
    <row r="68" spans="1:29" s="796" customFormat="1" ht="19.5" thickTop="1" x14ac:dyDescent="0.3">
      <c r="A68" s="797"/>
      <c r="B68" s="797"/>
      <c r="C68" s="797"/>
      <c r="E68" s="797"/>
      <c r="F68" s="797"/>
      <c r="G68" s="797"/>
      <c r="H68" s="797"/>
      <c r="I68" s="797"/>
      <c r="J68" s="797"/>
      <c r="K68" s="797"/>
      <c r="L68" s="797"/>
      <c r="M68" s="797"/>
      <c r="N68" s="798"/>
      <c r="O68" s="798"/>
      <c r="P68" s="798"/>
      <c r="Q68" s="798"/>
      <c r="R68" s="798"/>
      <c r="S68" s="1071"/>
      <c r="T68" s="1071"/>
      <c r="U68" s="1071"/>
      <c r="V68" s="797"/>
      <c r="W68" s="797"/>
      <c r="X68" s="797"/>
      <c r="Y68" s="797"/>
      <c r="Z68" s="988"/>
      <c r="AA68" s="797"/>
      <c r="AC68" s="796" t="s">
        <v>2257</v>
      </c>
    </row>
    <row r="69" spans="1:29" s="796" customFormat="1" x14ac:dyDescent="0.3">
      <c r="A69" s="797"/>
      <c r="B69" s="797"/>
      <c r="C69" s="797"/>
      <c r="E69" s="797"/>
      <c r="F69" s="797"/>
      <c r="G69" s="797"/>
      <c r="H69" s="797"/>
      <c r="I69" s="797"/>
      <c r="J69" s="797"/>
      <c r="K69" s="797"/>
      <c r="L69" s="797"/>
      <c r="M69" s="797"/>
      <c r="N69" s="780"/>
      <c r="O69" s="780"/>
      <c r="P69" s="780"/>
      <c r="Q69" s="780"/>
      <c r="R69" s="780"/>
      <c r="S69" s="800"/>
      <c r="T69" s="780"/>
      <c r="U69" s="780"/>
      <c r="V69" s="797"/>
      <c r="W69" s="797"/>
      <c r="X69" s="797"/>
      <c r="Y69" s="797"/>
      <c r="Z69" s="988"/>
      <c r="AA69" s="797"/>
    </row>
    <row r="70" spans="1:29" s="796" customFormat="1" x14ac:dyDescent="0.3">
      <c r="A70" s="797"/>
      <c r="B70" s="797"/>
      <c r="C70" s="797"/>
      <c r="E70" s="797"/>
      <c r="F70" s="797"/>
      <c r="G70" s="797"/>
      <c r="H70" s="797"/>
      <c r="I70" s="797"/>
      <c r="J70" s="797"/>
      <c r="K70" s="797"/>
      <c r="L70" s="797"/>
      <c r="M70" s="797"/>
      <c r="N70" s="780"/>
      <c r="O70" s="780"/>
      <c r="P70" s="780"/>
      <c r="Q70" s="780"/>
      <c r="R70" s="780"/>
      <c r="S70" s="800"/>
      <c r="T70" s="780"/>
      <c r="U70" s="780"/>
      <c r="V70" s="797"/>
      <c r="W70" s="797"/>
      <c r="X70" s="797"/>
      <c r="Y70" s="797"/>
      <c r="Z70" s="988"/>
      <c r="AA70" s="797"/>
    </row>
    <row r="71" spans="1:29" s="796" customFormat="1" x14ac:dyDescent="0.3">
      <c r="A71" s="797"/>
      <c r="B71" s="797"/>
      <c r="C71" s="797"/>
      <c r="E71" s="797"/>
      <c r="F71" s="797"/>
      <c r="G71" s="797"/>
      <c r="H71" s="797"/>
      <c r="I71" s="797"/>
      <c r="J71" s="797"/>
      <c r="K71" s="797"/>
      <c r="L71" s="797"/>
      <c r="M71" s="797"/>
      <c r="N71" s="1072"/>
      <c r="O71" s="1072"/>
      <c r="P71" s="1072"/>
      <c r="Q71" s="1072"/>
      <c r="R71" s="1072"/>
      <c r="S71" s="1072"/>
      <c r="T71" s="1072"/>
      <c r="U71" s="1072"/>
      <c r="V71" s="797"/>
      <c r="W71" s="797"/>
      <c r="X71" s="797"/>
      <c r="Y71" s="797"/>
      <c r="Z71" s="988"/>
      <c r="AA71" s="797"/>
    </row>
    <row r="72" spans="1:29" s="796" customFormat="1" x14ac:dyDescent="0.3">
      <c r="A72" s="797"/>
      <c r="B72" s="797"/>
      <c r="C72" s="797"/>
      <c r="E72" s="797"/>
      <c r="F72" s="797"/>
      <c r="G72" s="797"/>
      <c r="H72" s="797"/>
      <c r="I72" s="797"/>
      <c r="J72" s="797"/>
      <c r="K72" s="797"/>
      <c r="L72" s="797"/>
      <c r="M72" s="797"/>
      <c r="N72" s="1071"/>
      <c r="O72" s="1071"/>
      <c r="P72" s="1071"/>
      <c r="Q72" s="1071"/>
      <c r="R72" s="1071"/>
      <c r="S72" s="1071"/>
      <c r="T72" s="1071"/>
      <c r="U72" s="1071"/>
      <c r="V72" s="1071"/>
      <c r="W72" s="1071"/>
      <c r="X72" s="1071"/>
      <c r="Y72" s="1071"/>
      <c r="Z72" s="1071"/>
      <c r="AA72" s="1071"/>
    </row>
    <row r="73" spans="1:29" s="796" customFormat="1" x14ac:dyDescent="0.3">
      <c r="A73" s="797"/>
      <c r="B73" s="797"/>
      <c r="C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7"/>
      <c r="Q73" s="797"/>
      <c r="R73" s="797"/>
      <c r="S73" s="803"/>
      <c r="T73" s="797"/>
      <c r="U73" s="797"/>
      <c r="V73" s="797"/>
      <c r="W73" s="797"/>
      <c r="X73" s="797"/>
      <c r="Y73" s="797"/>
      <c r="Z73" s="988"/>
      <c r="AA73" s="797"/>
    </row>
    <row r="74" spans="1:29" s="796" customFormat="1" x14ac:dyDescent="0.3">
      <c r="A74" s="797"/>
      <c r="B74" s="797"/>
      <c r="C74" s="797"/>
      <c r="E74" s="797"/>
      <c r="F74" s="797"/>
      <c r="G74" s="797"/>
      <c r="H74" s="797"/>
      <c r="I74" s="797"/>
      <c r="J74" s="797"/>
      <c r="K74" s="797"/>
      <c r="L74" s="797"/>
      <c r="M74" s="797"/>
      <c r="N74" s="797"/>
      <c r="O74" s="797"/>
      <c r="P74" s="797"/>
      <c r="Q74" s="797"/>
      <c r="R74" s="797"/>
      <c r="S74" s="803"/>
      <c r="T74" s="797"/>
      <c r="U74" s="797"/>
      <c r="V74" s="797"/>
      <c r="W74" s="797"/>
      <c r="X74" s="797"/>
      <c r="Y74" s="797"/>
      <c r="Z74" s="988"/>
      <c r="AA74" s="797"/>
    </row>
    <row r="75" spans="1:29" s="796" customFormat="1" x14ac:dyDescent="0.3">
      <c r="A75" s="797"/>
      <c r="B75" s="797"/>
      <c r="C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7"/>
      <c r="Q75" s="797"/>
      <c r="R75" s="797"/>
      <c r="S75" s="803"/>
      <c r="T75" s="797"/>
      <c r="U75" s="797"/>
      <c r="V75" s="797"/>
      <c r="W75" s="797"/>
      <c r="X75" s="797"/>
      <c r="Y75" s="797"/>
      <c r="Z75" s="988"/>
      <c r="AA75" s="797"/>
    </row>
    <row r="76" spans="1:29" s="796" customFormat="1" x14ac:dyDescent="0.3">
      <c r="A76" s="797"/>
      <c r="B76" s="797"/>
      <c r="C76" s="797"/>
      <c r="E76" s="797"/>
      <c r="F76" s="797"/>
      <c r="G76" s="797"/>
      <c r="H76" s="797"/>
      <c r="I76" s="797"/>
      <c r="J76" s="797"/>
      <c r="K76" s="797"/>
      <c r="L76" s="797"/>
      <c r="M76" s="797"/>
      <c r="N76" s="797"/>
      <c r="O76" s="797"/>
      <c r="P76" s="797"/>
      <c r="Q76" s="797"/>
      <c r="R76" s="797"/>
      <c r="S76" s="803"/>
      <c r="T76" s="797"/>
      <c r="U76" s="797"/>
      <c r="V76" s="797"/>
      <c r="W76" s="797"/>
      <c r="X76" s="797"/>
      <c r="Y76" s="797"/>
      <c r="Z76" s="988"/>
      <c r="AA76" s="797"/>
    </row>
    <row r="77" spans="1:29" s="806" customFormat="1" x14ac:dyDescent="0.3">
      <c r="A77" s="801"/>
      <c r="B77" s="801"/>
      <c r="C77" s="801"/>
      <c r="D77" s="802"/>
      <c r="E77" s="801"/>
      <c r="F77" s="801"/>
      <c r="G77" s="801"/>
      <c r="H77" s="801"/>
      <c r="I77" s="801"/>
      <c r="J77" s="801"/>
      <c r="K77" s="801"/>
      <c r="L77" s="801"/>
      <c r="M77" s="801"/>
      <c r="N77" s="801"/>
      <c r="O77" s="801"/>
      <c r="P77" s="801"/>
      <c r="Q77" s="801"/>
      <c r="R77" s="801"/>
      <c r="S77" s="827"/>
      <c r="T77" s="801"/>
      <c r="U77" s="801"/>
      <c r="V77" s="801"/>
      <c r="W77" s="801"/>
      <c r="X77" s="801"/>
      <c r="Y77" s="801"/>
      <c r="Z77" s="805"/>
      <c r="AA77" s="801"/>
    </row>
  </sheetData>
  <autoFilter ref="S7:AB66">
    <filterColumn colId="1" showButton="0"/>
    <filterColumn colId="2" showButton="0"/>
    <filterColumn colId="3" showButton="0"/>
  </autoFilter>
  <mergeCells count="18">
    <mergeCell ref="N72:AA72"/>
    <mergeCell ref="S68:U68"/>
    <mergeCell ref="N71:U71"/>
    <mergeCell ref="X7:X8"/>
    <mergeCell ref="AA7:AA8"/>
    <mergeCell ref="E2:AA2"/>
    <mergeCell ref="E3:AA3"/>
    <mergeCell ref="E4:AA4"/>
    <mergeCell ref="Y7:Y8"/>
    <mergeCell ref="Z7:Z8"/>
    <mergeCell ref="E5:AF5"/>
    <mergeCell ref="A7:A8"/>
    <mergeCell ref="D7:D8"/>
    <mergeCell ref="B7:C8"/>
    <mergeCell ref="T7:W7"/>
    <mergeCell ref="E7:E8"/>
    <mergeCell ref="S7:S8"/>
    <mergeCell ref="F7:R7"/>
  </mergeCells>
  <phoneticPr fontId="0" type="noConversion"/>
  <printOptions horizontalCentered="1"/>
  <pageMargins left="0.74" right="0.16" top="0.27" bottom="0.31" header="0.23" footer="0.27"/>
  <pageSetup scale="98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FF00"/>
  </sheetPr>
  <dimension ref="A1:AC77"/>
  <sheetViews>
    <sheetView topLeftCell="A53" zoomScale="120" zoomScaleNormal="120" workbookViewId="0">
      <selection activeCell="Z9" sqref="Z9:Z66"/>
    </sheetView>
  </sheetViews>
  <sheetFormatPr defaultRowHeight="18.75" x14ac:dyDescent="0.3"/>
  <cols>
    <col min="1" max="1" width="2.796875" style="1" customWidth="1"/>
    <col min="2" max="2" width="4.3984375" style="1" customWidth="1"/>
    <col min="3" max="3" width="4.59765625" style="1" customWidth="1"/>
    <col min="4" max="4" width="17" customWidth="1"/>
    <col min="5" max="5" width="8.69921875" style="1" customWidth="1"/>
    <col min="6" max="18" width="2.69921875" style="1" customWidth="1"/>
    <col min="19" max="19" width="3.8984375" style="25" customWidth="1"/>
    <col min="20" max="22" width="3.8984375" style="20" hidden="1" customWidth="1"/>
    <col min="23" max="23" width="3.8984375" style="23" hidden="1" customWidth="1"/>
    <col min="24" max="24" width="3.8984375" style="23" customWidth="1"/>
    <col min="25" max="25" width="4.3984375" style="14" hidden="1" customWidth="1"/>
    <col min="26" max="26" width="23.19921875" style="23" customWidth="1"/>
    <col min="27" max="27" width="2.5" customWidth="1"/>
    <col min="28" max="28" width="4" style="461" customWidth="1"/>
  </cols>
  <sheetData>
    <row r="1" spans="1:29" s="806" customFormat="1" ht="9" customHeight="1" x14ac:dyDescent="0.3">
      <c r="A1" s="807"/>
      <c r="B1" s="807"/>
      <c r="C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27"/>
      <c r="T1" s="801"/>
      <c r="U1" s="801"/>
      <c r="V1" s="801"/>
      <c r="W1" s="801"/>
      <c r="X1" s="801"/>
      <c r="Y1" s="805"/>
      <c r="Z1" s="801"/>
    </row>
    <row r="2" spans="1:29" s="761" customFormat="1" ht="15.75" x14ac:dyDescent="0.25">
      <c r="B2" s="763"/>
      <c r="C2" s="763"/>
      <c r="D2" s="763"/>
      <c r="E2" s="1046" t="s">
        <v>2237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  <c r="X2" s="1046"/>
      <c r="Y2" s="1046"/>
      <c r="Z2" s="1046"/>
    </row>
    <row r="3" spans="1:29" s="761" customFormat="1" ht="15.75" x14ac:dyDescent="0.25">
      <c r="B3" s="763"/>
      <c r="C3" s="763"/>
      <c r="D3" s="763"/>
      <c r="E3" s="1046" t="s">
        <v>2305</v>
      </c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1046"/>
      <c r="W3" s="1046"/>
      <c r="X3" s="1046"/>
      <c r="Y3" s="1046"/>
      <c r="Z3" s="1046"/>
    </row>
    <row r="4" spans="1:29" s="761" customFormat="1" ht="15.75" hidden="1" x14ac:dyDescent="0.25">
      <c r="B4" s="762"/>
      <c r="C4" s="762"/>
      <c r="D4" s="762"/>
      <c r="E4" s="1047" t="s">
        <v>34</v>
      </c>
      <c r="F4" s="1047"/>
      <c r="G4" s="1047"/>
      <c r="H4" s="1047"/>
      <c r="I4" s="1047"/>
      <c r="J4" s="1047"/>
      <c r="K4" s="1047"/>
      <c r="L4" s="1047"/>
      <c r="M4" s="1047"/>
      <c r="N4" s="1047"/>
      <c r="O4" s="1047"/>
      <c r="P4" s="1047"/>
      <c r="Q4" s="1047"/>
      <c r="R4" s="1047"/>
      <c r="S4" s="1047"/>
      <c r="T4" s="1047"/>
      <c r="U4" s="1047"/>
      <c r="V4" s="1047"/>
      <c r="W4" s="1047"/>
      <c r="X4" s="1047"/>
      <c r="Y4" s="1047"/>
      <c r="Z4" s="1047"/>
    </row>
    <row r="5" spans="1:29" s="761" customFormat="1" ht="15.75" customHeight="1" x14ac:dyDescent="0.25">
      <c r="B5" s="763"/>
      <c r="C5" s="763"/>
      <c r="D5" s="763"/>
      <c r="E5" s="1052" t="s">
        <v>2306</v>
      </c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1052"/>
      <c r="V5" s="1052"/>
      <c r="W5" s="1052"/>
      <c r="X5" s="1052"/>
      <c r="Y5" s="1052"/>
      <c r="Z5" s="1052"/>
      <c r="AA5" s="1052"/>
      <c r="AB5" s="1052"/>
      <c r="AC5" s="1052"/>
    </row>
    <row r="6" spans="1:29" s="806" customFormat="1" ht="20.25" thickBot="1" x14ac:dyDescent="0.4">
      <c r="A6" s="809"/>
      <c r="B6" s="809"/>
      <c r="C6" s="809"/>
      <c r="D6" s="809"/>
      <c r="E6" s="809"/>
      <c r="F6" s="809"/>
      <c r="G6" s="809"/>
      <c r="H6" s="809"/>
      <c r="I6" s="809"/>
      <c r="J6" s="809"/>
      <c r="K6" s="809"/>
      <c r="L6" s="809"/>
      <c r="M6" s="809"/>
      <c r="N6" s="809"/>
      <c r="O6" s="809"/>
      <c r="P6" s="809"/>
      <c r="Q6" s="809"/>
      <c r="R6" s="809"/>
      <c r="S6" s="828"/>
      <c r="T6" s="828"/>
      <c r="U6" s="828"/>
      <c r="V6" s="828"/>
      <c r="W6" s="828"/>
      <c r="X6" s="828"/>
      <c r="Y6" s="828"/>
      <c r="Z6" s="828"/>
      <c r="AA6" s="812"/>
    </row>
    <row r="7" spans="1:29" s="761" customFormat="1" ht="18.75" customHeight="1" thickTop="1" x14ac:dyDescent="0.25">
      <c r="A7" s="1056" t="s">
        <v>91</v>
      </c>
      <c r="B7" s="1060" t="s">
        <v>2118</v>
      </c>
      <c r="C7" s="1061"/>
      <c r="D7" s="1058" t="s">
        <v>2119</v>
      </c>
      <c r="E7" s="1058" t="s">
        <v>2120</v>
      </c>
      <c r="F7" s="1095" t="s">
        <v>2122</v>
      </c>
      <c r="G7" s="1096"/>
      <c r="H7" s="1096"/>
      <c r="I7" s="1096"/>
      <c r="J7" s="1096"/>
      <c r="K7" s="1096"/>
      <c r="L7" s="1096"/>
      <c r="M7" s="1096"/>
      <c r="N7" s="1096"/>
      <c r="O7" s="1096"/>
      <c r="P7" s="1096"/>
      <c r="Q7" s="1096"/>
      <c r="R7" s="1097"/>
      <c r="S7" s="1069" t="s">
        <v>2107</v>
      </c>
      <c r="T7" s="1053" t="s">
        <v>104</v>
      </c>
      <c r="U7" s="1054"/>
      <c r="V7" s="1054"/>
      <c r="W7" s="1055"/>
      <c r="X7" s="1048" t="s">
        <v>2108</v>
      </c>
      <c r="Y7" s="1048" t="s">
        <v>103</v>
      </c>
      <c r="Z7" s="1067" t="s">
        <v>2121</v>
      </c>
      <c r="AA7" s="761">
        <v>18</v>
      </c>
    </row>
    <row r="8" spans="1:29" s="761" customFormat="1" ht="173.25" customHeight="1" x14ac:dyDescent="0.25">
      <c r="A8" s="1057"/>
      <c r="B8" s="1062"/>
      <c r="C8" s="1063"/>
      <c r="D8" s="1059"/>
      <c r="E8" s="1059"/>
      <c r="F8" s="724" t="s">
        <v>2143</v>
      </c>
      <c r="G8" s="700" t="s">
        <v>2128</v>
      </c>
      <c r="H8" s="725" t="s">
        <v>2130</v>
      </c>
      <c r="I8" s="724" t="s">
        <v>2144</v>
      </c>
      <c r="J8" s="725" t="s">
        <v>2145</v>
      </c>
      <c r="K8" s="725" t="s">
        <v>2146</v>
      </c>
      <c r="L8" s="725" t="s">
        <v>2147</v>
      </c>
      <c r="M8" s="725" t="s">
        <v>2148</v>
      </c>
      <c r="N8" s="724" t="s">
        <v>2095</v>
      </c>
      <c r="O8" s="726" t="s">
        <v>2113</v>
      </c>
      <c r="P8" s="725" t="s">
        <v>2149</v>
      </c>
      <c r="Q8" s="725" t="s">
        <v>2150</v>
      </c>
      <c r="R8" s="722" t="s">
        <v>2117</v>
      </c>
      <c r="S8" s="1070"/>
      <c r="T8" s="834" t="s">
        <v>108</v>
      </c>
      <c r="U8" s="834" t="s">
        <v>97</v>
      </c>
      <c r="V8" s="834" t="s">
        <v>96</v>
      </c>
      <c r="W8" s="835" t="s">
        <v>98</v>
      </c>
      <c r="X8" s="1049"/>
      <c r="Y8" s="1049"/>
      <c r="Z8" s="1068"/>
      <c r="AA8" s="761" t="s">
        <v>94</v>
      </c>
    </row>
    <row r="9" spans="1:29" s="1007" customFormat="1" ht="18" customHeight="1" x14ac:dyDescent="0.25">
      <c r="A9" s="998">
        <v>1</v>
      </c>
      <c r="B9" s="742" t="s">
        <v>1808</v>
      </c>
      <c r="C9" s="999">
        <v>2026</v>
      </c>
      <c r="D9" s="1000" t="s">
        <v>3371</v>
      </c>
      <c r="E9" s="1001" t="s">
        <v>2916</v>
      </c>
      <c r="F9" s="1002"/>
      <c r="G9" s="1002"/>
      <c r="H9" s="1002"/>
      <c r="I9" s="1002"/>
      <c r="J9" s="1002"/>
      <c r="K9" s="1002"/>
      <c r="L9" s="1002"/>
      <c r="M9" s="1002"/>
      <c r="N9" s="1002"/>
      <c r="O9" s="1002"/>
      <c r="P9" s="1002"/>
      <c r="Q9" s="1002"/>
      <c r="R9" s="1002"/>
      <c r="S9" s="1003">
        <f>SUM(F9:R9)/13</f>
        <v>0</v>
      </c>
      <c r="T9" s="1002"/>
      <c r="U9" s="1002"/>
      <c r="V9" s="1002"/>
      <c r="W9" s="1003">
        <f>SUM(T9:V9)/3</f>
        <v>0</v>
      </c>
      <c r="X9" s="1004"/>
      <c r="Y9" s="1005"/>
      <c r="Z9" s="1006" t="s">
        <v>2715</v>
      </c>
      <c r="AB9" s="1008" t="e">
        <f t="shared" ref="AB9:AB66" si="0">AVERAGE(F9:R9)</f>
        <v>#DIV/0!</v>
      </c>
    </row>
    <row r="10" spans="1:29" s="1007" customFormat="1" ht="18" customHeight="1" x14ac:dyDescent="0.25">
      <c r="A10" s="1009">
        <v>2</v>
      </c>
      <c r="B10" s="1010"/>
      <c r="C10" s="1011">
        <v>2026</v>
      </c>
      <c r="D10" s="1012" t="s">
        <v>3372</v>
      </c>
      <c r="E10" s="1013" t="s">
        <v>2840</v>
      </c>
      <c r="F10" s="1014"/>
      <c r="G10" s="1014"/>
      <c r="H10" s="1014"/>
      <c r="I10" s="1014"/>
      <c r="J10" s="1014"/>
      <c r="K10" s="1014"/>
      <c r="L10" s="1014"/>
      <c r="M10" s="1014"/>
      <c r="N10" s="1014"/>
      <c r="O10" s="1014"/>
      <c r="P10" s="1014"/>
      <c r="Q10" s="1014"/>
      <c r="R10" s="1014"/>
      <c r="S10" s="1015">
        <f t="shared" ref="S10:S66" si="1">SUM(F10:R10)/13</f>
        <v>0</v>
      </c>
      <c r="T10" s="1014"/>
      <c r="U10" s="1014"/>
      <c r="V10" s="1014"/>
      <c r="W10" s="1015">
        <f t="shared" ref="W10:W27" si="2">SUM(T10:V10)/3</f>
        <v>0</v>
      </c>
      <c r="X10" s="1016"/>
      <c r="Y10" s="1017"/>
      <c r="Z10" s="1018" t="s">
        <v>3450</v>
      </c>
      <c r="AB10" s="1008" t="e">
        <f t="shared" si="0"/>
        <v>#DIV/0!</v>
      </c>
    </row>
    <row r="11" spans="1:29" s="1007" customFormat="1" ht="18" customHeight="1" x14ac:dyDescent="0.25">
      <c r="A11" s="1009">
        <v>3</v>
      </c>
      <c r="B11" s="1010"/>
      <c r="C11" s="1011">
        <v>2026</v>
      </c>
      <c r="D11" s="1012" t="s">
        <v>3373</v>
      </c>
      <c r="E11" s="1013" t="s">
        <v>3374</v>
      </c>
      <c r="F11" s="1014"/>
      <c r="G11" s="1014"/>
      <c r="H11" s="1014"/>
      <c r="I11" s="1014"/>
      <c r="J11" s="1014"/>
      <c r="K11" s="1014"/>
      <c r="L11" s="1014"/>
      <c r="M11" s="1014"/>
      <c r="N11" s="1014"/>
      <c r="O11" s="1014"/>
      <c r="P11" s="1014"/>
      <c r="Q11" s="1014"/>
      <c r="R11" s="1014"/>
      <c r="S11" s="1015">
        <f t="shared" si="1"/>
        <v>0</v>
      </c>
      <c r="T11" s="1014"/>
      <c r="U11" s="1014"/>
      <c r="V11" s="1014"/>
      <c r="W11" s="1015">
        <f t="shared" si="2"/>
        <v>0</v>
      </c>
      <c r="X11" s="1016"/>
      <c r="Y11" s="1017"/>
      <c r="Z11" s="1018" t="s">
        <v>2977</v>
      </c>
      <c r="AB11" s="1008" t="e">
        <f t="shared" si="0"/>
        <v>#DIV/0!</v>
      </c>
    </row>
    <row r="12" spans="1:29" s="1007" customFormat="1" ht="18" customHeight="1" x14ac:dyDescent="0.25">
      <c r="A12" s="1009">
        <v>4</v>
      </c>
      <c r="B12" s="1010"/>
      <c r="C12" s="1011">
        <v>2026</v>
      </c>
      <c r="D12" s="1012" t="s">
        <v>3375</v>
      </c>
      <c r="E12" s="1013" t="s">
        <v>3376</v>
      </c>
      <c r="F12" s="1014"/>
      <c r="G12" s="1014"/>
      <c r="H12" s="1014"/>
      <c r="I12" s="1014"/>
      <c r="J12" s="1014"/>
      <c r="K12" s="1014"/>
      <c r="L12" s="1014"/>
      <c r="M12" s="1014"/>
      <c r="N12" s="1014"/>
      <c r="O12" s="1014"/>
      <c r="P12" s="1014"/>
      <c r="Q12" s="1014"/>
      <c r="R12" s="1014"/>
      <c r="S12" s="1015">
        <f t="shared" si="1"/>
        <v>0</v>
      </c>
      <c r="T12" s="1014"/>
      <c r="U12" s="1014"/>
      <c r="V12" s="1014"/>
      <c r="W12" s="1015">
        <f t="shared" si="2"/>
        <v>0</v>
      </c>
      <c r="X12" s="1016"/>
      <c r="Y12" s="1017"/>
      <c r="Z12" s="1018" t="s">
        <v>2492</v>
      </c>
      <c r="AB12" s="1008" t="e">
        <f t="shared" si="0"/>
        <v>#DIV/0!</v>
      </c>
    </row>
    <row r="13" spans="1:29" s="1007" customFormat="1" ht="18" customHeight="1" x14ac:dyDescent="0.25">
      <c r="A13" s="1009">
        <v>5</v>
      </c>
      <c r="B13" s="1010"/>
      <c r="C13" s="1011">
        <v>2026</v>
      </c>
      <c r="D13" s="1012" t="s">
        <v>3377</v>
      </c>
      <c r="E13" s="1013" t="s">
        <v>3378</v>
      </c>
      <c r="F13" s="1014"/>
      <c r="G13" s="1014"/>
      <c r="H13" s="1014"/>
      <c r="I13" s="1014"/>
      <c r="J13" s="1014"/>
      <c r="K13" s="1014"/>
      <c r="L13" s="1014"/>
      <c r="M13" s="1014"/>
      <c r="N13" s="1014"/>
      <c r="O13" s="1014"/>
      <c r="P13" s="1014"/>
      <c r="Q13" s="1014"/>
      <c r="R13" s="1014"/>
      <c r="S13" s="1015">
        <f t="shared" si="1"/>
        <v>0</v>
      </c>
      <c r="T13" s="1014"/>
      <c r="U13" s="1014"/>
      <c r="V13" s="1014"/>
      <c r="W13" s="1015">
        <f t="shared" si="2"/>
        <v>0</v>
      </c>
      <c r="X13" s="1016"/>
      <c r="Y13" s="1017"/>
      <c r="Z13" s="1018" t="s">
        <v>3451</v>
      </c>
      <c r="AB13" s="1008" t="e">
        <f t="shared" si="0"/>
        <v>#DIV/0!</v>
      </c>
    </row>
    <row r="14" spans="1:29" s="1007" customFormat="1" ht="18" customHeight="1" x14ac:dyDescent="0.25">
      <c r="A14" s="1009">
        <v>6</v>
      </c>
      <c r="B14" s="1010"/>
      <c r="C14" s="1011">
        <v>2026</v>
      </c>
      <c r="D14" s="1012" t="s">
        <v>3379</v>
      </c>
      <c r="E14" s="1013" t="s">
        <v>3380</v>
      </c>
      <c r="F14" s="1014"/>
      <c r="G14" s="1014"/>
      <c r="H14" s="1014"/>
      <c r="I14" s="1014"/>
      <c r="J14" s="1014"/>
      <c r="K14" s="1014"/>
      <c r="L14" s="1014"/>
      <c r="M14" s="1014"/>
      <c r="N14" s="1014"/>
      <c r="O14" s="1014"/>
      <c r="P14" s="1014"/>
      <c r="Q14" s="1014"/>
      <c r="R14" s="1014"/>
      <c r="S14" s="1015">
        <f t="shared" si="1"/>
        <v>0</v>
      </c>
      <c r="T14" s="1014"/>
      <c r="U14" s="1014"/>
      <c r="V14" s="1014"/>
      <c r="W14" s="1015">
        <f t="shared" si="2"/>
        <v>0</v>
      </c>
      <c r="X14" s="1016"/>
      <c r="Y14" s="1017"/>
      <c r="Z14" s="1018" t="s">
        <v>3452</v>
      </c>
      <c r="AB14" s="1008" t="e">
        <f t="shared" si="0"/>
        <v>#DIV/0!</v>
      </c>
    </row>
    <row r="15" spans="1:29" s="1007" customFormat="1" ht="18" customHeight="1" x14ac:dyDescent="0.25">
      <c r="A15" s="1009">
        <v>7</v>
      </c>
      <c r="B15" s="1010"/>
      <c r="C15" s="1011">
        <v>2026</v>
      </c>
      <c r="D15" s="1012" t="s">
        <v>3381</v>
      </c>
      <c r="E15" s="1013" t="s">
        <v>3382</v>
      </c>
      <c r="F15" s="1014"/>
      <c r="G15" s="1014"/>
      <c r="H15" s="1014"/>
      <c r="I15" s="1014"/>
      <c r="J15" s="1014"/>
      <c r="K15" s="1014"/>
      <c r="L15" s="1014"/>
      <c r="M15" s="1014"/>
      <c r="N15" s="1014"/>
      <c r="O15" s="1014"/>
      <c r="P15" s="1014"/>
      <c r="Q15" s="1014"/>
      <c r="R15" s="1014"/>
      <c r="S15" s="1015">
        <f t="shared" si="1"/>
        <v>0</v>
      </c>
      <c r="T15" s="1014"/>
      <c r="U15" s="1014"/>
      <c r="V15" s="1014"/>
      <c r="W15" s="1015">
        <f t="shared" si="2"/>
        <v>0</v>
      </c>
      <c r="X15" s="1016"/>
      <c r="Y15" s="1017"/>
      <c r="Z15" s="1018" t="s">
        <v>3453</v>
      </c>
      <c r="AB15" s="1008" t="e">
        <f t="shared" si="0"/>
        <v>#DIV/0!</v>
      </c>
    </row>
    <row r="16" spans="1:29" s="1007" customFormat="1" ht="18" customHeight="1" x14ac:dyDescent="0.25">
      <c r="A16" s="1009">
        <v>8</v>
      </c>
      <c r="B16" s="1010"/>
      <c r="C16" s="1011">
        <v>2026</v>
      </c>
      <c r="D16" s="1012" t="s">
        <v>3383</v>
      </c>
      <c r="E16" s="1013" t="s">
        <v>3345</v>
      </c>
      <c r="F16" s="1014"/>
      <c r="G16" s="1014"/>
      <c r="H16" s="1014"/>
      <c r="I16" s="1014"/>
      <c r="J16" s="1014"/>
      <c r="K16" s="1014"/>
      <c r="L16" s="1014"/>
      <c r="M16" s="1014"/>
      <c r="N16" s="1014"/>
      <c r="O16" s="1014"/>
      <c r="P16" s="1014"/>
      <c r="Q16" s="1014"/>
      <c r="R16" s="1014"/>
      <c r="S16" s="1015">
        <f t="shared" si="1"/>
        <v>0</v>
      </c>
      <c r="T16" s="1014"/>
      <c r="U16" s="1014"/>
      <c r="V16" s="1014"/>
      <c r="W16" s="1015">
        <f t="shared" si="2"/>
        <v>0</v>
      </c>
      <c r="X16" s="1016"/>
      <c r="Y16" s="1017"/>
      <c r="Z16" s="1018" t="s">
        <v>2488</v>
      </c>
      <c r="AB16" s="1008" t="e">
        <f t="shared" si="0"/>
        <v>#DIV/0!</v>
      </c>
    </row>
    <row r="17" spans="1:28" s="1007" customFormat="1" ht="18" customHeight="1" x14ac:dyDescent="0.25">
      <c r="A17" s="1009">
        <v>9</v>
      </c>
      <c r="B17" s="1010"/>
      <c r="C17" s="1011">
        <v>2026</v>
      </c>
      <c r="D17" s="1012" t="s">
        <v>2579</v>
      </c>
      <c r="E17" s="1013" t="s">
        <v>2553</v>
      </c>
      <c r="F17" s="1014"/>
      <c r="G17" s="1014"/>
      <c r="H17" s="1014"/>
      <c r="I17" s="1014"/>
      <c r="J17" s="1014"/>
      <c r="K17" s="1014"/>
      <c r="L17" s="1014"/>
      <c r="M17" s="1014"/>
      <c r="N17" s="1014"/>
      <c r="O17" s="1014"/>
      <c r="P17" s="1014"/>
      <c r="Q17" s="1014"/>
      <c r="R17" s="1014"/>
      <c r="S17" s="1015">
        <f t="shared" si="1"/>
        <v>0</v>
      </c>
      <c r="T17" s="1014"/>
      <c r="U17" s="1014"/>
      <c r="V17" s="1014"/>
      <c r="W17" s="1015">
        <f t="shared" si="2"/>
        <v>0</v>
      </c>
      <c r="X17" s="1016"/>
      <c r="Y17" s="1017"/>
      <c r="Z17" s="1018" t="s">
        <v>3453</v>
      </c>
      <c r="AB17" s="1008" t="e">
        <f t="shared" si="0"/>
        <v>#DIV/0!</v>
      </c>
    </row>
    <row r="18" spans="1:28" s="1007" customFormat="1" ht="18" customHeight="1" x14ac:dyDescent="0.25">
      <c r="A18" s="1009">
        <v>10</v>
      </c>
      <c r="B18" s="1010"/>
      <c r="C18" s="1011">
        <v>2026</v>
      </c>
      <c r="D18" s="1012" t="s">
        <v>3384</v>
      </c>
      <c r="E18" s="1013" t="s">
        <v>2600</v>
      </c>
      <c r="F18" s="1014"/>
      <c r="G18" s="1014"/>
      <c r="H18" s="1014"/>
      <c r="I18" s="1014"/>
      <c r="J18" s="1014"/>
      <c r="K18" s="1014"/>
      <c r="L18" s="1014"/>
      <c r="M18" s="1014"/>
      <c r="N18" s="1014"/>
      <c r="O18" s="1014"/>
      <c r="P18" s="1014"/>
      <c r="Q18" s="1014"/>
      <c r="R18" s="1014"/>
      <c r="S18" s="1015">
        <f t="shared" si="1"/>
        <v>0</v>
      </c>
      <c r="T18" s="1014"/>
      <c r="U18" s="1014"/>
      <c r="V18" s="1014"/>
      <c r="W18" s="1015">
        <f t="shared" si="2"/>
        <v>0</v>
      </c>
      <c r="X18" s="1016"/>
      <c r="Y18" s="1017"/>
      <c r="Z18" s="1018" t="s">
        <v>3454</v>
      </c>
      <c r="AB18" s="1008" t="e">
        <f t="shared" si="0"/>
        <v>#DIV/0!</v>
      </c>
    </row>
    <row r="19" spans="1:28" s="1007" customFormat="1" ht="18" customHeight="1" x14ac:dyDescent="0.25">
      <c r="A19" s="1009">
        <v>11</v>
      </c>
      <c r="B19" s="1010"/>
      <c r="C19" s="1011">
        <v>2026</v>
      </c>
      <c r="D19" s="1012" t="s">
        <v>3072</v>
      </c>
      <c r="E19" s="1013" t="s">
        <v>2842</v>
      </c>
      <c r="F19" s="1014"/>
      <c r="G19" s="1014"/>
      <c r="H19" s="1014"/>
      <c r="I19" s="1014"/>
      <c r="J19" s="1014"/>
      <c r="K19" s="1014"/>
      <c r="L19" s="1014"/>
      <c r="M19" s="1014"/>
      <c r="N19" s="1014"/>
      <c r="O19" s="1014"/>
      <c r="P19" s="1014"/>
      <c r="Q19" s="1014"/>
      <c r="R19" s="1014"/>
      <c r="S19" s="1015">
        <f t="shared" si="1"/>
        <v>0</v>
      </c>
      <c r="T19" s="1014"/>
      <c r="U19" s="1014"/>
      <c r="V19" s="1014"/>
      <c r="W19" s="1015">
        <f t="shared" si="2"/>
        <v>0</v>
      </c>
      <c r="X19" s="1016"/>
      <c r="Y19" s="1017"/>
      <c r="Z19" s="1018" t="s">
        <v>3455</v>
      </c>
      <c r="AB19" s="1008" t="e">
        <f t="shared" si="0"/>
        <v>#DIV/0!</v>
      </c>
    </row>
    <row r="20" spans="1:28" s="1007" customFormat="1" ht="18" customHeight="1" x14ac:dyDescent="0.25">
      <c r="A20" s="1009">
        <v>12</v>
      </c>
      <c r="B20" s="1010"/>
      <c r="C20" s="1011">
        <v>2026</v>
      </c>
      <c r="D20" s="1012" t="s">
        <v>3385</v>
      </c>
      <c r="E20" s="1013" t="s">
        <v>2791</v>
      </c>
      <c r="F20" s="1014"/>
      <c r="G20" s="1014"/>
      <c r="H20" s="1014"/>
      <c r="I20" s="1014"/>
      <c r="J20" s="1014"/>
      <c r="K20" s="1014"/>
      <c r="L20" s="1014"/>
      <c r="M20" s="1014"/>
      <c r="N20" s="1014"/>
      <c r="O20" s="1014"/>
      <c r="P20" s="1014"/>
      <c r="Q20" s="1014"/>
      <c r="R20" s="1014"/>
      <c r="S20" s="1015">
        <f t="shared" si="1"/>
        <v>0</v>
      </c>
      <c r="T20" s="1014"/>
      <c r="U20" s="1014"/>
      <c r="V20" s="1014"/>
      <c r="W20" s="1015">
        <f t="shared" si="2"/>
        <v>0</v>
      </c>
      <c r="X20" s="1016"/>
      <c r="Y20" s="1017"/>
      <c r="Z20" s="1018" t="s">
        <v>3456</v>
      </c>
      <c r="AB20" s="1008" t="e">
        <f t="shared" si="0"/>
        <v>#DIV/0!</v>
      </c>
    </row>
    <row r="21" spans="1:28" s="1007" customFormat="1" ht="18" customHeight="1" x14ac:dyDescent="0.25">
      <c r="A21" s="1009">
        <v>13</v>
      </c>
      <c r="B21" s="1010"/>
      <c r="C21" s="1011">
        <v>2026</v>
      </c>
      <c r="D21" s="1012" t="s">
        <v>3386</v>
      </c>
      <c r="E21" s="1013" t="s">
        <v>3387</v>
      </c>
      <c r="F21" s="1014"/>
      <c r="G21" s="1014"/>
      <c r="H21" s="1014"/>
      <c r="I21" s="1014"/>
      <c r="J21" s="1014"/>
      <c r="K21" s="1014"/>
      <c r="L21" s="1014"/>
      <c r="M21" s="1014"/>
      <c r="N21" s="1014"/>
      <c r="O21" s="1014"/>
      <c r="P21" s="1014"/>
      <c r="Q21" s="1014"/>
      <c r="R21" s="1014"/>
      <c r="S21" s="1015">
        <f t="shared" si="1"/>
        <v>0</v>
      </c>
      <c r="T21" s="1014"/>
      <c r="U21" s="1014"/>
      <c r="V21" s="1014"/>
      <c r="W21" s="1015">
        <f t="shared" si="2"/>
        <v>0</v>
      </c>
      <c r="X21" s="1016"/>
      <c r="Y21" s="1017"/>
      <c r="Z21" s="1018" t="s">
        <v>2732</v>
      </c>
      <c r="AB21" s="1008" t="e">
        <f t="shared" si="0"/>
        <v>#DIV/0!</v>
      </c>
    </row>
    <row r="22" spans="1:28" s="1007" customFormat="1" ht="18" customHeight="1" x14ac:dyDescent="0.25">
      <c r="A22" s="1009">
        <v>14</v>
      </c>
      <c r="B22" s="1010"/>
      <c r="C22" s="1011">
        <v>2026</v>
      </c>
      <c r="D22" s="1012" t="s">
        <v>3388</v>
      </c>
      <c r="E22" s="1013" t="s">
        <v>3389</v>
      </c>
      <c r="F22" s="1014"/>
      <c r="G22" s="1014"/>
      <c r="H22" s="1014"/>
      <c r="I22" s="1014"/>
      <c r="J22" s="1014"/>
      <c r="K22" s="1014"/>
      <c r="L22" s="1014"/>
      <c r="M22" s="1014"/>
      <c r="N22" s="1014"/>
      <c r="O22" s="1014"/>
      <c r="P22" s="1014"/>
      <c r="Q22" s="1014"/>
      <c r="R22" s="1014"/>
      <c r="S22" s="1015">
        <f t="shared" si="1"/>
        <v>0</v>
      </c>
      <c r="T22" s="1014"/>
      <c r="U22" s="1014"/>
      <c r="V22" s="1014"/>
      <c r="W22" s="1015">
        <f t="shared" si="2"/>
        <v>0</v>
      </c>
      <c r="X22" s="1016"/>
      <c r="Y22" s="1017"/>
      <c r="Z22" s="1018" t="s">
        <v>2516</v>
      </c>
      <c r="AB22" s="1008" t="e">
        <f t="shared" si="0"/>
        <v>#DIV/0!</v>
      </c>
    </row>
    <row r="23" spans="1:28" s="1007" customFormat="1" ht="18" customHeight="1" x14ac:dyDescent="0.25">
      <c r="A23" s="1009">
        <v>15</v>
      </c>
      <c r="B23" s="1010"/>
      <c r="C23" s="1011">
        <v>2026</v>
      </c>
      <c r="D23" s="1012" t="s">
        <v>2597</v>
      </c>
      <c r="E23" s="1013" t="s">
        <v>3390</v>
      </c>
      <c r="F23" s="1014"/>
      <c r="G23" s="1014"/>
      <c r="H23" s="1014"/>
      <c r="I23" s="1014"/>
      <c r="J23" s="1014"/>
      <c r="K23" s="1014"/>
      <c r="L23" s="1014"/>
      <c r="M23" s="1014"/>
      <c r="N23" s="1014"/>
      <c r="O23" s="1014"/>
      <c r="P23" s="1014"/>
      <c r="Q23" s="1014"/>
      <c r="R23" s="1014"/>
      <c r="S23" s="1015">
        <f t="shared" si="1"/>
        <v>0</v>
      </c>
      <c r="T23" s="1014"/>
      <c r="U23" s="1014"/>
      <c r="V23" s="1014"/>
      <c r="W23" s="1015">
        <f t="shared" si="2"/>
        <v>0</v>
      </c>
      <c r="X23" s="1016"/>
      <c r="Y23" s="1017"/>
      <c r="Z23" s="1018" t="s">
        <v>2497</v>
      </c>
      <c r="AB23" s="1008" t="e">
        <f t="shared" si="0"/>
        <v>#DIV/0!</v>
      </c>
    </row>
    <row r="24" spans="1:28" s="1007" customFormat="1" ht="18" customHeight="1" x14ac:dyDescent="0.25">
      <c r="A24" s="1009">
        <v>16</v>
      </c>
      <c r="B24" s="1010"/>
      <c r="C24" s="1011">
        <v>2026</v>
      </c>
      <c r="D24" s="1012" t="s">
        <v>3391</v>
      </c>
      <c r="E24" s="1013" t="s">
        <v>3392</v>
      </c>
      <c r="F24" s="1014"/>
      <c r="G24" s="1014"/>
      <c r="H24" s="1014"/>
      <c r="I24" s="1014"/>
      <c r="J24" s="1014"/>
      <c r="K24" s="1014"/>
      <c r="L24" s="1014"/>
      <c r="M24" s="1014"/>
      <c r="N24" s="1014"/>
      <c r="O24" s="1014"/>
      <c r="P24" s="1014"/>
      <c r="Q24" s="1014"/>
      <c r="R24" s="1014"/>
      <c r="S24" s="1015">
        <f t="shared" si="1"/>
        <v>0</v>
      </c>
      <c r="T24" s="1014"/>
      <c r="U24" s="1014"/>
      <c r="V24" s="1014"/>
      <c r="W24" s="1015">
        <f t="shared" si="2"/>
        <v>0</v>
      </c>
      <c r="X24" s="1016"/>
      <c r="Y24" s="1017"/>
      <c r="Z24" s="1018" t="s">
        <v>2497</v>
      </c>
      <c r="AB24" s="1008" t="e">
        <f t="shared" si="0"/>
        <v>#DIV/0!</v>
      </c>
    </row>
    <row r="25" spans="1:28" s="1007" customFormat="1" ht="18" customHeight="1" x14ac:dyDescent="0.25">
      <c r="A25" s="1009">
        <v>17</v>
      </c>
      <c r="B25" s="1010"/>
      <c r="C25" s="1011">
        <v>2026</v>
      </c>
      <c r="D25" s="1012" t="s">
        <v>3393</v>
      </c>
      <c r="E25" s="1013" t="s">
        <v>2916</v>
      </c>
      <c r="F25" s="1014"/>
      <c r="G25" s="1014"/>
      <c r="H25" s="1014"/>
      <c r="I25" s="1014"/>
      <c r="J25" s="1014"/>
      <c r="K25" s="1014"/>
      <c r="L25" s="1014"/>
      <c r="M25" s="1014"/>
      <c r="N25" s="1014"/>
      <c r="O25" s="1014"/>
      <c r="P25" s="1014"/>
      <c r="Q25" s="1014"/>
      <c r="R25" s="1014"/>
      <c r="S25" s="1015">
        <f t="shared" si="1"/>
        <v>0</v>
      </c>
      <c r="T25" s="1014"/>
      <c r="U25" s="1014"/>
      <c r="V25" s="1014"/>
      <c r="W25" s="1015">
        <f t="shared" si="2"/>
        <v>0</v>
      </c>
      <c r="X25" s="1016"/>
      <c r="Y25" s="1017"/>
      <c r="Z25" s="1018" t="s">
        <v>2492</v>
      </c>
      <c r="AB25" s="1008" t="e">
        <f t="shared" si="0"/>
        <v>#DIV/0!</v>
      </c>
    </row>
    <row r="26" spans="1:28" s="1007" customFormat="1" ht="18" customHeight="1" x14ac:dyDescent="0.25">
      <c r="A26" s="1009">
        <v>18</v>
      </c>
      <c r="B26" s="1010"/>
      <c r="C26" s="1011">
        <v>2026</v>
      </c>
      <c r="D26" s="1012" t="s">
        <v>3394</v>
      </c>
      <c r="E26" s="1013" t="s">
        <v>3166</v>
      </c>
      <c r="F26" s="1014"/>
      <c r="G26" s="1014"/>
      <c r="H26" s="1014"/>
      <c r="I26" s="1014"/>
      <c r="J26" s="1014"/>
      <c r="K26" s="1014"/>
      <c r="L26" s="1014"/>
      <c r="M26" s="1014"/>
      <c r="N26" s="1014"/>
      <c r="O26" s="1014"/>
      <c r="P26" s="1014"/>
      <c r="Q26" s="1014"/>
      <c r="R26" s="1014"/>
      <c r="S26" s="1015">
        <f t="shared" si="1"/>
        <v>0</v>
      </c>
      <c r="T26" s="1014"/>
      <c r="U26" s="1014"/>
      <c r="V26" s="1014"/>
      <c r="W26" s="1015">
        <f t="shared" si="2"/>
        <v>0</v>
      </c>
      <c r="X26" s="1016"/>
      <c r="Y26" s="1017"/>
      <c r="Z26" s="1018" t="s">
        <v>3457</v>
      </c>
      <c r="AB26" s="1008" t="e">
        <f t="shared" si="0"/>
        <v>#DIV/0!</v>
      </c>
    </row>
    <row r="27" spans="1:28" s="1007" customFormat="1" ht="18" customHeight="1" x14ac:dyDescent="0.25">
      <c r="A27" s="1009">
        <v>19</v>
      </c>
      <c r="B27" s="1010"/>
      <c r="C27" s="1011">
        <v>2026</v>
      </c>
      <c r="D27" s="1012" t="s">
        <v>3395</v>
      </c>
      <c r="E27" s="1013" t="s">
        <v>2572</v>
      </c>
      <c r="F27" s="1014"/>
      <c r="G27" s="1014"/>
      <c r="H27" s="1014"/>
      <c r="I27" s="1014"/>
      <c r="J27" s="1014"/>
      <c r="K27" s="1014"/>
      <c r="L27" s="1014"/>
      <c r="M27" s="1014"/>
      <c r="N27" s="1014"/>
      <c r="O27" s="1014"/>
      <c r="P27" s="1014"/>
      <c r="Q27" s="1014"/>
      <c r="R27" s="1014"/>
      <c r="S27" s="1015">
        <f t="shared" si="1"/>
        <v>0</v>
      </c>
      <c r="T27" s="1014"/>
      <c r="U27" s="1014"/>
      <c r="V27" s="1014"/>
      <c r="W27" s="1015">
        <f t="shared" si="2"/>
        <v>0</v>
      </c>
      <c r="X27" s="1016"/>
      <c r="Y27" s="1017"/>
      <c r="Z27" s="1018" t="s">
        <v>3458</v>
      </c>
      <c r="AB27" s="1008" t="e">
        <f t="shared" si="0"/>
        <v>#DIV/0!</v>
      </c>
    </row>
    <row r="28" spans="1:28" s="1007" customFormat="1" ht="18" customHeight="1" x14ac:dyDescent="0.25">
      <c r="A28" s="1009">
        <v>20</v>
      </c>
      <c r="B28" s="1010"/>
      <c r="C28" s="1011">
        <v>2026</v>
      </c>
      <c r="D28" s="1012" t="s">
        <v>3396</v>
      </c>
      <c r="E28" s="1013" t="s">
        <v>548</v>
      </c>
      <c r="F28" s="1014"/>
      <c r="G28" s="1014"/>
      <c r="H28" s="1014"/>
      <c r="I28" s="1014"/>
      <c r="J28" s="1014"/>
      <c r="K28" s="1014"/>
      <c r="L28" s="1014"/>
      <c r="M28" s="1014"/>
      <c r="N28" s="1014"/>
      <c r="O28" s="1014"/>
      <c r="P28" s="1014"/>
      <c r="Q28" s="1014"/>
      <c r="R28" s="1014"/>
      <c r="S28" s="1015">
        <f t="shared" si="1"/>
        <v>0</v>
      </c>
      <c r="T28" s="1014"/>
      <c r="U28" s="1014"/>
      <c r="V28" s="1014"/>
      <c r="W28" s="1015">
        <f>SUM(T28:V28)/3</f>
        <v>0</v>
      </c>
      <c r="X28" s="1016"/>
      <c r="Y28" s="1017"/>
      <c r="Z28" s="1018" t="s">
        <v>3459</v>
      </c>
      <c r="AB28" s="1008" t="e">
        <f t="shared" si="0"/>
        <v>#DIV/0!</v>
      </c>
    </row>
    <row r="29" spans="1:28" s="1007" customFormat="1" ht="18" customHeight="1" x14ac:dyDescent="0.25">
      <c r="A29" s="1009">
        <v>21</v>
      </c>
      <c r="B29" s="1010"/>
      <c r="C29" s="1011">
        <v>2026</v>
      </c>
      <c r="D29" s="1012" t="s">
        <v>3397</v>
      </c>
      <c r="E29" s="1013" t="s">
        <v>2553</v>
      </c>
      <c r="F29" s="1014"/>
      <c r="G29" s="1014"/>
      <c r="H29" s="1014"/>
      <c r="I29" s="1014"/>
      <c r="J29" s="1014"/>
      <c r="K29" s="1014"/>
      <c r="L29" s="1014"/>
      <c r="M29" s="1014"/>
      <c r="N29" s="1014"/>
      <c r="O29" s="1014"/>
      <c r="P29" s="1014"/>
      <c r="Q29" s="1014"/>
      <c r="R29" s="1014"/>
      <c r="S29" s="1015">
        <f t="shared" si="1"/>
        <v>0</v>
      </c>
      <c r="T29" s="1014"/>
      <c r="U29" s="1014"/>
      <c r="V29" s="1014"/>
      <c r="W29" s="1015">
        <f>SUM(T29:V29)/3</f>
        <v>0</v>
      </c>
      <c r="X29" s="1016"/>
      <c r="Y29" s="1017"/>
      <c r="Z29" s="1018" t="s">
        <v>3460</v>
      </c>
      <c r="AB29" s="1008" t="e">
        <f t="shared" si="0"/>
        <v>#DIV/0!</v>
      </c>
    </row>
    <row r="30" spans="1:28" s="1007" customFormat="1" ht="18" customHeight="1" x14ac:dyDescent="0.25">
      <c r="A30" s="1009">
        <v>22</v>
      </c>
      <c r="B30" s="1010"/>
      <c r="C30" s="1011">
        <v>2026</v>
      </c>
      <c r="D30" s="1012" t="s">
        <v>3110</v>
      </c>
      <c r="E30" s="1013" t="s">
        <v>3398</v>
      </c>
      <c r="F30" s="1014"/>
      <c r="G30" s="1014"/>
      <c r="H30" s="1014"/>
      <c r="I30" s="1014"/>
      <c r="J30" s="1014"/>
      <c r="K30" s="1014"/>
      <c r="L30" s="1014"/>
      <c r="M30" s="1014"/>
      <c r="N30" s="1014"/>
      <c r="O30" s="1014"/>
      <c r="P30" s="1014"/>
      <c r="Q30" s="1014"/>
      <c r="R30" s="1014"/>
      <c r="S30" s="1015">
        <f t="shared" si="1"/>
        <v>0</v>
      </c>
      <c r="T30" s="1014"/>
      <c r="U30" s="1014"/>
      <c r="V30" s="1014"/>
      <c r="W30" s="1015">
        <f t="shared" ref="W30:W66" si="3">SUM(T30:V30)/3</f>
        <v>0</v>
      </c>
      <c r="X30" s="1016"/>
      <c r="Y30" s="1017"/>
      <c r="Z30" s="1018" t="s">
        <v>3461</v>
      </c>
      <c r="AB30" s="1008" t="e">
        <f t="shared" si="0"/>
        <v>#DIV/0!</v>
      </c>
    </row>
    <row r="31" spans="1:28" s="1007" customFormat="1" ht="18" customHeight="1" x14ac:dyDescent="0.25">
      <c r="A31" s="1009">
        <v>23</v>
      </c>
      <c r="B31" s="1010"/>
      <c r="C31" s="1011">
        <v>2026</v>
      </c>
      <c r="D31" s="1012" t="s">
        <v>3399</v>
      </c>
      <c r="E31" s="1013" t="s">
        <v>3400</v>
      </c>
      <c r="F31" s="1014"/>
      <c r="G31" s="1014"/>
      <c r="H31" s="1014"/>
      <c r="I31" s="1014"/>
      <c r="J31" s="1014"/>
      <c r="K31" s="1014"/>
      <c r="L31" s="1014"/>
      <c r="M31" s="1014"/>
      <c r="N31" s="1014"/>
      <c r="O31" s="1014"/>
      <c r="P31" s="1014"/>
      <c r="Q31" s="1014"/>
      <c r="R31" s="1014"/>
      <c r="S31" s="1015">
        <f t="shared" si="1"/>
        <v>0</v>
      </c>
      <c r="T31" s="1014"/>
      <c r="U31" s="1014"/>
      <c r="V31" s="1014"/>
      <c r="W31" s="1015">
        <f t="shared" si="3"/>
        <v>0</v>
      </c>
      <c r="X31" s="1016"/>
      <c r="Y31" s="1017"/>
      <c r="Z31" s="1018" t="s">
        <v>3462</v>
      </c>
      <c r="AB31" s="1008" t="e">
        <f t="shared" si="0"/>
        <v>#DIV/0!</v>
      </c>
    </row>
    <row r="32" spans="1:28" s="1007" customFormat="1" ht="18" customHeight="1" x14ac:dyDescent="0.25">
      <c r="A32" s="1009">
        <v>24</v>
      </c>
      <c r="B32" s="1010"/>
      <c r="C32" s="1011">
        <v>2026</v>
      </c>
      <c r="D32" s="1012" t="s">
        <v>2830</v>
      </c>
      <c r="E32" s="1013" t="s">
        <v>3401</v>
      </c>
      <c r="F32" s="1014"/>
      <c r="G32" s="1014"/>
      <c r="H32" s="1014"/>
      <c r="I32" s="1014"/>
      <c r="J32" s="1014"/>
      <c r="K32" s="1014"/>
      <c r="L32" s="1014"/>
      <c r="M32" s="1014"/>
      <c r="N32" s="1014"/>
      <c r="O32" s="1014"/>
      <c r="P32" s="1014"/>
      <c r="Q32" s="1014"/>
      <c r="R32" s="1014"/>
      <c r="S32" s="1015">
        <f t="shared" si="1"/>
        <v>0</v>
      </c>
      <c r="T32" s="1014"/>
      <c r="U32" s="1014"/>
      <c r="V32" s="1014"/>
      <c r="W32" s="1015">
        <f t="shared" si="3"/>
        <v>0</v>
      </c>
      <c r="X32" s="1016"/>
      <c r="Y32" s="1017"/>
      <c r="Z32" s="1018" t="s">
        <v>3004</v>
      </c>
      <c r="AB32" s="1008" t="e">
        <f t="shared" si="0"/>
        <v>#DIV/0!</v>
      </c>
    </row>
    <row r="33" spans="1:28" s="1007" customFormat="1" ht="18" customHeight="1" x14ac:dyDescent="0.25">
      <c r="A33" s="1009">
        <v>25</v>
      </c>
      <c r="B33" s="1010"/>
      <c r="C33" s="1011">
        <v>2026</v>
      </c>
      <c r="D33" s="1012" t="s">
        <v>2822</v>
      </c>
      <c r="E33" s="1013" t="s">
        <v>3402</v>
      </c>
      <c r="F33" s="1014"/>
      <c r="G33" s="1014"/>
      <c r="H33" s="1014"/>
      <c r="I33" s="1014"/>
      <c r="J33" s="1014"/>
      <c r="K33" s="1014"/>
      <c r="L33" s="1014"/>
      <c r="M33" s="1014"/>
      <c r="N33" s="1014"/>
      <c r="O33" s="1014"/>
      <c r="P33" s="1014"/>
      <c r="Q33" s="1014"/>
      <c r="R33" s="1014"/>
      <c r="S33" s="1015">
        <f t="shared" si="1"/>
        <v>0</v>
      </c>
      <c r="T33" s="1014"/>
      <c r="U33" s="1014"/>
      <c r="V33" s="1014"/>
      <c r="W33" s="1015">
        <f t="shared" si="3"/>
        <v>0</v>
      </c>
      <c r="X33" s="1016"/>
      <c r="Y33" s="1017"/>
      <c r="Z33" s="1018" t="s">
        <v>2513</v>
      </c>
      <c r="AB33" s="1008" t="e">
        <f t="shared" si="0"/>
        <v>#DIV/0!</v>
      </c>
    </row>
    <row r="34" spans="1:28" s="1007" customFormat="1" ht="18" customHeight="1" x14ac:dyDescent="0.25">
      <c r="A34" s="1009">
        <v>26</v>
      </c>
      <c r="B34" s="1010"/>
      <c r="C34" s="1011">
        <v>2026</v>
      </c>
      <c r="D34" s="1012" t="s">
        <v>3403</v>
      </c>
      <c r="E34" s="1013" t="s">
        <v>536</v>
      </c>
      <c r="F34" s="1014"/>
      <c r="G34" s="1014"/>
      <c r="H34" s="1014"/>
      <c r="I34" s="1014"/>
      <c r="J34" s="1014"/>
      <c r="K34" s="1014"/>
      <c r="L34" s="1014"/>
      <c r="M34" s="1014"/>
      <c r="N34" s="1014"/>
      <c r="O34" s="1014"/>
      <c r="P34" s="1014"/>
      <c r="Q34" s="1014"/>
      <c r="R34" s="1014"/>
      <c r="S34" s="1015">
        <f t="shared" si="1"/>
        <v>0</v>
      </c>
      <c r="T34" s="1014"/>
      <c r="U34" s="1014"/>
      <c r="V34" s="1014"/>
      <c r="W34" s="1015">
        <f t="shared" si="3"/>
        <v>0</v>
      </c>
      <c r="X34" s="1016"/>
      <c r="Y34" s="1017"/>
      <c r="Z34" s="1018" t="s">
        <v>3366</v>
      </c>
      <c r="AB34" s="1008" t="e">
        <f t="shared" si="0"/>
        <v>#DIV/0!</v>
      </c>
    </row>
    <row r="35" spans="1:28" s="1007" customFormat="1" ht="18" customHeight="1" x14ac:dyDescent="0.25">
      <c r="A35" s="1009">
        <v>27</v>
      </c>
      <c r="B35" s="1010"/>
      <c r="C35" s="1011">
        <v>2026</v>
      </c>
      <c r="D35" s="1012" t="s">
        <v>3404</v>
      </c>
      <c r="E35" s="1013" t="s">
        <v>3265</v>
      </c>
      <c r="F35" s="1014"/>
      <c r="G35" s="1014"/>
      <c r="H35" s="1014"/>
      <c r="I35" s="1014"/>
      <c r="J35" s="1014"/>
      <c r="K35" s="1014"/>
      <c r="L35" s="1014"/>
      <c r="M35" s="1014"/>
      <c r="N35" s="1014"/>
      <c r="O35" s="1014"/>
      <c r="P35" s="1014"/>
      <c r="Q35" s="1014"/>
      <c r="R35" s="1014"/>
      <c r="S35" s="1015">
        <f t="shared" si="1"/>
        <v>0</v>
      </c>
      <c r="T35" s="1014"/>
      <c r="U35" s="1014"/>
      <c r="V35" s="1014"/>
      <c r="W35" s="1015">
        <f t="shared" si="3"/>
        <v>0</v>
      </c>
      <c r="X35" s="1016"/>
      <c r="Y35" s="1017"/>
      <c r="Z35" s="1018" t="s">
        <v>2492</v>
      </c>
      <c r="AB35" s="1008" t="e">
        <f t="shared" si="0"/>
        <v>#DIV/0!</v>
      </c>
    </row>
    <row r="36" spans="1:28" s="1007" customFormat="1" ht="18" customHeight="1" x14ac:dyDescent="0.25">
      <c r="A36" s="1009">
        <v>28</v>
      </c>
      <c r="B36" s="1010"/>
      <c r="C36" s="1011">
        <v>2026</v>
      </c>
      <c r="D36" s="1012" t="s">
        <v>2837</v>
      </c>
      <c r="E36" s="1013" t="s">
        <v>2456</v>
      </c>
      <c r="F36" s="1014"/>
      <c r="G36" s="1014"/>
      <c r="H36" s="1014"/>
      <c r="I36" s="1014"/>
      <c r="J36" s="1014"/>
      <c r="K36" s="1014"/>
      <c r="L36" s="1014"/>
      <c r="M36" s="1014"/>
      <c r="N36" s="1014"/>
      <c r="O36" s="1014"/>
      <c r="P36" s="1014"/>
      <c r="Q36" s="1014"/>
      <c r="R36" s="1014"/>
      <c r="S36" s="1015">
        <f t="shared" si="1"/>
        <v>0</v>
      </c>
      <c r="T36" s="1014"/>
      <c r="U36" s="1014"/>
      <c r="V36" s="1014"/>
      <c r="W36" s="1015">
        <f t="shared" si="3"/>
        <v>0</v>
      </c>
      <c r="X36" s="1016"/>
      <c r="Y36" s="1017"/>
      <c r="Z36" s="1018" t="s">
        <v>3004</v>
      </c>
      <c r="AB36" s="1008" t="e">
        <f t="shared" si="0"/>
        <v>#DIV/0!</v>
      </c>
    </row>
    <row r="37" spans="1:28" s="1007" customFormat="1" ht="18" customHeight="1" x14ac:dyDescent="0.25">
      <c r="A37" s="1009">
        <v>29</v>
      </c>
      <c r="B37" s="1010"/>
      <c r="C37" s="1011">
        <v>2026</v>
      </c>
      <c r="D37" s="1012" t="s">
        <v>3405</v>
      </c>
      <c r="E37" s="1013" t="s">
        <v>3406</v>
      </c>
      <c r="F37" s="1014"/>
      <c r="G37" s="1014"/>
      <c r="H37" s="1014"/>
      <c r="I37" s="1014"/>
      <c r="J37" s="1014"/>
      <c r="K37" s="1014"/>
      <c r="L37" s="1014"/>
      <c r="M37" s="1014"/>
      <c r="N37" s="1014"/>
      <c r="O37" s="1014"/>
      <c r="P37" s="1014"/>
      <c r="Q37" s="1014"/>
      <c r="R37" s="1014"/>
      <c r="S37" s="1015">
        <f t="shared" si="1"/>
        <v>0</v>
      </c>
      <c r="T37" s="1014"/>
      <c r="U37" s="1014"/>
      <c r="V37" s="1014"/>
      <c r="W37" s="1015">
        <f t="shared" si="3"/>
        <v>0</v>
      </c>
      <c r="X37" s="1016"/>
      <c r="Y37" s="1017"/>
      <c r="Z37" s="1018" t="s">
        <v>3463</v>
      </c>
      <c r="AB37" s="1008" t="e">
        <f t="shared" si="0"/>
        <v>#DIV/0!</v>
      </c>
    </row>
    <row r="38" spans="1:28" s="1007" customFormat="1" ht="18" customHeight="1" x14ac:dyDescent="0.25">
      <c r="A38" s="1009">
        <v>30</v>
      </c>
      <c r="B38" s="1010"/>
      <c r="C38" s="1011">
        <v>2026</v>
      </c>
      <c r="D38" s="1012" t="s">
        <v>3407</v>
      </c>
      <c r="E38" s="1013" t="s">
        <v>1382</v>
      </c>
      <c r="F38" s="1014"/>
      <c r="G38" s="1014"/>
      <c r="H38" s="1014"/>
      <c r="I38" s="1014"/>
      <c r="J38" s="1014"/>
      <c r="K38" s="1014"/>
      <c r="L38" s="1014"/>
      <c r="M38" s="1014"/>
      <c r="N38" s="1014"/>
      <c r="O38" s="1014"/>
      <c r="P38" s="1014"/>
      <c r="Q38" s="1014"/>
      <c r="R38" s="1014"/>
      <c r="S38" s="1015">
        <f t="shared" si="1"/>
        <v>0</v>
      </c>
      <c r="T38" s="1014"/>
      <c r="U38" s="1014"/>
      <c r="V38" s="1014"/>
      <c r="W38" s="1015"/>
      <c r="X38" s="1016"/>
      <c r="Y38" s="1017"/>
      <c r="Z38" s="1018" t="s">
        <v>2503</v>
      </c>
      <c r="AB38" s="1008" t="e">
        <f t="shared" si="0"/>
        <v>#DIV/0!</v>
      </c>
    </row>
    <row r="39" spans="1:28" s="1007" customFormat="1" ht="18" customHeight="1" x14ac:dyDescent="0.25">
      <c r="A39" s="1009">
        <v>31</v>
      </c>
      <c r="B39" s="1010"/>
      <c r="C39" s="1011">
        <v>2026</v>
      </c>
      <c r="D39" s="1012" t="s">
        <v>3408</v>
      </c>
      <c r="E39" s="1013" t="s">
        <v>3409</v>
      </c>
      <c r="F39" s="1014"/>
      <c r="G39" s="1014"/>
      <c r="H39" s="1014"/>
      <c r="I39" s="1014"/>
      <c r="J39" s="1014"/>
      <c r="K39" s="1014"/>
      <c r="L39" s="1014"/>
      <c r="M39" s="1014"/>
      <c r="N39" s="1014"/>
      <c r="O39" s="1014"/>
      <c r="P39" s="1014"/>
      <c r="Q39" s="1014"/>
      <c r="R39" s="1014"/>
      <c r="S39" s="1015">
        <f t="shared" si="1"/>
        <v>0</v>
      </c>
      <c r="T39" s="1014"/>
      <c r="U39" s="1014"/>
      <c r="V39" s="1014"/>
      <c r="W39" s="1015"/>
      <c r="X39" s="1016"/>
      <c r="Y39" s="1017"/>
      <c r="Z39" s="1018" t="s">
        <v>3357</v>
      </c>
      <c r="AB39" s="1008" t="e">
        <f t="shared" si="0"/>
        <v>#DIV/0!</v>
      </c>
    </row>
    <row r="40" spans="1:28" s="1007" customFormat="1" ht="18" customHeight="1" x14ac:dyDescent="0.25">
      <c r="A40" s="1009">
        <v>32</v>
      </c>
      <c r="B40" s="1010"/>
      <c r="C40" s="1011">
        <v>2026</v>
      </c>
      <c r="D40" s="1012" t="s">
        <v>3410</v>
      </c>
      <c r="E40" s="1013" t="s">
        <v>3411</v>
      </c>
      <c r="F40" s="1014"/>
      <c r="G40" s="1014"/>
      <c r="H40" s="1014"/>
      <c r="I40" s="1014"/>
      <c r="J40" s="1014"/>
      <c r="K40" s="1014"/>
      <c r="L40" s="1014"/>
      <c r="M40" s="1014"/>
      <c r="N40" s="1014"/>
      <c r="O40" s="1014"/>
      <c r="P40" s="1014"/>
      <c r="Q40" s="1014"/>
      <c r="R40" s="1014"/>
      <c r="S40" s="1015">
        <f t="shared" si="1"/>
        <v>0</v>
      </c>
      <c r="T40" s="1014"/>
      <c r="U40" s="1014"/>
      <c r="V40" s="1014"/>
      <c r="W40" s="1015"/>
      <c r="X40" s="1016"/>
      <c r="Y40" s="1017"/>
      <c r="Z40" s="1018" t="s">
        <v>3004</v>
      </c>
      <c r="AB40" s="1008" t="e">
        <f t="shared" si="0"/>
        <v>#DIV/0!</v>
      </c>
    </row>
    <row r="41" spans="1:28" s="1007" customFormat="1" ht="18" customHeight="1" x14ac:dyDescent="0.25">
      <c r="A41" s="1009">
        <v>33</v>
      </c>
      <c r="B41" s="1010"/>
      <c r="C41" s="1011">
        <v>2026</v>
      </c>
      <c r="D41" s="1012" t="s">
        <v>3412</v>
      </c>
      <c r="E41" s="1013" t="s">
        <v>3413</v>
      </c>
      <c r="F41" s="1014"/>
      <c r="G41" s="1014"/>
      <c r="H41" s="1014"/>
      <c r="I41" s="1014"/>
      <c r="J41" s="1014"/>
      <c r="K41" s="1014"/>
      <c r="L41" s="1014"/>
      <c r="M41" s="1014"/>
      <c r="N41" s="1014"/>
      <c r="O41" s="1014"/>
      <c r="P41" s="1014"/>
      <c r="Q41" s="1014"/>
      <c r="R41" s="1014"/>
      <c r="S41" s="1015">
        <f t="shared" si="1"/>
        <v>0</v>
      </c>
      <c r="T41" s="1014"/>
      <c r="U41" s="1014"/>
      <c r="V41" s="1014"/>
      <c r="W41" s="1015"/>
      <c r="X41" s="1016"/>
      <c r="Y41" s="1017"/>
      <c r="Z41" s="1018" t="s">
        <v>2733</v>
      </c>
      <c r="AB41" s="1008" t="e">
        <f t="shared" si="0"/>
        <v>#DIV/0!</v>
      </c>
    </row>
    <row r="42" spans="1:28" s="1007" customFormat="1" ht="18" customHeight="1" x14ac:dyDescent="0.25">
      <c r="A42" s="1009">
        <v>34</v>
      </c>
      <c r="B42" s="1010"/>
      <c r="C42" s="1011">
        <v>2026</v>
      </c>
      <c r="D42" s="1012" t="s">
        <v>2874</v>
      </c>
      <c r="E42" s="1013" t="s">
        <v>2838</v>
      </c>
      <c r="F42" s="1014"/>
      <c r="G42" s="1014"/>
      <c r="H42" s="1014"/>
      <c r="I42" s="1014"/>
      <c r="J42" s="1014"/>
      <c r="K42" s="1014"/>
      <c r="L42" s="1014"/>
      <c r="M42" s="1014"/>
      <c r="N42" s="1014"/>
      <c r="O42" s="1014"/>
      <c r="P42" s="1014"/>
      <c r="Q42" s="1014"/>
      <c r="R42" s="1014"/>
      <c r="S42" s="1015">
        <f t="shared" si="1"/>
        <v>0</v>
      </c>
      <c r="T42" s="1014"/>
      <c r="U42" s="1014"/>
      <c r="V42" s="1014"/>
      <c r="W42" s="1015"/>
      <c r="X42" s="1016"/>
      <c r="Y42" s="1017"/>
      <c r="Z42" s="1018" t="s">
        <v>2988</v>
      </c>
      <c r="AB42" s="1008" t="e">
        <f t="shared" si="0"/>
        <v>#DIV/0!</v>
      </c>
    </row>
    <row r="43" spans="1:28" s="1007" customFormat="1" ht="18" customHeight="1" x14ac:dyDescent="0.25">
      <c r="A43" s="1009">
        <v>35</v>
      </c>
      <c r="B43" s="1010"/>
      <c r="C43" s="1011">
        <v>2026</v>
      </c>
      <c r="D43" s="1012" t="s">
        <v>3414</v>
      </c>
      <c r="E43" s="1013" t="s">
        <v>3415</v>
      </c>
      <c r="F43" s="1014"/>
      <c r="G43" s="1014"/>
      <c r="H43" s="1014"/>
      <c r="I43" s="1014"/>
      <c r="J43" s="1014"/>
      <c r="K43" s="1014"/>
      <c r="L43" s="1014"/>
      <c r="M43" s="1014"/>
      <c r="N43" s="1014"/>
      <c r="O43" s="1014"/>
      <c r="P43" s="1014"/>
      <c r="Q43" s="1014"/>
      <c r="R43" s="1014"/>
      <c r="S43" s="1015">
        <f t="shared" si="1"/>
        <v>0</v>
      </c>
      <c r="T43" s="1014"/>
      <c r="U43" s="1014"/>
      <c r="V43" s="1014"/>
      <c r="W43" s="1015"/>
      <c r="X43" s="1016"/>
      <c r="Y43" s="1017"/>
      <c r="Z43" s="1018" t="s">
        <v>2514</v>
      </c>
      <c r="AB43" s="1008" t="e">
        <f t="shared" si="0"/>
        <v>#DIV/0!</v>
      </c>
    </row>
    <row r="44" spans="1:28" s="1007" customFormat="1" ht="18" customHeight="1" x14ac:dyDescent="0.25">
      <c r="A44" s="1009">
        <v>36</v>
      </c>
      <c r="B44" s="1010"/>
      <c r="C44" s="1011">
        <v>2026</v>
      </c>
      <c r="D44" s="1012" t="s">
        <v>3309</v>
      </c>
      <c r="E44" s="1013" t="s">
        <v>3416</v>
      </c>
      <c r="F44" s="1014"/>
      <c r="G44" s="1014"/>
      <c r="H44" s="1014"/>
      <c r="I44" s="1014"/>
      <c r="J44" s="1014"/>
      <c r="K44" s="1014"/>
      <c r="L44" s="1014"/>
      <c r="M44" s="1014"/>
      <c r="N44" s="1014"/>
      <c r="O44" s="1014"/>
      <c r="P44" s="1014"/>
      <c r="Q44" s="1014"/>
      <c r="R44" s="1014"/>
      <c r="S44" s="1015">
        <f t="shared" si="1"/>
        <v>0</v>
      </c>
      <c r="T44" s="1014"/>
      <c r="U44" s="1014"/>
      <c r="V44" s="1014"/>
      <c r="W44" s="1015"/>
      <c r="X44" s="1016"/>
      <c r="Y44" s="1017"/>
      <c r="Z44" s="1018" t="s">
        <v>3004</v>
      </c>
      <c r="AB44" s="1008" t="e">
        <f t="shared" si="0"/>
        <v>#DIV/0!</v>
      </c>
    </row>
    <row r="45" spans="1:28" s="1007" customFormat="1" ht="18" customHeight="1" x14ac:dyDescent="0.25">
      <c r="A45" s="1009">
        <v>37</v>
      </c>
      <c r="B45" s="1010"/>
      <c r="C45" s="1011">
        <v>2026</v>
      </c>
      <c r="D45" s="1012" t="s">
        <v>3417</v>
      </c>
      <c r="E45" s="1013" t="s">
        <v>2417</v>
      </c>
      <c r="F45" s="1014"/>
      <c r="G45" s="1014"/>
      <c r="H45" s="1014"/>
      <c r="I45" s="1014"/>
      <c r="J45" s="1014"/>
      <c r="K45" s="1014"/>
      <c r="L45" s="1014"/>
      <c r="M45" s="1014"/>
      <c r="N45" s="1014"/>
      <c r="O45" s="1014"/>
      <c r="P45" s="1014"/>
      <c r="Q45" s="1014"/>
      <c r="R45" s="1014"/>
      <c r="S45" s="1015">
        <f t="shared" si="1"/>
        <v>0</v>
      </c>
      <c r="T45" s="1014"/>
      <c r="U45" s="1014"/>
      <c r="V45" s="1014"/>
      <c r="W45" s="1015"/>
      <c r="X45" s="1016"/>
      <c r="Y45" s="1017"/>
      <c r="Z45" s="1018" t="s">
        <v>2700</v>
      </c>
      <c r="AB45" s="1008" t="e">
        <f t="shared" si="0"/>
        <v>#DIV/0!</v>
      </c>
    </row>
    <row r="46" spans="1:28" s="1007" customFormat="1" ht="18" customHeight="1" x14ac:dyDescent="0.25">
      <c r="A46" s="1009">
        <v>38</v>
      </c>
      <c r="B46" s="1010"/>
      <c r="C46" s="1011">
        <v>2026</v>
      </c>
      <c r="D46" s="1012" t="s">
        <v>3418</v>
      </c>
      <c r="E46" s="1013" t="s">
        <v>2669</v>
      </c>
      <c r="F46" s="1014"/>
      <c r="G46" s="1014"/>
      <c r="H46" s="1014"/>
      <c r="I46" s="1014"/>
      <c r="J46" s="1014"/>
      <c r="K46" s="1014"/>
      <c r="L46" s="1014"/>
      <c r="M46" s="1014"/>
      <c r="N46" s="1014"/>
      <c r="O46" s="1014"/>
      <c r="P46" s="1014"/>
      <c r="Q46" s="1014"/>
      <c r="R46" s="1014"/>
      <c r="S46" s="1015">
        <f t="shared" si="1"/>
        <v>0</v>
      </c>
      <c r="T46" s="1014"/>
      <c r="U46" s="1014"/>
      <c r="V46" s="1014"/>
      <c r="W46" s="1015"/>
      <c r="X46" s="1016"/>
      <c r="Y46" s="1017"/>
      <c r="Z46" s="1018" t="s">
        <v>3464</v>
      </c>
      <c r="AB46" s="1008" t="e">
        <f t="shared" si="0"/>
        <v>#DIV/0!</v>
      </c>
    </row>
    <row r="47" spans="1:28" s="1007" customFormat="1" ht="18" customHeight="1" x14ac:dyDescent="0.25">
      <c r="A47" s="1009">
        <v>39</v>
      </c>
      <c r="B47" s="1010"/>
      <c r="C47" s="1011">
        <v>2026</v>
      </c>
      <c r="D47" s="1012" t="s">
        <v>3419</v>
      </c>
      <c r="E47" s="1013" t="s">
        <v>3420</v>
      </c>
      <c r="F47" s="1014"/>
      <c r="G47" s="1014"/>
      <c r="H47" s="1014"/>
      <c r="I47" s="1014"/>
      <c r="J47" s="1014"/>
      <c r="K47" s="1014"/>
      <c r="L47" s="1014"/>
      <c r="M47" s="1014"/>
      <c r="N47" s="1014"/>
      <c r="O47" s="1014"/>
      <c r="P47" s="1014"/>
      <c r="Q47" s="1014"/>
      <c r="R47" s="1014"/>
      <c r="S47" s="1015">
        <f t="shared" si="1"/>
        <v>0</v>
      </c>
      <c r="T47" s="1014"/>
      <c r="U47" s="1014"/>
      <c r="V47" s="1014"/>
      <c r="W47" s="1015">
        <f t="shared" si="3"/>
        <v>0</v>
      </c>
      <c r="X47" s="1016"/>
      <c r="Y47" s="1017"/>
      <c r="Z47" s="1018" t="s">
        <v>3456</v>
      </c>
      <c r="AB47" s="1008" t="e">
        <f t="shared" si="0"/>
        <v>#DIV/0!</v>
      </c>
    </row>
    <row r="48" spans="1:28" s="1007" customFormat="1" ht="18" customHeight="1" x14ac:dyDescent="0.25">
      <c r="A48" s="1009">
        <v>40</v>
      </c>
      <c r="B48" s="1010"/>
      <c r="C48" s="1011">
        <v>2026</v>
      </c>
      <c r="D48" s="1012" t="s">
        <v>3421</v>
      </c>
      <c r="E48" s="1013" t="s">
        <v>3422</v>
      </c>
      <c r="F48" s="1014"/>
      <c r="G48" s="1014"/>
      <c r="H48" s="1014"/>
      <c r="I48" s="1014"/>
      <c r="J48" s="1014"/>
      <c r="K48" s="1014"/>
      <c r="L48" s="1014"/>
      <c r="M48" s="1014"/>
      <c r="N48" s="1014"/>
      <c r="O48" s="1014"/>
      <c r="P48" s="1014"/>
      <c r="Q48" s="1014"/>
      <c r="R48" s="1014"/>
      <c r="S48" s="1015">
        <f t="shared" si="1"/>
        <v>0</v>
      </c>
      <c r="T48" s="1014"/>
      <c r="U48" s="1014"/>
      <c r="V48" s="1014"/>
      <c r="W48" s="1015">
        <f t="shared" si="3"/>
        <v>0</v>
      </c>
      <c r="X48" s="1016"/>
      <c r="Y48" s="1017"/>
      <c r="Z48" s="1018" t="s">
        <v>2999</v>
      </c>
      <c r="AB48" s="1008" t="e">
        <f t="shared" si="0"/>
        <v>#DIV/0!</v>
      </c>
    </row>
    <row r="49" spans="1:28" s="1007" customFormat="1" ht="18" customHeight="1" x14ac:dyDescent="0.25">
      <c r="A49" s="1009">
        <v>41</v>
      </c>
      <c r="B49" s="1010"/>
      <c r="C49" s="1011">
        <v>2026</v>
      </c>
      <c r="D49" s="1012" t="s">
        <v>3423</v>
      </c>
      <c r="E49" s="1013" t="s">
        <v>2623</v>
      </c>
      <c r="F49" s="1014"/>
      <c r="G49" s="1014"/>
      <c r="H49" s="1014"/>
      <c r="I49" s="1014"/>
      <c r="J49" s="1014"/>
      <c r="K49" s="1014"/>
      <c r="L49" s="1014"/>
      <c r="M49" s="1014"/>
      <c r="N49" s="1014"/>
      <c r="O49" s="1014"/>
      <c r="P49" s="1014"/>
      <c r="Q49" s="1014"/>
      <c r="R49" s="1014"/>
      <c r="S49" s="1015">
        <f t="shared" si="1"/>
        <v>0</v>
      </c>
      <c r="T49" s="1014"/>
      <c r="U49" s="1014"/>
      <c r="V49" s="1014"/>
      <c r="W49" s="1015">
        <f t="shared" si="3"/>
        <v>0</v>
      </c>
      <c r="X49" s="1016"/>
      <c r="Y49" s="1017"/>
      <c r="Z49" s="1018" t="s">
        <v>3465</v>
      </c>
      <c r="AB49" s="1008" t="e">
        <f t="shared" si="0"/>
        <v>#DIV/0!</v>
      </c>
    </row>
    <row r="50" spans="1:28" s="1007" customFormat="1" ht="18" customHeight="1" x14ac:dyDescent="0.25">
      <c r="A50" s="1009">
        <v>42</v>
      </c>
      <c r="B50" s="1010"/>
      <c r="C50" s="1011">
        <v>2026</v>
      </c>
      <c r="D50" s="1012" t="s">
        <v>3424</v>
      </c>
      <c r="E50" s="1013" t="s">
        <v>3425</v>
      </c>
      <c r="F50" s="1014"/>
      <c r="G50" s="1014"/>
      <c r="H50" s="1014"/>
      <c r="I50" s="1014"/>
      <c r="J50" s="1014"/>
      <c r="K50" s="1014"/>
      <c r="L50" s="1014"/>
      <c r="M50" s="1014"/>
      <c r="N50" s="1014"/>
      <c r="O50" s="1014"/>
      <c r="P50" s="1014"/>
      <c r="Q50" s="1014"/>
      <c r="R50" s="1014"/>
      <c r="S50" s="1015">
        <f t="shared" si="1"/>
        <v>0</v>
      </c>
      <c r="T50" s="1014"/>
      <c r="U50" s="1014"/>
      <c r="V50" s="1014"/>
      <c r="W50" s="1015">
        <f t="shared" si="3"/>
        <v>0</v>
      </c>
      <c r="X50" s="1016"/>
      <c r="Y50" s="1017"/>
      <c r="Z50" s="1018" t="s">
        <v>3196</v>
      </c>
      <c r="AB50" s="1008" t="e">
        <f t="shared" si="0"/>
        <v>#DIV/0!</v>
      </c>
    </row>
    <row r="51" spans="1:28" s="1007" customFormat="1" ht="18" customHeight="1" x14ac:dyDescent="0.25">
      <c r="A51" s="1009">
        <v>43</v>
      </c>
      <c r="B51" s="1010"/>
      <c r="C51" s="1011">
        <v>2026</v>
      </c>
      <c r="D51" s="1012" t="s">
        <v>3426</v>
      </c>
      <c r="E51" s="1013" t="s">
        <v>2912</v>
      </c>
      <c r="F51" s="1014"/>
      <c r="G51" s="1014"/>
      <c r="H51" s="1014"/>
      <c r="I51" s="1014"/>
      <c r="J51" s="1014"/>
      <c r="K51" s="1014"/>
      <c r="L51" s="1014"/>
      <c r="M51" s="1014"/>
      <c r="N51" s="1014"/>
      <c r="O51" s="1014"/>
      <c r="P51" s="1014"/>
      <c r="Q51" s="1014"/>
      <c r="R51" s="1014"/>
      <c r="S51" s="1015">
        <f t="shared" si="1"/>
        <v>0</v>
      </c>
      <c r="T51" s="1014"/>
      <c r="U51" s="1014"/>
      <c r="V51" s="1014"/>
      <c r="W51" s="1015">
        <f t="shared" si="3"/>
        <v>0</v>
      </c>
      <c r="X51" s="1016"/>
      <c r="Y51" s="1017"/>
      <c r="Z51" s="1018" t="s">
        <v>2708</v>
      </c>
      <c r="AB51" s="1008" t="e">
        <f t="shared" si="0"/>
        <v>#DIV/0!</v>
      </c>
    </row>
    <row r="52" spans="1:28" s="1007" customFormat="1" ht="18" customHeight="1" x14ac:dyDescent="0.25">
      <c r="A52" s="1009">
        <v>44</v>
      </c>
      <c r="B52" s="1010"/>
      <c r="C52" s="1011">
        <v>2026</v>
      </c>
      <c r="D52" s="1012" t="s">
        <v>3427</v>
      </c>
      <c r="E52" s="1013" t="s">
        <v>3428</v>
      </c>
      <c r="F52" s="1014"/>
      <c r="G52" s="1014"/>
      <c r="H52" s="1014"/>
      <c r="I52" s="1014"/>
      <c r="J52" s="1014"/>
      <c r="K52" s="1014"/>
      <c r="L52" s="1014"/>
      <c r="M52" s="1014"/>
      <c r="N52" s="1014"/>
      <c r="O52" s="1014"/>
      <c r="P52" s="1014"/>
      <c r="Q52" s="1014"/>
      <c r="R52" s="1014"/>
      <c r="S52" s="1015">
        <f t="shared" si="1"/>
        <v>0</v>
      </c>
      <c r="T52" s="1014"/>
      <c r="U52" s="1014"/>
      <c r="V52" s="1014"/>
      <c r="W52" s="1015">
        <f t="shared" si="3"/>
        <v>0</v>
      </c>
      <c r="X52" s="1016"/>
      <c r="Y52" s="1017"/>
      <c r="Z52" s="1018" t="s">
        <v>2515</v>
      </c>
      <c r="AB52" s="1008" t="e">
        <f t="shared" si="0"/>
        <v>#DIV/0!</v>
      </c>
    </row>
    <row r="53" spans="1:28" s="1007" customFormat="1" ht="18" customHeight="1" x14ac:dyDescent="0.25">
      <c r="A53" s="1009">
        <v>45</v>
      </c>
      <c r="B53" s="1010"/>
      <c r="C53" s="1011">
        <v>2026</v>
      </c>
      <c r="D53" s="1012" t="s">
        <v>3429</v>
      </c>
      <c r="E53" s="1013" t="s">
        <v>3430</v>
      </c>
      <c r="F53" s="1014"/>
      <c r="G53" s="1014"/>
      <c r="H53" s="1014"/>
      <c r="I53" s="1014"/>
      <c r="J53" s="1014"/>
      <c r="K53" s="1014"/>
      <c r="L53" s="1014"/>
      <c r="M53" s="1014"/>
      <c r="N53" s="1014"/>
      <c r="O53" s="1014"/>
      <c r="P53" s="1014"/>
      <c r="Q53" s="1014"/>
      <c r="R53" s="1014"/>
      <c r="S53" s="1015">
        <f t="shared" si="1"/>
        <v>0</v>
      </c>
      <c r="T53" s="1014"/>
      <c r="U53" s="1014"/>
      <c r="V53" s="1014"/>
      <c r="W53" s="1015">
        <f t="shared" si="3"/>
        <v>0</v>
      </c>
      <c r="X53" s="1016"/>
      <c r="Y53" s="1017"/>
      <c r="Z53" s="1018" t="s">
        <v>2242</v>
      </c>
      <c r="AB53" s="1008" t="e">
        <f t="shared" si="0"/>
        <v>#DIV/0!</v>
      </c>
    </row>
    <row r="54" spans="1:28" s="1007" customFormat="1" ht="18" customHeight="1" x14ac:dyDescent="0.25">
      <c r="A54" s="1009">
        <v>46</v>
      </c>
      <c r="B54" s="1010"/>
      <c r="C54" s="1011">
        <v>2026</v>
      </c>
      <c r="D54" s="1012" t="s">
        <v>3431</v>
      </c>
      <c r="E54" s="1013" t="s">
        <v>3432</v>
      </c>
      <c r="F54" s="1014"/>
      <c r="G54" s="1014"/>
      <c r="H54" s="1014"/>
      <c r="I54" s="1014"/>
      <c r="J54" s="1014"/>
      <c r="K54" s="1014"/>
      <c r="L54" s="1014"/>
      <c r="M54" s="1014"/>
      <c r="N54" s="1014"/>
      <c r="O54" s="1014"/>
      <c r="P54" s="1014"/>
      <c r="Q54" s="1014"/>
      <c r="R54" s="1014"/>
      <c r="S54" s="1015">
        <f t="shared" si="1"/>
        <v>0</v>
      </c>
      <c r="T54" s="1014"/>
      <c r="U54" s="1014"/>
      <c r="V54" s="1014"/>
      <c r="W54" s="1015"/>
      <c r="X54" s="1016"/>
      <c r="Y54" s="1017"/>
      <c r="Z54" s="1018" t="s">
        <v>3466</v>
      </c>
      <c r="AB54" s="1008" t="e">
        <f t="shared" si="0"/>
        <v>#DIV/0!</v>
      </c>
    </row>
    <row r="55" spans="1:28" s="1007" customFormat="1" ht="18" customHeight="1" x14ac:dyDescent="0.25">
      <c r="A55" s="1009">
        <v>47</v>
      </c>
      <c r="B55" s="1010"/>
      <c r="C55" s="1011">
        <v>2026</v>
      </c>
      <c r="D55" s="1012" t="s">
        <v>3433</v>
      </c>
      <c r="E55" s="1013" t="s">
        <v>3434</v>
      </c>
      <c r="F55" s="1014"/>
      <c r="G55" s="1014"/>
      <c r="H55" s="1014"/>
      <c r="I55" s="1014"/>
      <c r="J55" s="1014"/>
      <c r="K55" s="1014"/>
      <c r="L55" s="1014"/>
      <c r="M55" s="1014"/>
      <c r="N55" s="1014"/>
      <c r="O55" s="1014"/>
      <c r="P55" s="1014"/>
      <c r="Q55" s="1014"/>
      <c r="R55" s="1014"/>
      <c r="S55" s="1015">
        <f t="shared" si="1"/>
        <v>0</v>
      </c>
      <c r="T55" s="1014"/>
      <c r="U55" s="1014"/>
      <c r="V55" s="1014"/>
      <c r="W55" s="1015"/>
      <c r="X55" s="1016"/>
      <c r="Y55" s="1017"/>
      <c r="Z55" s="1018" t="s">
        <v>3467</v>
      </c>
      <c r="AB55" s="1008" t="e">
        <f t="shared" si="0"/>
        <v>#DIV/0!</v>
      </c>
    </row>
    <row r="56" spans="1:28" s="1007" customFormat="1" ht="18" customHeight="1" x14ac:dyDescent="0.25">
      <c r="A56" s="1009">
        <v>48</v>
      </c>
      <c r="B56" s="1010"/>
      <c r="C56" s="1011">
        <v>2026</v>
      </c>
      <c r="D56" s="1012" t="s">
        <v>3435</v>
      </c>
      <c r="E56" s="1013" t="s">
        <v>3436</v>
      </c>
      <c r="F56" s="1014"/>
      <c r="G56" s="1014"/>
      <c r="H56" s="1014"/>
      <c r="I56" s="1014"/>
      <c r="J56" s="1014"/>
      <c r="K56" s="1014"/>
      <c r="L56" s="1014"/>
      <c r="M56" s="1014"/>
      <c r="N56" s="1014"/>
      <c r="O56" s="1014"/>
      <c r="P56" s="1014"/>
      <c r="Q56" s="1014"/>
      <c r="R56" s="1014"/>
      <c r="S56" s="1015">
        <f t="shared" si="1"/>
        <v>0</v>
      </c>
      <c r="T56" s="1014"/>
      <c r="U56" s="1014"/>
      <c r="V56" s="1014"/>
      <c r="W56" s="1015"/>
      <c r="X56" s="1016"/>
      <c r="Y56" s="1017"/>
      <c r="Z56" s="1018" t="s">
        <v>3464</v>
      </c>
      <c r="AB56" s="1008" t="e">
        <f t="shared" si="0"/>
        <v>#DIV/0!</v>
      </c>
    </row>
    <row r="57" spans="1:28" s="1007" customFormat="1" ht="18" customHeight="1" x14ac:dyDescent="0.25">
      <c r="A57" s="1009">
        <v>49</v>
      </c>
      <c r="B57" s="1010"/>
      <c r="C57" s="1011">
        <v>2026</v>
      </c>
      <c r="D57" s="1012" t="s">
        <v>3437</v>
      </c>
      <c r="E57" s="1013" t="s">
        <v>3438</v>
      </c>
      <c r="F57" s="1014"/>
      <c r="G57" s="1014"/>
      <c r="H57" s="1014"/>
      <c r="I57" s="1014"/>
      <c r="J57" s="1014"/>
      <c r="K57" s="1014"/>
      <c r="L57" s="1014"/>
      <c r="M57" s="1014"/>
      <c r="N57" s="1014"/>
      <c r="O57" s="1014"/>
      <c r="P57" s="1014"/>
      <c r="Q57" s="1014"/>
      <c r="R57" s="1014"/>
      <c r="S57" s="1015">
        <f t="shared" si="1"/>
        <v>0</v>
      </c>
      <c r="T57" s="1014"/>
      <c r="U57" s="1014"/>
      <c r="V57" s="1014"/>
      <c r="W57" s="1015"/>
      <c r="X57" s="1016"/>
      <c r="Y57" s="1017"/>
      <c r="Z57" s="1018" t="s">
        <v>3468</v>
      </c>
      <c r="AB57" s="1008" t="e">
        <f t="shared" si="0"/>
        <v>#DIV/0!</v>
      </c>
    </row>
    <row r="58" spans="1:28" s="1007" customFormat="1" ht="18" customHeight="1" x14ac:dyDescent="0.25">
      <c r="A58" s="1009">
        <v>50</v>
      </c>
      <c r="B58" s="1010"/>
      <c r="C58" s="1011">
        <v>2026</v>
      </c>
      <c r="D58" s="1012" t="s">
        <v>3439</v>
      </c>
      <c r="E58" s="1013" t="s">
        <v>2345</v>
      </c>
      <c r="F58" s="1014"/>
      <c r="G58" s="1014"/>
      <c r="H58" s="1014"/>
      <c r="I58" s="1014"/>
      <c r="J58" s="1014"/>
      <c r="K58" s="1014"/>
      <c r="L58" s="1014"/>
      <c r="M58" s="1014"/>
      <c r="N58" s="1014"/>
      <c r="O58" s="1014"/>
      <c r="P58" s="1014"/>
      <c r="Q58" s="1014"/>
      <c r="R58" s="1014"/>
      <c r="S58" s="1015">
        <f t="shared" si="1"/>
        <v>0</v>
      </c>
      <c r="T58" s="1014"/>
      <c r="U58" s="1014"/>
      <c r="V58" s="1014"/>
      <c r="W58" s="1015"/>
      <c r="X58" s="1016"/>
      <c r="Y58" s="1017"/>
      <c r="Z58" s="1018" t="s">
        <v>3208</v>
      </c>
      <c r="AB58" s="1008" t="e">
        <f t="shared" si="0"/>
        <v>#DIV/0!</v>
      </c>
    </row>
    <row r="59" spans="1:28" s="1007" customFormat="1" ht="18" customHeight="1" x14ac:dyDescent="0.25">
      <c r="A59" s="1009">
        <v>51</v>
      </c>
      <c r="B59" s="1010"/>
      <c r="C59" s="1011">
        <v>2026</v>
      </c>
      <c r="D59" s="1012" t="s">
        <v>3440</v>
      </c>
      <c r="E59" s="1013" t="s">
        <v>3265</v>
      </c>
      <c r="F59" s="1014"/>
      <c r="G59" s="1014"/>
      <c r="H59" s="1014"/>
      <c r="I59" s="1014"/>
      <c r="J59" s="1014"/>
      <c r="K59" s="1014"/>
      <c r="L59" s="1014"/>
      <c r="M59" s="1014"/>
      <c r="N59" s="1014"/>
      <c r="O59" s="1014"/>
      <c r="P59" s="1014"/>
      <c r="Q59" s="1014"/>
      <c r="R59" s="1014"/>
      <c r="S59" s="1015">
        <f t="shared" si="1"/>
        <v>0</v>
      </c>
      <c r="T59" s="1014"/>
      <c r="U59" s="1014"/>
      <c r="V59" s="1014"/>
      <c r="W59" s="1015"/>
      <c r="X59" s="1016"/>
      <c r="Y59" s="1017"/>
      <c r="Z59" s="1018" t="s">
        <v>2699</v>
      </c>
      <c r="AB59" s="1008" t="e">
        <f t="shared" si="0"/>
        <v>#DIV/0!</v>
      </c>
    </row>
    <row r="60" spans="1:28" s="1007" customFormat="1" ht="18" customHeight="1" x14ac:dyDescent="0.25">
      <c r="A60" s="1009">
        <v>52</v>
      </c>
      <c r="B60" s="1010"/>
      <c r="C60" s="1011">
        <v>2026</v>
      </c>
      <c r="D60" s="1012" t="s">
        <v>3441</v>
      </c>
      <c r="E60" s="1013" t="s">
        <v>3442</v>
      </c>
      <c r="F60" s="1014"/>
      <c r="G60" s="1014"/>
      <c r="H60" s="1014"/>
      <c r="I60" s="1014"/>
      <c r="J60" s="1014"/>
      <c r="K60" s="1014"/>
      <c r="L60" s="1014"/>
      <c r="M60" s="1014"/>
      <c r="N60" s="1014"/>
      <c r="O60" s="1014"/>
      <c r="P60" s="1014"/>
      <c r="Q60" s="1014"/>
      <c r="R60" s="1014"/>
      <c r="S60" s="1015">
        <f t="shared" si="1"/>
        <v>0</v>
      </c>
      <c r="T60" s="1014"/>
      <c r="U60" s="1014"/>
      <c r="V60" s="1014"/>
      <c r="W60" s="1015"/>
      <c r="X60" s="1016"/>
      <c r="Y60" s="1017"/>
      <c r="Z60" s="1018" t="s">
        <v>3469</v>
      </c>
      <c r="AB60" s="1008" t="e">
        <f t="shared" si="0"/>
        <v>#DIV/0!</v>
      </c>
    </row>
    <row r="61" spans="1:28" s="1007" customFormat="1" ht="18" customHeight="1" x14ac:dyDescent="0.25">
      <c r="A61" s="1009">
        <v>53</v>
      </c>
      <c r="B61" s="1010"/>
      <c r="C61" s="1011">
        <v>2026</v>
      </c>
      <c r="D61" s="1012" t="s">
        <v>3443</v>
      </c>
      <c r="E61" s="1013" t="s">
        <v>2557</v>
      </c>
      <c r="F61" s="1014"/>
      <c r="G61" s="1014"/>
      <c r="H61" s="1014"/>
      <c r="I61" s="1014"/>
      <c r="J61" s="1014"/>
      <c r="K61" s="1014"/>
      <c r="L61" s="1014"/>
      <c r="M61" s="1014"/>
      <c r="N61" s="1014"/>
      <c r="O61" s="1014"/>
      <c r="P61" s="1014"/>
      <c r="Q61" s="1014"/>
      <c r="R61" s="1014"/>
      <c r="S61" s="1015">
        <f t="shared" si="1"/>
        <v>0</v>
      </c>
      <c r="T61" s="1014"/>
      <c r="U61" s="1014"/>
      <c r="V61" s="1014"/>
      <c r="W61" s="1015"/>
      <c r="X61" s="1016"/>
      <c r="Y61" s="1017"/>
      <c r="Z61" s="1018" t="s">
        <v>3470</v>
      </c>
      <c r="AB61" s="1008" t="e">
        <f t="shared" si="0"/>
        <v>#DIV/0!</v>
      </c>
    </row>
    <row r="62" spans="1:28" s="1007" customFormat="1" ht="18" customHeight="1" x14ac:dyDescent="0.25">
      <c r="A62" s="1009">
        <v>54</v>
      </c>
      <c r="B62" s="1010"/>
      <c r="C62" s="1011">
        <v>2026</v>
      </c>
      <c r="D62" s="1012" t="s">
        <v>3444</v>
      </c>
      <c r="E62" s="1013" t="s">
        <v>3119</v>
      </c>
      <c r="F62" s="1014"/>
      <c r="G62" s="1014"/>
      <c r="H62" s="1014"/>
      <c r="I62" s="1014"/>
      <c r="J62" s="1014"/>
      <c r="K62" s="1014"/>
      <c r="L62" s="1014"/>
      <c r="M62" s="1014"/>
      <c r="N62" s="1014"/>
      <c r="O62" s="1014"/>
      <c r="P62" s="1014"/>
      <c r="Q62" s="1014"/>
      <c r="R62" s="1014"/>
      <c r="S62" s="1015">
        <f t="shared" si="1"/>
        <v>0</v>
      </c>
      <c r="T62" s="1014"/>
      <c r="U62" s="1014"/>
      <c r="V62" s="1014"/>
      <c r="W62" s="1015"/>
      <c r="X62" s="1016"/>
      <c r="Y62" s="1017"/>
      <c r="Z62" s="1018" t="s">
        <v>2487</v>
      </c>
      <c r="AB62" s="1008" t="e">
        <f t="shared" si="0"/>
        <v>#DIV/0!</v>
      </c>
    </row>
    <row r="63" spans="1:28" s="1007" customFormat="1" ht="18" customHeight="1" x14ac:dyDescent="0.25">
      <c r="A63" s="1009">
        <v>55</v>
      </c>
      <c r="B63" s="1010"/>
      <c r="C63" s="1011">
        <v>2026</v>
      </c>
      <c r="D63" s="1012" t="s">
        <v>3445</v>
      </c>
      <c r="E63" s="1013" t="s">
        <v>2965</v>
      </c>
      <c r="F63" s="1014"/>
      <c r="G63" s="1014"/>
      <c r="H63" s="1014"/>
      <c r="I63" s="1014"/>
      <c r="J63" s="1014"/>
      <c r="K63" s="1014"/>
      <c r="L63" s="1014"/>
      <c r="M63" s="1014"/>
      <c r="N63" s="1014"/>
      <c r="O63" s="1014"/>
      <c r="P63" s="1014"/>
      <c r="Q63" s="1014"/>
      <c r="R63" s="1014"/>
      <c r="S63" s="1015">
        <f t="shared" si="1"/>
        <v>0</v>
      </c>
      <c r="T63" s="1014"/>
      <c r="U63" s="1014"/>
      <c r="V63" s="1014"/>
      <c r="W63" s="1015"/>
      <c r="X63" s="1016"/>
      <c r="Y63" s="1017"/>
      <c r="Z63" s="1018" t="s">
        <v>3016</v>
      </c>
      <c r="AB63" s="1008" t="e">
        <f t="shared" si="0"/>
        <v>#DIV/0!</v>
      </c>
    </row>
    <row r="64" spans="1:28" s="1007" customFormat="1" ht="18" customHeight="1" x14ac:dyDescent="0.25">
      <c r="A64" s="1009">
        <v>56</v>
      </c>
      <c r="B64" s="1010"/>
      <c r="C64" s="1011">
        <v>2026</v>
      </c>
      <c r="D64" s="1012" t="s">
        <v>3446</v>
      </c>
      <c r="E64" s="1013" t="s">
        <v>3447</v>
      </c>
      <c r="F64" s="1014"/>
      <c r="G64" s="1014"/>
      <c r="H64" s="1014"/>
      <c r="I64" s="1014"/>
      <c r="J64" s="1014"/>
      <c r="K64" s="1014"/>
      <c r="L64" s="1014"/>
      <c r="M64" s="1014"/>
      <c r="N64" s="1014"/>
      <c r="O64" s="1014"/>
      <c r="P64" s="1014"/>
      <c r="Q64" s="1014"/>
      <c r="R64" s="1014"/>
      <c r="S64" s="1015">
        <f t="shared" si="1"/>
        <v>0</v>
      </c>
      <c r="T64" s="1014"/>
      <c r="U64" s="1014"/>
      <c r="V64" s="1014"/>
      <c r="W64" s="1015">
        <f t="shared" si="3"/>
        <v>0</v>
      </c>
      <c r="X64" s="1016"/>
      <c r="Y64" s="1017"/>
      <c r="Z64" s="1018" t="s">
        <v>3212</v>
      </c>
      <c r="AB64" s="1008" t="e">
        <f t="shared" si="0"/>
        <v>#DIV/0!</v>
      </c>
    </row>
    <row r="65" spans="1:28" s="1007" customFormat="1" ht="18" customHeight="1" x14ac:dyDescent="0.25">
      <c r="A65" s="1009">
        <v>57</v>
      </c>
      <c r="B65" s="1010"/>
      <c r="C65" s="1011">
        <v>2026</v>
      </c>
      <c r="D65" s="1012" t="s">
        <v>3448</v>
      </c>
      <c r="E65" s="1013" t="s">
        <v>2251</v>
      </c>
      <c r="F65" s="1014"/>
      <c r="G65" s="1014"/>
      <c r="H65" s="1014"/>
      <c r="I65" s="1014"/>
      <c r="J65" s="1014"/>
      <c r="K65" s="1014"/>
      <c r="L65" s="1014"/>
      <c r="M65" s="1014"/>
      <c r="N65" s="1014"/>
      <c r="O65" s="1014"/>
      <c r="P65" s="1014"/>
      <c r="Q65" s="1014"/>
      <c r="R65" s="1014"/>
      <c r="S65" s="1015">
        <f t="shared" si="1"/>
        <v>0</v>
      </c>
      <c r="T65" s="1014"/>
      <c r="U65" s="1014"/>
      <c r="V65" s="1014"/>
      <c r="W65" s="1015">
        <f t="shared" si="3"/>
        <v>0</v>
      </c>
      <c r="X65" s="1016"/>
      <c r="Y65" s="1017"/>
      <c r="Z65" s="1018" t="s">
        <v>2973</v>
      </c>
      <c r="AB65" s="1008" t="e">
        <f t="shared" si="0"/>
        <v>#DIV/0!</v>
      </c>
    </row>
    <row r="66" spans="1:28" s="1007" customFormat="1" ht="18" customHeight="1" x14ac:dyDescent="0.25">
      <c r="A66" s="1009">
        <v>58</v>
      </c>
      <c r="B66" s="1010"/>
      <c r="C66" s="1011">
        <v>2026</v>
      </c>
      <c r="D66" s="1012" t="s">
        <v>3449</v>
      </c>
      <c r="E66" s="1013" t="s">
        <v>3378</v>
      </c>
      <c r="F66" s="1014"/>
      <c r="G66" s="1014"/>
      <c r="H66" s="1014"/>
      <c r="I66" s="1014"/>
      <c r="J66" s="1014"/>
      <c r="K66" s="1014"/>
      <c r="L66" s="1014"/>
      <c r="M66" s="1014"/>
      <c r="N66" s="1014"/>
      <c r="O66" s="1014"/>
      <c r="P66" s="1014"/>
      <c r="Q66" s="1014"/>
      <c r="R66" s="1014"/>
      <c r="S66" s="1015">
        <f t="shared" si="1"/>
        <v>0</v>
      </c>
      <c r="T66" s="1014"/>
      <c r="U66" s="1014"/>
      <c r="V66" s="1014"/>
      <c r="W66" s="1015">
        <f t="shared" si="3"/>
        <v>0</v>
      </c>
      <c r="X66" s="1016"/>
      <c r="Y66" s="1017"/>
      <c r="Z66" s="1018" t="s">
        <v>3471</v>
      </c>
      <c r="AB66" s="1008" t="e">
        <f t="shared" si="0"/>
        <v>#DIV/0!</v>
      </c>
    </row>
    <row r="67" spans="1:28" s="1024" customFormat="1" ht="19.5" thickBot="1" x14ac:dyDescent="0.35">
      <c r="A67" s="1019"/>
      <c r="B67" s="1020"/>
      <c r="C67" s="1020"/>
      <c r="D67" s="1021"/>
      <c r="E67" s="1020"/>
      <c r="F67" s="1020"/>
      <c r="G67" s="1020"/>
      <c r="H67" s="1020"/>
      <c r="I67" s="1020"/>
      <c r="J67" s="1020"/>
      <c r="K67" s="1020"/>
      <c r="L67" s="1020"/>
      <c r="M67" s="1020"/>
      <c r="N67" s="1022"/>
      <c r="O67" s="1022"/>
      <c r="P67" s="1022"/>
      <c r="Q67" s="1022"/>
      <c r="R67" s="1022"/>
      <c r="S67" s="1022"/>
      <c r="T67" s="1022"/>
      <c r="U67" s="1022"/>
      <c r="V67" s="1022"/>
      <c r="W67" s="1022"/>
      <c r="X67" s="1022"/>
      <c r="Y67" s="1022"/>
      <c r="Z67" s="1023"/>
      <c r="AB67" s="1008" t="s">
        <v>2260</v>
      </c>
    </row>
    <row r="68" spans="1:28" s="1024" customFormat="1" ht="19.5" thickTop="1" x14ac:dyDescent="0.3">
      <c r="A68" s="1025"/>
      <c r="B68" s="1025"/>
      <c r="C68" s="1025"/>
      <c r="E68" s="1025"/>
      <c r="F68" s="1025"/>
      <c r="G68" s="1025"/>
      <c r="H68" s="1025"/>
      <c r="I68" s="1025"/>
      <c r="J68" s="1025"/>
      <c r="K68" s="1025"/>
      <c r="L68" s="1025"/>
      <c r="M68" s="1025"/>
      <c r="N68" s="1026"/>
      <c r="O68" s="1026"/>
      <c r="P68" s="1026"/>
      <c r="Q68" s="1026"/>
      <c r="R68" s="1026"/>
      <c r="S68" s="1098"/>
      <c r="T68" s="1098"/>
      <c r="U68" s="1098"/>
      <c r="V68" s="1025"/>
      <c r="W68" s="1025"/>
      <c r="X68" s="1025"/>
      <c r="Y68" s="1028"/>
      <c r="Z68" s="1025"/>
      <c r="AB68" s="1008"/>
    </row>
    <row r="69" spans="1:28" s="1024" customFormat="1" x14ac:dyDescent="0.3">
      <c r="A69" s="1025"/>
      <c r="B69" s="1025"/>
      <c r="C69" s="1025"/>
      <c r="E69" s="1025"/>
      <c r="F69" s="1025"/>
      <c r="G69" s="1025"/>
      <c r="H69" s="1025"/>
      <c r="I69" s="1025"/>
      <c r="J69" s="1025"/>
      <c r="K69" s="1025"/>
      <c r="L69" s="1025"/>
      <c r="M69" s="1025"/>
      <c r="N69" s="1029"/>
      <c r="O69" s="1029"/>
      <c r="P69" s="1029"/>
      <c r="Q69" s="1029"/>
      <c r="R69" s="1029"/>
      <c r="S69" s="1030"/>
      <c r="T69" s="1029"/>
      <c r="U69" s="1029"/>
      <c r="V69" s="1025"/>
      <c r="W69" s="1025"/>
      <c r="X69" s="1025"/>
      <c r="Y69" s="1028"/>
      <c r="Z69" s="1025"/>
      <c r="AB69" s="1008"/>
    </row>
    <row r="70" spans="1:28" s="1024" customFormat="1" x14ac:dyDescent="0.3">
      <c r="A70" s="1025"/>
      <c r="B70" s="1025"/>
      <c r="C70" s="1025"/>
      <c r="E70" s="1025"/>
      <c r="F70" s="1025"/>
      <c r="G70" s="1025"/>
      <c r="H70" s="1025"/>
      <c r="I70" s="1025"/>
      <c r="J70" s="1025"/>
      <c r="K70" s="1025"/>
      <c r="L70" s="1025"/>
      <c r="M70" s="1025"/>
      <c r="N70" s="1029"/>
      <c r="O70" s="1029"/>
      <c r="P70" s="1029"/>
      <c r="Q70" s="1029"/>
      <c r="R70" s="1029"/>
      <c r="S70" s="1030"/>
      <c r="T70" s="1029"/>
      <c r="U70" s="1029"/>
      <c r="V70" s="1025"/>
      <c r="W70" s="1025"/>
      <c r="X70" s="1025"/>
      <c r="Y70" s="1028"/>
      <c r="Z70" s="1025"/>
      <c r="AB70" s="1008"/>
    </row>
    <row r="71" spans="1:28" s="1024" customFormat="1" x14ac:dyDescent="0.3">
      <c r="A71" s="1025"/>
      <c r="B71" s="1025"/>
      <c r="C71" s="1025"/>
      <c r="E71" s="1025"/>
      <c r="F71" s="1025"/>
      <c r="G71" s="1025"/>
      <c r="H71" s="1025"/>
      <c r="I71" s="1025"/>
      <c r="J71" s="1025"/>
      <c r="K71" s="1025"/>
      <c r="L71" s="1025"/>
      <c r="M71" s="1025"/>
      <c r="N71" s="1099"/>
      <c r="O71" s="1099"/>
      <c r="P71" s="1099"/>
      <c r="Q71" s="1099"/>
      <c r="R71" s="1099"/>
      <c r="S71" s="1099"/>
      <c r="T71" s="1099"/>
      <c r="U71" s="1099"/>
      <c r="V71" s="1025"/>
      <c r="W71" s="1025"/>
      <c r="X71" s="1025"/>
      <c r="Y71" s="1028"/>
      <c r="Z71" s="1025"/>
      <c r="AB71" s="1008"/>
    </row>
    <row r="72" spans="1:28" s="1024" customFormat="1" x14ac:dyDescent="0.3">
      <c r="A72" s="1025"/>
      <c r="B72" s="1025"/>
      <c r="C72" s="1025"/>
      <c r="E72" s="1025"/>
      <c r="F72" s="1025"/>
      <c r="G72" s="1025"/>
      <c r="H72" s="1025"/>
      <c r="I72" s="1025"/>
      <c r="J72" s="1025"/>
      <c r="K72" s="1025"/>
      <c r="L72" s="1025"/>
      <c r="M72" s="1025"/>
      <c r="N72" s="1098"/>
      <c r="O72" s="1098"/>
      <c r="P72" s="1098"/>
      <c r="Q72" s="1098"/>
      <c r="R72" s="1098"/>
      <c r="S72" s="1098"/>
      <c r="T72" s="1098"/>
      <c r="U72" s="1098"/>
      <c r="V72" s="1098"/>
      <c r="W72" s="1098"/>
      <c r="X72" s="1098"/>
      <c r="Y72" s="1098"/>
      <c r="Z72" s="1098"/>
      <c r="AB72" s="1008"/>
    </row>
    <row r="73" spans="1:28" s="1024" customFormat="1" x14ac:dyDescent="0.3">
      <c r="A73" s="1025"/>
      <c r="B73" s="1025"/>
      <c r="C73" s="1025"/>
      <c r="E73" s="1025"/>
      <c r="F73" s="1025"/>
      <c r="G73" s="1025"/>
      <c r="H73" s="1025"/>
      <c r="I73" s="1025"/>
      <c r="J73" s="1025"/>
      <c r="K73" s="1025"/>
      <c r="L73" s="1025"/>
      <c r="M73" s="1025"/>
      <c r="N73" s="1025"/>
      <c r="O73" s="1025"/>
      <c r="P73" s="1025"/>
      <c r="Q73" s="1025"/>
      <c r="R73" s="1025"/>
      <c r="S73" s="1032"/>
      <c r="T73" s="1025"/>
      <c r="U73" s="1025"/>
      <c r="V73" s="1025"/>
      <c r="W73" s="1025"/>
      <c r="X73" s="1025"/>
      <c r="Y73" s="1028"/>
      <c r="Z73" s="1025"/>
      <c r="AB73" s="1008"/>
    </row>
    <row r="74" spans="1:28" s="796" customFormat="1" x14ac:dyDescent="0.3">
      <c r="A74" s="797"/>
      <c r="B74" s="797"/>
      <c r="C74" s="797"/>
      <c r="E74" s="797"/>
      <c r="F74" s="797"/>
      <c r="G74" s="797"/>
      <c r="H74" s="797"/>
      <c r="I74" s="797"/>
      <c r="J74" s="797"/>
      <c r="K74" s="797"/>
      <c r="L74" s="797"/>
      <c r="M74" s="797"/>
      <c r="N74" s="797"/>
      <c r="O74" s="797"/>
      <c r="P74" s="797"/>
      <c r="Q74" s="797"/>
      <c r="R74" s="797"/>
      <c r="S74" s="803"/>
      <c r="T74" s="797"/>
      <c r="U74" s="797"/>
      <c r="V74" s="797"/>
      <c r="W74" s="797"/>
      <c r="X74" s="797"/>
      <c r="Y74" s="799"/>
      <c r="Z74" s="797"/>
      <c r="AB74" s="781"/>
    </row>
    <row r="75" spans="1:28" s="796" customFormat="1" x14ac:dyDescent="0.3">
      <c r="A75" s="797"/>
      <c r="B75" s="797"/>
      <c r="C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7"/>
      <c r="Q75" s="797"/>
      <c r="R75" s="797"/>
      <c r="S75" s="803"/>
      <c r="T75" s="797"/>
      <c r="U75" s="797"/>
      <c r="V75" s="797"/>
      <c r="W75" s="797"/>
      <c r="X75" s="797"/>
      <c r="Y75" s="799"/>
      <c r="Z75" s="797"/>
    </row>
    <row r="76" spans="1:28" s="796" customFormat="1" x14ac:dyDescent="0.3">
      <c r="A76" s="797"/>
      <c r="B76" s="797"/>
      <c r="C76" s="797"/>
      <c r="E76" s="797"/>
      <c r="F76" s="797"/>
      <c r="G76" s="797"/>
      <c r="H76" s="797"/>
      <c r="I76" s="797"/>
      <c r="J76" s="797"/>
      <c r="K76" s="797"/>
      <c r="L76" s="797"/>
      <c r="M76" s="797"/>
      <c r="N76" s="797"/>
      <c r="O76" s="797"/>
      <c r="P76" s="797"/>
      <c r="Q76" s="797"/>
      <c r="R76" s="797"/>
      <c r="S76" s="803"/>
      <c r="T76" s="797"/>
      <c r="U76" s="797"/>
      <c r="V76" s="797"/>
      <c r="W76" s="797"/>
      <c r="X76" s="797"/>
      <c r="Y76" s="799"/>
      <c r="Z76" s="797"/>
    </row>
    <row r="77" spans="1:28" s="806" customFormat="1" x14ac:dyDescent="0.3">
      <c r="A77" s="801"/>
      <c r="B77" s="801"/>
      <c r="C77" s="801"/>
      <c r="D77" s="802"/>
      <c r="E77" s="801"/>
      <c r="F77" s="801"/>
      <c r="G77" s="801"/>
      <c r="H77" s="801"/>
      <c r="I77" s="801"/>
      <c r="J77" s="801"/>
      <c r="K77" s="801"/>
      <c r="L77" s="801"/>
      <c r="M77" s="801"/>
      <c r="N77" s="801"/>
      <c r="O77" s="801"/>
      <c r="P77" s="801"/>
      <c r="Q77" s="801"/>
      <c r="R77" s="801"/>
      <c r="S77" s="827"/>
      <c r="T77" s="801"/>
      <c r="U77" s="801"/>
      <c r="V77" s="801"/>
      <c r="W77" s="801"/>
      <c r="X77" s="801"/>
      <c r="Y77" s="805"/>
      <c r="Z77" s="801"/>
    </row>
  </sheetData>
  <autoFilter ref="S7:AA67">
    <filterColumn colId="1" showButton="0"/>
    <filterColumn colId="2" showButton="0"/>
    <filterColumn colId="3" showButton="0"/>
  </autoFilter>
  <mergeCells count="17">
    <mergeCell ref="N72:Z72"/>
    <mergeCell ref="S68:U68"/>
    <mergeCell ref="N71:U71"/>
    <mergeCell ref="Z7:Z8"/>
    <mergeCell ref="A7:A8"/>
    <mergeCell ref="D7:D8"/>
    <mergeCell ref="B7:C8"/>
    <mergeCell ref="T7:W7"/>
    <mergeCell ref="E7:E8"/>
    <mergeCell ref="E2:Z2"/>
    <mergeCell ref="E3:Z3"/>
    <mergeCell ref="E4:Z4"/>
    <mergeCell ref="X7:X8"/>
    <mergeCell ref="Y7:Y8"/>
    <mergeCell ref="E5:AC5"/>
    <mergeCell ref="S7:S8"/>
    <mergeCell ref="F7:R7"/>
  </mergeCells>
  <phoneticPr fontId="0" type="noConversion"/>
  <printOptions horizontalCentered="1"/>
  <pageMargins left="0.51" right="0.16" top="0.27" bottom="0.31" header="0.23" footer="0.27"/>
  <pageSetup scale="98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00FF00"/>
  </sheetPr>
  <dimension ref="A1:AM65"/>
  <sheetViews>
    <sheetView topLeftCell="A35" zoomScale="120" zoomScaleNormal="120" workbookViewId="0">
      <selection activeCell="AC9" sqref="AC9:AC47"/>
    </sheetView>
  </sheetViews>
  <sheetFormatPr defaultRowHeight="18.75" x14ac:dyDescent="0.3"/>
  <cols>
    <col min="1" max="1" width="3.09765625" style="1" customWidth="1"/>
    <col min="2" max="2" width="4.3984375" style="1" customWidth="1"/>
    <col min="3" max="3" width="4.5" style="1" customWidth="1"/>
    <col min="4" max="4" width="15.796875" customWidth="1"/>
    <col min="5" max="5" width="8.09765625" style="1" customWidth="1"/>
    <col min="6" max="11" width="2.69921875" style="1" customWidth="1"/>
    <col min="12" max="12" width="2.69921875" style="36" customWidth="1"/>
    <col min="13" max="13" width="2.69921875" style="1" customWidth="1"/>
    <col min="14" max="14" width="2.69921875" style="36" customWidth="1"/>
    <col min="15" max="15" width="2.69921875" style="686" customWidth="1"/>
    <col min="16" max="20" width="2.69921875" style="1" customWidth="1"/>
    <col min="21" max="21" width="3.796875" style="25" customWidth="1"/>
    <col min="22" max="24" width="2.19921875" style="22" hidden="1" customWidth="1"/>
    <col min="25" max="26" width="3.3984375" style="1" hidden="1" customWidth="1"/>
    <col min="27" max="27" width="4" style="1" customWidth="1"/>
    <col min="28" max="28" width="4.3984375" style="15" hidden="1" customWidth="1"/>
    <col min="29" max="29" width="21.19921875" style="1" customWidth="1"/>
    <col min="30" max="30" width="2.09765625" customWidth="1"/>
    <col min="31" max="31" width="5.8984375" customWidth="1"/>
  </cols>
  <sheetData>
    <row r="1" spans="1:39" s="806" customFormat="1" ht="6.75" customHeight="1" x14ac:dyDescent="0.3">
      <c r="A1" s="807"/>
      <c r="B1" s="807"/>
      <c r="C1" s="807"/>
      <c r="E1" s="807"/>
      <c r="F1" s="807"/>
      <c r="G1" s="807"/>
      <c r="H1" s="807"/>
      <c r="I1" s="807"/>
      <c r="J1" s="807"/>
      <c r="K1" s="807"/>
      <c r="L1" s="801"/>
      <c r="M1" s="807"/>
      <c r="N1" s="801"/>
      <c r="O1" s="797"/>
      <c r="P1" s="807"/>
      <c r="Q1" s="807"/>
      <c r="R1" s="807"/>
      <c r="S1" s="807"/>
      <c r="T1" s="807"/>
      <c r="U1" s="827"/>
      <c r="V1" s="807"/>
      <c r="W1" s="807"/>
      <c r="X1" s="807"/>
      <c r="Y1" s="807"/>
      <c r="Z1" s="807"/>
      <c r="AA1" s="807"/>
      <c r="AB1" s="808"/>
      <c r="AC1" s="807"/>
    </row>
    <row r="2" spans="1:39" s="761" customFormat="1" ht="15.75" x14ac:dyDescent="0.25">
      <c r="B2" s="763"/>
      <c r="C2" s="763"/>
      <c r="D2" s="763"/>
      <c r="E2" s="1046" t="s">
        <v>2237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  <c r="X2" s="1046"/>
      <c r="Y2" s="1046"/>
      <c r="Z2" s="1046"/>
      <c r="AA2" s="1046"/>
      <c r="AB2" s="1046"/>
      <c r="AC2" s="1046"/>
    </row>
    <row r="3" spans="1:39" s="761" customFormat="1" ht="15.75" x14ac:dyDescent="0.25">
      <c r="B3" s="763"/>
      <c r="C3" s="763"/>
      <c r="D3" s="763"/>
      <c r="E3" s="1046" t="s">
        <v>2307</v>
      </c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1046"/>
      <c r="W3" s="1046"/>
      <c r="X3" s="1046"/>
      <c r="Y3" s="1046"/>
      <c r="Z3" s="1046"/>
      <c r="AA3" s="1046"/>
      <c r="AB3" s="1046"/>
      <c r="AC3" s="1046"/>
    </row>
    <row r="4" spans="1:39" s="761" customFormat="1" ht="15.75" hidden="1" x14ac:dyDescent="0.25">
      <c r="B4" s="762"/>
      <c r="C4" s="762"/>
      <c r="D4" s="762"/>
      <c r="E4" s="1047" t="s">
        <v>28</v>
      </c>
      <c r="F4" s="1047"/>
      <c r="G4" s="1047"/>
      <c r="H4" s="1047"/>
      <c r="I4" s="1047"/>
      <c r="J4" s="1047"/>
      <c r="K4" s="1047"/>
      <c r="L4" s="1047"/>
      <c r="M4" s="1047"/>
      <c r="N4" s="1047"/>
      <c r="O4" s="1047"/>
      <c r="P4" s="1047"/>
      <c r="Q4" s="1047"/>
      <c r="R4" s="1047"/>
      <c r="S4" s="1047"/>
      <c r="T4" s="1047"/>
      <c r="U4" s="1047"/>
      <c r="V4" s="1047"/>
      <c r="W4" s="1047"/>
      <c r="X4" s="1047"/>
      <c r="Y4" s="1047"/>
      <c r="Z4" s="1047"/>
      <c r="AA4" s="1047"/>
      <c r="AB4" s="1047"/>
      <c r="AC4" s="1047"/>
    </row>
    <row r="5" spans="1:39" s="761" customFormat="1" ht="15.75" customHeight="1" x14ac:dyDescent="0.25">
      <c r="B5" s="763"/>
      <c r="C5" s="763"/>
      <c r="D5" s="763"/>
      <c r="E5" s="1052" t="s">
        <v>2308</v>
      </c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1052"/>
      <c r="V5" s="1052"/>
      <c r="W5" s="1052"/>
      <c r="X5" s="1052"/>
      <c r="Y5" s="1052"/>
      <c r="Z5" s="1052"/>
      <c r="AA5" s="1052"/>
      <c r="AB5" s="1052"/>
      <c r="AC5" s="1052"/>
      <c r="AD5" s="1052"/>
      <c r="AE5" s="1052"/>
      <c r="AF5" s="1052"/>
      <c r="AG5" s="1052"/>
      <c r="AH5" s="1052"/>
      <c r="AI5" s="1052"/>
      <c r="AJ5" s="1052"/>
      <c r="AK5" s="1052"/>
      <c r="AL5" s="1052"/>
      <c r="AM5" s="1052"/>
    </row>
    <row r="6" spans="1:39" s="806" customFormat="1" ht="8.25" customHeight="1" thickBot="1" x14ac:dyDescent="0.4">
      <c r="A6" s="809"/>
      <c r="B6" s="809"/>
      <c r="C6" s="809"/>
      <c r="D6" s="809"/>
      <c r="E6" s="841"/>
      <c r="F6" s="842"/>
      <c r="G6" s="842"/>
      <c r="H6" s="842"/>
      <c r="I6" s="842"/>
      <c r="J6" s="842"/>
      <c r="K6" s="842"/>
      <c r="L6" s="843"/>
      <c r="M6" s="842"/>
      <c r="N6" s="843"/>
      <c r="O6" s="844"/>
      <c r="P6" s="842"/>
      <c r="Q6" s="842"/>
      <c r="R6" s="842"/>
      <c r="S6" s="842"/>
      <c r="T6" s="842"/>
      <c r="U6" s="828"/>
      <c r="V6" s="809"/>
      <c r="W6" s="809"/>
      <c r="X6" s="809"/>
      <c r="Y6" s="809"/>
      <c r="Z6" s="809"/>
      <c r="AA6" s="809"/>
      <c r="AB6" s="809"/>
      <c r="AC6" s="809"/>
      <c r="AD6" s="812"/>
      <c r="AE6" s="806" t="s">
        <v>94</v>
      </c>
    </row>
    <row r="7" spans="1:39" s="780" customFormat="1" ht="23.25" customHeight="1" thickTop="1" x14ac:dyDescent="0.25">
      <c r="A7" s="1056" t="s">
        <v>91</v>
      </c>
      <c r="B7" s="1060" t="s">
        <v>2118</v>
      </c>
      <c r="C7" s="1061"/>
      <c r="D7" s="1058" t="s">
        <v>2119</v>
      </c>
      <c r="E7" s="1058" t="s">
        <v>2120</v>
      </c>
      <c r="F7" s="1053" t="s">
        <v>2212</v>
      </c>
      <c r="G7" s="1054"/>
      <c r="H7" s="1054"/>
      <c r="I7" s="1054"/>
      <c r="J7" s="1054"/>
      <c r="K7" s="1054"/>
      <c r="L7" s="1054"/>
      <c r="M7" s="1054"/>
      <c r="N7" s="1054"/>
      <c r="O7" s="1054"/>
      <c r="P7" s="1054"/>
      <c r="Q7" s="1054"/>
      <c r="R7" s="1054"/>
      <c r="S7" s="1054"/>
      <c r="T7" s="1055"/>
      <c r="U7" s="1069" t="s">
        <v>2107</v>
      </c>
      <c r="V7" s="1053" t="s">
        <v>104</v>
      </c>
      <c r="W7" s="1054"/>
      <c r="X7" s="1054"/>
      <c r="Y7" s="1055"/>
      <c r="Z7" s="1048" t="s">
        <v>99</v>
      </c>
      <c r="AA7" s="1048" t="s">
        <v>2108</v>
      </c>
      <c r="AB7" s="1048" t="s">
        <v>103</v>
      </c>
      <c r="AC7" s="1067" t="s">
        <v>2121</v>
      </c>
    </row>
    <row r="8" spans="1:39" s="780" customFormat="1" ht="199.5" customHeight="1" x14ac:dyDescent="0.25">
      <c r="A8" s="1057"/>
      <c r="B8" s="1062"/>
      <c r="C8" s="1063"/>
      <c r="D8" s="1059"/>
      <c r="E8" s="1059"/>
      <c r="F8" s="713" t="s">
        <v>2109</v>
      </c>
      <c r="G8" s="714" t="s">
        <v>2110</v>
      </c>
      <c r="H8" s="713" t="s">
        <v>2111</v>
      </c>
      <c r="I8" s="715" t="s">
        <v>2227</v>
      </c>
      <c r="J8" s="713" t="s">
        <v>2213</v>
      </c>
      <c r="K8" s="713" t="s">
        <v>2214</v>
      </c>
      <c r="L8" s="713" t="s">
        <v>2113</v>
      </c>
      <c r="M8" s="713" t="s">
        <v>2215</v>
      </c>
      <c r="N8" s="713" t="s">
        <v>2114</v>
      </c>
      <c r="O8" s="716" t="s">
        <v>2095</v>
      </c>
      <c r="P8" s="716" t="s">
        <v>2231</v>
      </c>
      <c r="Q8" s="717" t="s">
        <v>2217</v>
      </c>
      <c r="R8" s="717" t="s">
        <v>2216</v>
      </c>
      <c r="S8" s="717" t="s">
        <v>2116</v>
      </c>
      <c r="T8" s="713" t="s">
        <v>2117</v>
      </c>
      <c r="U8" s="1070"/>
      <c r="V8" s="718" t="s">
        <v>108</v>
      </c>
      <c r="W8" s="718" t="s">
        <v>97</v>
      </c>
      <c r="X8" s="718" t="s">
        <v>96</v>
      </c>
      <c r="Y8" s="719" t="s">
        <v>98</v>
      </c>
      <c r="Z8" s="1049"/>
      <c r="AA8" s="1049"/>
      <c r="AB8" s="1049"/>
      <c r="AC8" s="1068"/>
      <c r="AD8" s="780" t="s">
        <v>94</v>
      </c>
    </row>
    <row r="9" spans="1:39" s="784" customFormat="1" ht="18" customHeight="1" x14ac:dyDescent="0.25">
      <c r="A9" s="741">
        <v>1</v>
      </c>
      <c r="B9" s="752"/>
      <c r="C9" s="743">
        <v>2026</v>
      </c>
      <c r="D9" s="690" t="s">
        <v>3373</v>
      </c>
      <c r="E9" s="687" t="s">
        <v>3472</v>
      </c>
      <c r="F9" s="705"/>
      <c r="G9" s="705"/>
      <c r="H9" s="705"/>
      <c r="I9" s="705"/>
      <c r="J9" s="705"/>
      <c r="K9" s="705"/>
      <c r="L9" s="705"/>
      <c r="M9" s="705"/>
      <c r="N9" s="707"/>
      <c r="O9" s="705"/>
      <c r="P9" s="705"/>
      <c r="Q9" s="705"/>
      <c r="R9" s="705"/>
      <c r="S9" s="705"/>
      <c r="T9" s="705"/>
      <c r="U9" s="776">
        <f>SUM(F9:T9)/15</f>
        <v>0</v>
      </c>
      <c r="V9" s="705"/>
      <c r="W9" s="705"/>
      <c r="X9" s="705"/>
      <c r="Y9" s="776">
        <f>SUM(V9:X9)/3</f>
        <v>0</v>
      </c>
      <c r="Z9" s="776">
        <f>SUM(U9+Y9)/2</f>
        <v>0</v>
      </c>
      <c r="AA9" s="819"/>
      <c r="AB9" s="813"/>
      <c r="AC9" s="694" t="s">
        <v>3538</v>
      </c>
      <c r="AE9" s="781" t="e">
        <f t="shared" ref="AE9:AE47" si="0">AVERAGE(F9:T9)</f>
        <v>#DIV/0!</v>
      </c>
    </row>
    <row r="10" spans="1:39" s="784" customFormat="1" ht="18" customHeight="1" x14ac:dyDescent="0.25">
      <c r="A10" s="744">
        <v>2</v>
      </c>
      <c r="B10" s="745"/>
      <c r="C10" s="746">
        <v>2026</v>
      </c>
      <c r="D10" s="685" t="s">
        <v>3473</v>
      </c>
      <c r="E10" s="689" t="s">
        <v>3474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7"/>
      <c r="R10" s="707"/>
      <c r="S10" s="707"/>
      <c r="T10" s="707"/>
      <c r="U10" s="782">
        <f>SUM(F10:T10)/15</f>
        <v>0</v>
      </c>
      <c r="V10" s="707"/>
      <c r="W10" s="707"/>
      <c r="X10" s="707"/>
      <c r="Y10" s="782">
        <f>SUM(V10:X10)/3</f>
        <v>0</v>
      </c>
      <c r="Z10" s="782">
        <f>SUM(U10+Y10)/2</f>
        <v>0</v>
      </c>
      <c r="AA10" s="778"/>
      <c r="AB10" s="814"/>
      <c r="AC10" s="695" t="s">
        <v>2537</v>
      </c>
      <c r="AE10" s="781" t="e">
        <f t="shared" si="0"/>
        <v>#DIV/0!</v>
      </c>
    </row>
    <row r="11" spans="1:39" s="784" customFormat="1" ht="18" customHeight="1" x14ac:dyDescent="0.25">
      <c r="A11" s="744">
        <v>3</v>
      </c>
      <c r="B11" s="745"/>
      <c r="C11" s="746">
        <v>2026</v>
      </c>
      <c r="D11" s="685" t="s">
        <v>2331</v>
      </c>
      <c r="E11" s="689" t="s">
        <v>3475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07"/>
      <c r="R11" s="707"/>
      <c r="S11" s="707"/>
      <c r="T11" s="707"/>
      <c r="U11" s="782">
        <f t="shared" ref="U11:U47" si="1">SUM(F11:T11)/15</f>
        <v>0</v>
      </c>
      <c r="V11" s="707"/>
      <c r="W11" s="707"/>
      <c r="X11" s="707"/>
      <c r="Y11" s="782">
        <f>SUM(V11:X11)/3</f>
        <v>0</v>
      </c>
      <c r="Z11" s="782">
        <f>SUM(U11+Y11)/2</f>
        <v>0</v>
      </c>
      <c r="AA11" s="778"/>
      <c r="AB11" s="814"/>
      <c r="AC11" s="695" t="s">
        <v>3539</v>
      </c>
      <c r="AE11" s="781" t="e">
        <f t="shared" si="0"/>
        <v>#DIV/0!</v>
      </c>
    </row>
    <row r="12" spans="1:39" s="784" customFormat="1" ht="18" customHeight="1" x14ac:dyDescent="0.25">
      <c r="A12" s="744">
        <v>4</v>
      </c>
      <c r="B12" s="745"/>
      <c r="C12" s="746">
        <v>2026</v>
      </c>
      <c r="D12" s="685" t="s">
        <v>3476</v>
      </c>
      <c r="E12" s="689" t="s">
        <v>3477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07"/>
      <c r="R12" s="707"/>
      <c r="S12" s="707"/>
      <c r="T12" s="707"/>
      <c r="U12" s="782">
        <f t="shared" si="1"/>
        <v>0</v>
      </c>
      <c r="V12" s="707"/>
      <c r="W12" s="707"/>
      <c r="X12" s="707"/>
      <c r="Y12" s="782"/>
      <c r="Z12" s="782"/>
      <c r="AA12" s="778"/>
      <c r="AB12" s="814"/>
      <c r="AC12" s="695" t="s">
        <v>3540</v>
      </c>
      <c r="AE12" s="781" t="e">
        <f t="shared" si="0"/>
        <v>#DIV/0!</v>
      </c>
    </row>
    <row r="13" spans="1:39" s="784" customFormat="1" ht="18" customHeight="1" x14ac:dyDescent="0.25">
      <c r="A13" s="744">
        <v>5</v>
      </c>
      <c r="B13" s="745"/>
      <c r="C13" s="746">
        <v>2026</v>
      </c>
      <c r="D13" s="685" t="s">
        <v>3478</v>
      </c>
      <c r="E13" s="689" t="s">
        <v>3479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07"/>
      <c r="R13" s="707"/>
      <c r="S13" s="707"/>
      <c r="T13" s="707"/>
      <c r="U13" s="782">
        <f t="shared" si="1"/>
        <v>0</v>
      </c>
      <c r="V13" s="707"/>
      <c r="W13" s="707"/>
      <c r="X13" s="707"/>
      <c r="Y13" s="782"/>
      <c r="Z13" s="782"/>
      <c r="AA13" s="778"/>
      <c r="AB13" s="814"/>
      <c r="AC13" s="695" t="s">
        <v>3541</v>
      </c>
      <c r="AE13" s="781" t="e">
        <f t="shared" si="0"/>
        <v>#DIV/0!</v>
      </c>
    </row>
    <row r="14" spans="1:39" s="784" customFormat="1" ht="18" customHeight="1" x14ac:dyDescent="0.25">
      <c r="A14" s="744">
        <v>6</v>
      </c>
      <c r="B14" s="745"/>
      <c r="C14" s="746">
        <v>2026</v>
      </c>
      <c r="D14" s="685" t="s">
        <v>3480</v>
      </c>
      <c r="E14" s="689" t="s">
        <v>2456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07"/>
      <c r="S14" s="707"/>
      <c r="T14" s="707"/>
      <c r="U14" s="782">
        <f t="shared" si="1"/>
        <v>0</v>
      </c>
      <c r="V14" s="707"/>
      <c r="W14" s="707"/>
      <c r="X14" s="707"/>
      <c r="Y14" s="782"/>
      <c r="Z14" s="782"/>
      <c r="AA14" s="778"/>
      <c r="AB14" s="814"/>
      <c r="AC14" s="695" t="s">
        <v>3542</v>
      </c>
      <c r="AE14" s="781" t="e">
        <f t="shared" si="0"/>
        <v>#DIV/0!</v>
      </c>
    </row>
    <row r="15" spans="1:39" s="784" customFormat="1" ht="18" customHeight="1" x14ac:dyDescent="0.25">
      <c r="A15" s="744">
        <v>7</v>
      </c>
      <c r="B15" s="745"/>
      <c r="C15" s="746">
        <v>2026</v>
      </c>
      <c r="D15" s="685" t="s">
        <v>3481</v>
      </c>
      <c r="E15" s="689" t="s">
        <v>3482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07"/>
      <c r="R15" s="707"/>
      <c r="S15" s="707"/>
      <c r="T15" s="707"/>
      <c r="U15" s="782">
        <f t="shared" si="1"/>
        <v>0</v>
      </c>
      <c r="V15" s="707"/>
      <c r="W15" s="707"/>
      <c r="X15" s="707"/>
      <c r="Y15" s="782"/>
      <c r="Z15" s="782"/>
      <c r="AA15" s="778"/>
      <c r="AB15" s="814"/>
      <c r="AC15" s="695" t="s">
        <v>3543</v>
      </c>
      <c r="AE15" s="781" t="e">
        <f t="shared" si="0"/>
        <v>#DIV/0!</v>
      </c>
    </row>
    <row r="16" spans="1:39" s="784" customFormat="1" ht="18" customHeight="1" x14ac:dyDescent="0.25">
      <c r="A16" s="744">
        <v>8</v>
      </c>
      <c r="B16" s="745"/>
      <c r="C16" s="746">
        <v>2026</v>
      </c>
      <c r="D16" s="685" t="s">
        <v>3483</v>
      </c>
      <c r="E16" s="689" t="s">
        <v>3484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07"/>
      <c r="R16" s="707"/>
      <c r="S16" s="707"/>
      <c r="T16" s="707"/>
      <c r="U16" s="782">
        <f t="shared" si="1"/>
        <v>0</v>
      </c>
      <c r="V16" s="707"/>
      <c r="W16" s="707"/>
      <c r="X16" s="707"/>
      <c r="Y16" s="782"/>
      <c r="Z16" s="782"/>
      <c r="AA16" s="778"/>
      <c r="AB16" s="814"/>
      <c r="AC16" s="695" t="s">
        <v>3544</v>
      </c>
      <c r="AE16" s="781" t="e">
        <f t="shared" si="0"/>
        <v>#DIV/0!</v>
      </c>
    </row>
    <row r="17" spans="1:31" s="784" customFormat="1" ht="18" customHeight="1" x14ac:dyDescent="0.25">
      <c r="A17" s="744">
        <v>9</v>
      </c>
      <c r="B17" s="745"/>
      <c r="C17" s="746">
        <v>2026</v>
      </c>
      <c r="D17" s="685" t="s">
        <v>2583</v>
      </c>
      <c r="E17" s="689" t="s">
        <v>3485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07"/>
      <c r="S17" s="707"/>
      <c r="T17" s="707"/>
      <c r="U17" s="782">
        <f t="shared" si="1"/>
        <v>0</v>
      </c>
      <c r="V17" s="707"/>
      <c r="W17" s="707"/>
      <c r="X17" s="707"/>
      <c r="Y17" s="782"/>
      <c r="Z17" s="782"/>
      <c r="AA17" s="778"/>
      <c r="AB17" s="814"/>
      <c r="AC17" s="695" t="s">
        <v>3545</v>
      </c>
      <c r="AE17" s="781" t="e">
        <f t="shared" si="0"/>
        <v>#DIV/0!</v>
      </c>
    </row>
    <row r="18" spans="1:31" s="784" customFormat="1" ht="18" customHeight="1" x14ac:dyDescent="0.25">
      <c r="A18" s="744">
        <v>10</v>
      </c>
      <c r="B18" s="745"/>
      <c r="C18" s="746">
        <v>2026</v>
      </c>
      <c r="D18" s="685" t="s">
        <v>3486</v>
      </c>
      <c r="E18" s="689" t="s">
        <v>3487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07"/>
      <c r="R18" s="707"/>
      <c r="S18" s="707"/>
      <c r="T18" s="707"/>
      <c r="U18" s="782">
        <f t="shared" si="1"/>
        <v>0</v>
      </c>
      <c r="V18" s="707"/>
      <c r="W18" s="707"/>
      <c r="X18" s="707"/>
      <c r="Y18" s="782"/>
      <c r="Z18" s="782"/>
      <c r="AA18" s="778"/>
      <c r="AB18" s="814"/>
      <c r="AC18" s="695" t="s">
        <v>3546</v>
      </c>
      <c r="AE18" s="781" t="e">
        <f t="shared" si="0"/>
        <v>#DIV/0!</v>
      </c>
    </row>
    <row r="19" spans="1:31" s="784" customFormat="1" ht="18" customHeight="1" x14ac:dyDescent="0.25">
      <c r="A19" s="744">
        <v>11</v>
      </c>
      <c r="B19" s="745"/>
      <c r="C19" s="746">
        <v>2026</v>
      </c>
      <c r="D19" s="685" t="s">
        <v>3488</v>
      </c>
      <c r="E19" s="689" t="s">
        <v>3489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07"/>
      <c r="S19" s="707"/>
      <c r="T19" s="707"/>
      <c r="U19" s="782">
        <f t="shared" si="1"/>
        <v>0</v>
      </c>
      <c r="V19" s="707"/>
      <c r="W19" s="707"/>
      <c r="X19" s="707"/>
      <c r="Y19" s="782"/>
      <c r="Z19" s="782"/>
      <c r="AA19" s="778"/>
      <c r="AB19" s="814"/>
      <c r="AC19" s="695" t="s">
        <v>3547</v>
      </c>
      <c r="AE19" s="781" t="e">
        <f t="shared" si="0"/>
        <v>#DIV/0!</v>
      </c>
    </row>
    <row r="20" spans="1:31" s="784" customFormat="1" ht="18" customHeight="1" x14ac:dyDescent="0.25">
      <c r="A20" s="744">
        <v>12</v>
      </c>
      <c r="B20" s="745"/>
      <c r="C20" s="746">
        <v>2026</v>
      </c>
      <c r="D20" s="685" t="s">
        <v>3490</v>
      </c>
      <c r="E20" s="689" t="s">
        <v>3491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82">
        <f t="shared" si="1"/>
        <v>0</v>
      </c>
      <c r="V20" s="707"/>
      <c r="W20" s="707"/>
      <c r="X20" s="707"/>
      <c r="Y20" s="782"/>
      <c r="Z20" s="782"/>
      <c r="AA20" s="778"/>
      <c r="AB20" s="814"/>
      <c r="AC20" s="695" t="s">
        <v>3548</v>
      </c>
      <c r="AE20" s="781" t="e">
        <f t="shared" si="0"/>
        <v>#DIV/0!</v>
      </c>
    </row>
    <row r="21" spans="1:31" s="784" customFormat="1" ht="18" customHeight="1" x14ac:dyDescent="0.25">
      <c r="A21" s="744">
        <v>13</v>
      </c>
      <c r="B21" s="745"/>
      <c r="C21" s="746">
        <v>2026</v>
      </c>
      <c r="D21" s="685" t="s">
        <v>3492</v>
      </c>
      <c r="E21" s="689" t="s">
        <v>3493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07"/>
      <c r="R21" s="707"/>
      <c r="S21" s="707"/>
      <c r="T21" s="707"/>
      <c r="U21" s="782">
        <f t="shared" si="1"/>
        <v>0</v>
      </c>
      <c r="V21" s="707"/>
      <c r="W21" s="707"/>
      <c r="X21" s="707"/>
      <c r="Y21" s="782"/>
      <c r="Z21" s="782"/>
      <c r="AA21" s="778"/>
      <c r="AB21" s="814"/>
      <c r="AC21" s="695" t="s">
        <v>2537</v>
      </c>
      <c r="AE21" s="781" t="e">
        <f t="shared" si="0"/>
        <v>#DIV/0!</v>
      </c>
    </row>
    <row r="22" spans="1:31" s="784" customFormat="1" ht="18" customHeight="1" x14ac:dyDescent="0.25">
      <c r="A22" s="744">
        <v>14</v>
      </c>
      <c r="B22" s="745"/>
      <c r="C22" s="746">
        <v>2026</v>
      </c>
      <c r="D22" s="685" t="s">
        <v>3494</v>
      </c>
      <c r="E22" s="689" t="s">
        <v>3495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07"/>
      <c r="R22" s="707"/>
      <c r="S22" s="707"/>
      <c r="T22" s="707"/>
      <c r="U22" s="782">
        <f t="shared" si="1"/>
        <v>0</v>
      </c>
      <c r="V22" s="707"/>
      <c r="W22" s="707"/>
      <c r="X22" s="707"/>
      <c r="Y22" s="782"/>
      <c r="Z22" s="782"/>
      <c r="AA22" s="778"/>
      <c r="AB22" s="814"/>
      <c r="AC22" s="695" t="s">
        <v>2731</v>
      </c>
      <c r="AE22" s="781" t="e">
        <f t="shared" si="0"/>
        <v>#DIV/0!</v>
      </c>
    </row>
    <row r="23" spans="1:31" s="784" customFormat="1" ht="18" customHeight="1" x14ac:dyDescent="0.25">
      <c r="A23" s="744">
        <v>15</v>
      </c>
      <c r="B23" s="745"/>
      <c r="C23" s="746">
        <v>2026</v>
      </c>
      <c r="D23" s="685" t="s">
        <v>3496</v>
      </c>
      <c r="E23" s="689" t="s">
        <v>3497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07"/>
      <c r="R23" s="707"/>
      <c r="S23" s="707"/>
      <c r="T23" s="707"/>
      <c r="U23" s="782">
        <f t="shared" si="1"/>
        <v>0</v>
      </c>
      <c r="V23" s="707"/>
      <c r="W23" s="707"/>
      <c r="X23" s="707"/>
      <c r="Y23" s="782"/>
      <c r="Z23" s="782"/>
      <c r="AA23" s="778"/>
      <c r="AB23" s="814"/>
      <c r="AC23" s="695" t="s">
        <v>2726</v>
      </c>
      <c r="AE23" s="781" t="e">
        <f t="shared" si="0"/>
        <v>#DIV/0!</v>
      </c>
    </row>
    <row r="24" spans="1:31" s="784" customFormat="1" ht="18" customHeight="1" x14ac:dyDescent="0.25">
      <c r="A24" s="744">
        <v>16</v>
      </c>
      <c r="B24" s="745"/>
      <c r="C24" s="746">
        <v>2026</v>
      </c>
      <c r="D24" s="685" t="s">
        <v>3498</v>
      </c>
      <c r="E24" s="689" t="s">
        <v>3499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07"/>
      <c r="R24" s="707"/>
      <c r="S24" s="707"/>
      <c r="T24" s="707"/>
      <c r="U24" s="782">
        <f t="shared" si="1"/>
        <v>0</v>
      </c>
      <c r="V24" s="707"/>
      <c r="W24" s="707"/>
      <c r="X24" s="707"/>
      <c r="Y24" s="782"/>
      <c r="Z24" s="782"/>
      <c r="AA24" s="778"/>
      <c r="AB24" s="814"/>
      <c r="AC24" s="695" t="s">
        <v>3549</v>
      </c>
      <c r="AE24" s="781" t="e">
        <f t="shared" si="0"/>
        <v>#DIV/0!</v>
      </c>
    </row>
    <row r="25" spans="1:31" s="784" customFormat="1" ht="18" customHeight="1" x14ac:dyDescent="0.25">
      <c r="A25" s="744">
        <v>17</v>
      </c>
      <c r="B25" s="745"/>
      <c r="C25" s="746">
        <v>2026</v>
      </c>
      <c r="D25" s="685" t="s">
        <v>3500</v>
      </c>
      <c r="E25" s="689" t="s">
        <v>3501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07"/>
      <c r="R25" s="707"/>
      <c r="S25" s="707"/>
      <c r="T25" s="707"/>
      <c r="U25" s="782">
        <f t="shared" si="1"/>
        <v>0</v>
      </c>
      <c r="V25" s="707"/>
      <c r="W25" s="707"/>
      <c r="X25" s="707"/>
      <c r="Y25" s="782"/>
      <c r="Z25" s="782"/>
      <c r="AA25" s="778"/>
      <c r="AB25" s="814"/>
      <c r="AC25" s="695" t="s">
        <v>2488</v>
      </c>
      <c r="AE25" s="781" t="e">
        <f t="shared" si="0"/>
        <v>#DIV/0!</v>
      </c>
    </row>
    <row r="26" spans="1:31" s="784" customFormat="1" ht="18" customHeight="1" x14ac:dyDescent="0.25">
      <c r="A26" s="744">
        <v>18</v>
      </c>
      <c r="B26" s="745"/>
      <c r="C26" s="746">
        <v>2026</v>
      </c>
      <c r="D26" s="685" t="s">
        <v>3502</v>
      </c>
      <c r="E26" s="689" t="s">
        <v>3503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07"/>
      <c r="R26" s="707"/>
      <c r="S26" s="707"/>
      <c r="T26" s="707"/>
      <c r="U26" s="782">
        <f t="shared" si="1"/>
        <v>0</v>
      </c>
      <c r="V26" s="707"/>
      <c r="W26" s="707"/>
      <c r="X26" s="707"/>
      <c r="Y26" s="782"/>
      <c r="Z26" s="782"/>
      <c r="AA26" s="778"/>
      <c r="AB26" s="814"/>
      <c r="AC26" s="695" t="s">
        <v>3550</v>
      </c>
      <c r="AE26" s="781" t="e">
        <f t="shared" si="0"/>
        <v>#DIV/0!</v>
      </c>
    </row>
    <row r="27" spans="1:31" s="784" customFormat="1" ht="18" customHeight="1" x14ac:dyDescent="0.25">
      <c r="A27" s="744">
        <v>19</v>
      </c>
      <c r="B27" s="745"/>
      <c r="C27" s="746">
        <v>2026</v>
      </c>
      <c r="D27" s="685" t="s">
        <v>3504</v>
      </c>
      <c r="E27" s="689" t="s">
        <v>3474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07"/>
      <c r="R27" s="707"/>
      <c r="S27" s="707"/>
      <c r="T27" s="707"/>
      <c r="U27" s="782">
        <f t="shared" si="1"/>
        <v>0</v>
      </c>
      <c r="V27" s="707"/>
      <c r="W27" s="707"/>
      <c r="X27" s="707"/>
      <c r="Y27" s="782"/>
      <c r="Z27" s="782"/>
      <c r="AA27" s="778"/>
      <c r="AB27" s="814"/>
      <c r="AC27" s="695" t="s">
        <v>3551</v>
      </c>
      <c r="AE27" s="781" t="e">
        <f t="shared" si="0"/>
        <v>#DIV/0!</v>
      </c>
    </row>
    <row r="28" spans="1:31" s="784" customFormat="1" ht="18" customHeight="1" x14ac:dyDescent="0.25">
      <c r="A28" s="744">
        <v>20</v>
      </c>
      <c r="B28" s="745"/>
      <c r="C28" s="746">
        <v>2026</v>
      </c>
      <c r="D28" s="685" t="s">
        <v>3505</v>
      </c>
      <c r="E28" s="689" t="s">
        <v>3310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07"/>
      <c r="R28" s="707"/>
      <c r="S28" s="707"/>
      <c r="T28" s="707"/>
      <c r="U28" s="782">
        <f t="shared" si="1"/>
        <v>0</v>
      </c>
      <c r="V28" s="707"/>
      <c r="W28" s="707"/>
      <c r="X28" s="707"/>
      <c r="Y28" s="782"/>
      <c r="Z28" s="782"/>
      <c r="AA28" s="778"/>
      <c r="AB28" s="814"/>
      <c r="AC28" s="695" t="s">
        <v>3546</v>
      </c>
      <c r="AE28" s="781" t="e">
        <f t="shared" si="0"/>
        <v>#DIV/0!</v>
      </c>
    </row>
    <row r="29" spans="1:31" s="784" customFormat="1" ht="18" customHeight="1" x14ac:dyDescent="0.25">
      <c r="A29" s="744">
        <v>21</v>
      </c>
      <c r="B29" s="745"/>
      <c r="C29" s="746">
        <v>2026</v>
      </c>
      <c r="D29" s="685" t="s">
        <v>3506</v>
      </c>
      <c r="E29" s="689" t="s">
        <v>3507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07"/>
      <c r="R29" s="707"/>
      <c r="S29" s="707"/>
      <c r="T29" s="707"/>
      <c r="U29" s="782">
        <f t="shared" si="1"/>
        <v>0</v>
      </c>
      <c r="V29" s="707"/>
      <c r="W29" s="707"/>
      <c r="X29" s="707"/>
      <c r="Y29" s="782"/>
      <c r="Z29" s="782"/>
      <c r="AA29" s="778"/>
      <c r="AB29" s="814"/>
      <c r="AC29" s="695" t="s">
        <v>3226</v>
      </c>
      <c r="AE29" s="781" t="e">
        <f t="shared" si="0"/>
        <v>#DIV/0!</v>
      </c>
    </row>
    <row r="30" spans="1:31" s="784" customFormat="1" ht="18" customHeight="1" x14ac:dyDescent="0.25">
      <c r="A30" s="744">
        <v>22</v>
      </c>
      <c r="B30" s="745"/>
      <c r="C30" s="746">
        <v>2026</v>
      </c>
      <c r="D30" s="685" t="s">
        <v>3508</v>
      </c>
      <c r="E30" s="689" t="s">
        <v>3509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07"/>
      <c r="R30" s="707"/>
      <c r="S30" s="707"/>
      <c r="T30" s="707"/>
      <c r="U30" s="782">
        <f t="shared" si="1"/>
        <v>0</v>
      </c>
      <c r="V30" s="707"/>
      <c r="W30" s="707"/>
      <c r="X30" s="707"/>
      <c r="Y30" s="782">
        <f>SUM(V30:X30)/3</f>
        <v>0</v>
      </c>
      <c r="Z30" s="782">
        <f>SUM(U30+Y30)/2</f>
        <v>0</v>
      </c>
      <c r="AA30" s="778"/>
      <c r="AB30" s="814"/>
      <c r="AC30" s="695" t="s">
        <v>3538</v>
      </c>
      <c r="AE30" s="781" t="e">
        <f t="shared" si="0"/>
        <v>#DIV/0!</v>
      </c>
    </row>
    <row r="31" spans="1:31" s="784" customFormat="1" ht="18" customHeight="1" x14ac:dyDescent="0.25">
      <c r="A31" s="744">
        <v>23</v>
      </c>
      <c r="B31" s="745"/>
      <c r="C31" s="746">
        <v>2026</v>
      </c>
      <c r="D31" s="685" t="s">
        <v>3510</v>
      </c>
      <c r="E31" s="689" t="s">
        <v>238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07"/>
      <c r="R31" s="707"/>
      <c r="S31" s="707"/>
      <c r="T31" s="707"/>
      <c r="U31" s="782">
        <f t="shared" si="1"/>
        <v>0</v>
      </c>
      <c r="V31" s="707"/>
      <c r="W31" s="707"/>
      <c r="X31" s="707"/>
      <c r="Y31" s="782"/>
      <c r="Z31" s="782"/>
      <c r="AA31" s="778"/>
      <c r="AB31" s="814"/>
      <c r="AC31" s="695" t="s">
        <v>2497</v>
      </c>
      <c r="AE31" s="781" t="e">
        <f t="shared" si="0"/>
        <v>#DIV/0!</v>
      </c>
    </row>
    <row r="32" spans="1:31" s="784" customFormat="1" ht="18" customHeight="1" x14ac:dyDescent="0.25">
      <c r="A32" s="744">
        <v>24</v>
      </c>
      <c r="B32" s="745"/>
      <c r="C32" s="746">
        <v>2026</v>
      </c>
      <c r="D32" s="685" t="s">
        <v>3511</v>
      </c>
      <c r="E32" s="689" t="s">
        <v>3512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07"/>
      <c r="R32" s="707"/>
      <c r="S32" s="707"/>
      <c r="T32" s="707"/>
      <c r="U32" s="782">
        <f t="shared" si="1"/>
        <v>0</v>
      </c>
      <c r="V32" s="707"/>
      <c r="W32" s="707"/>
      <c r="X32" s="707"/>
      <c r="Y32" s="782">
        <f t="shared" ref="Y32:Y47" si="2">SUM(V32:X32)/3</f>
        <v>0</v>
      </c>
      <c r="Z32" s="782">
        <f t="shared" ref="Z32:Z47" si="3">SUM(U32+Y32)/2</f>
        <v>0</v>
      </c>
      <c r="AA32" s="778"/>
      <c r="AB32" s="814"/>
      <c r="AC32" s="695" t="s">
        <v>2966</v>
      </c>
      <c r="AE32" s="781" t="e">
        <f t="shared" si="0"/>
        <v>#DIV/0!</v>
      </c>
    </row>
    <row r="33" spans="1:31" s="784" customFormat="1" ht="18" customHeight="1" x14ac:dyDescent="0.25">
      <c r="A33" s="744">
        <v>25</v>
      </c>
      <c r="B33" s="745"/>
      <c r="C33" s="746">
        <v>2026</v>
      </c>
      <c r="D33" s="685" t="s">
        <v>3513</v>
      </c>
      <c r="E33" s="689" t="s">
        <v>3514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07"/>
      <c r="S33" s="707"/>
      <c r="T33" s="707"/>
      <c r="U33" s="782">
        <f t="shared" si="1"/>
        <v>0</v>
      </c>
      <c r="V33" s="707"/>
      <c r="W33" s="707"/>
      <c r="X33" s="707"/>
      <c r="Y33" s="782">
        <f t="shared" si="2"/>
        <v>0</v>
      </c>
      <c r="Z33" s="782">
        <f t="shared" si="3"/>
        <v>0</v>
      </c>
      <c r="AA33" s="778"/>
      <c r="AB33" s="814"/>
      <c r="AC33" s="695" t="s">
        <v>2981</v>
      </c>
      <c r="AE33" s="781" t="e">
        <f t="shared" si="0"/>
        <v>#DIV/0!</v>
      </c>
    </row>
    <row r="34" spans="1:31" s="784" customFormat="1" ht="18" customHeight="1" x14ac:dyDescent="0.25">
      <c r="A34" s="744">
        <v>26</v>
      </c>
      <c r="B34" s="745"/>
      <c r="C34" s="746">
        <v>2026</v>
      </c>
      <c r="D34" s="685" t="s">
        <v>3515</v>
      </c>
      <c r="E34" s="689" t="s">
        <v>3272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07"/>
      <c r="T34" s="707"/>
      <c r="U34" s="782">
        <f t="shared" si="1"/>
        <v>0</v>
      </c>
      <c r="V34" s="707"/>
      <c r="W34" s="707"/>
      <c r="X34" s="707"/>
      <c r="Y34" s="782"/>
      <c r="Z34" s="782"/>
      <c r="AA34" s="778"/>
      <c r="AB34" s="814"/>
      <c r="AC34" s="695" t="s">
        <v>3215</v>
      </c>
      <c r="AE34" s="781" t="e">
        <f t="shared" si="0"/>
        <v>#DIV/0!</v>
      </c>
    </row>
    <row r="35" spans="1:31" s="784" customFormat="1" ht="18" customHeight="1" x14ac:dyDescent="0.25">
      <c r="A35" s="744">
        <v>27</v>
      </c>
      <c r="B35" s="745"/>
      <c r="C35" s="746">
        <v>2026</v>
      </c>
      <c r="D35" s="685" t="s">
        <v>3516</v>
      </c>
      <c r="E35" s="689" t="s">
        <v>3517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07"/>
      <c r="S35" s="707"/>
      <c r="T35" s="707"/>
      <c r="U35" s="782">
        <f t="shared" si="1"/>
        <v>0</v>
      </c>
      <c r="V35" s="707"/>
      <c r="W35" s="707"/>
      <c r="X35" s="707"/>
      <c r="Y35" s="782"/>
      <c r="Z35" s="782"/>
      <c r="AA35" s="778"/>
      <c r="AB35" s="814"/>
      <c r="AC35" s="695" t="s">
        <v>3552</v>
      </c>
      <c r="AE35" s="781" t="e">
        <f t="shared" si="0"/>
        <v>#DIV/0!</v>
      </c>
    </row>
    <row r="36" spans="1:31" s="784" customFormat="1" ht="18" customHeight="1" x14ac:dyDescent="0.25">
      <c r="A36" s="744">
        <v>28</v>
      </c>
      <c r="B36" s="745"/>
      <c r="C36" s="746">
        <v>2026</v>
      </c>
      <c r="D36" s="685" t="s">
        <v>2897</v>
      </c>
      <c r="E36" s="689" t="s">
        <v>3518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7"/>
      <c r="Q36" s="707"/>
      <c r="R36" s="707"/>
      <c r="S36" s="707"/>
      <c r="T36" s="707"/>
      <c r="U36" s="782">
        <f t="shared" si="1"/>
        <v>0</v>
      </c>
      <c r="V36" s="707"/>
      <c r="W36" s="707"/>
      <c r="X36" s="707"/>
      <c r="Y36" s="782"/>
      <c r="Z36" s="782"/>
      <c r="AA36" s="778"/>
      <c r="AB36" s="814"/>
      <c r="AC36" s="695" t="s">
        <v>2537</v>
      </c>
      <c r="AE36" s="781" t="e">
        <f t="shared" si="0"/>
        <v>#DIV/0!</v>
      </c>
    </row>
    <row r="37" spans="1:31" s="784" customFormat="1" ht="18" customHeight="1" x14ac:dyDescent="0.25">
      <c r="A37" s="744">
        <v>29</v>
      </c>
      <c r="B37" s="745"/>
      <c r="C37" s="746">
        <v>2026</v>
      </c>
      <c r="D37" s="685" t="s">
        <v>3519</v>
      </c>
      <c r="E37" s="689" t="s">
        <v>3520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7"/>
      <c r="Q37" s="707"/>
      <c r="R37" s="707"/>
      <c r="S37" s="707"/>
      <c r="T37" s="707"/>
      <c r="U37" s="782">
        <f t="shared" si="1"/>
        <v>0</v>
      </c>
      <c r="V37" s="707"/>
      <c r="W37" s="707"/>
      <c r="X37" s="707"/>
      <c r="Y37" s="782"/>
      <c r="Z37" s="782"/>
      <c r="AA37" s="778"/>
      <c r="AB37" s="814"/>
      <c r="AC37" s="695" t="s">
        <v>2730</v>
      </c>
      <c r="AE37" s="781" t="e">
        <f t="shared" si="0"/>
        <v>#DIV/0!</v>
      </c>
    </row>
    <row r="38" spans="1:31" s="784" customFormat="1" ht="18" customHeight="1" x14ac:dyDescent="0.25">
      <c r="A38" s="744">
        <v>30</v>
      </c>
      <c r="B38" s="745"/>
      <c r="C38" s="746">
        <v>2026</v>
      </c>
      <c r="D38" s="685" t="s">
        <v>3521</v>
      </c>
      <c r="E38" s="689" t="s">
        <v>3522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7"/>
      <c r="Q38" s="707"/>
      <c r="R38" s="707"/>
      <c r="S38" s="707"/>
      <c r="T38" s="707"/>
      <c r="U38" s="782">
        <f t="shared" si="1"/>
        <v>0</v>
      </c>
      <c r="V38" s="707"/>
      <c r="W38" s="707"/>
      <c r="X38" s="707"/>
      <c r="Y38" s="782"/>
      <c r="Z38" s="782"/>
      <c r="AA38" s="778"/>
      <c r="AB38" s="814"/>
      <c r="AC38" s="695" t="s">
        <v>2975</v>
      </c>
      <c r="AE38" s="781" t="e">
        <f t="shared" si="0"/>
        <v>#DIV/0!</v>
      </c>
    </row>
    <row r="39" spans="1:31" s="784" customFormat="1" ht="18" customHeight="1" x14ac:dyDescent="0.25">
      <c r="A39" s="744">
        <v>31</v>
      </c>
      <c r="B39" s="745"/>
      <c r="C39" s="746">
        <v>2026</v>
      </c>
      <c r="D39" s="685" t="s">
        <v>3523</v>
      </c>
      <c r="E39" s="689" t="s">
        <v>3524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82">
        <f t="shared" si="1"/>
        <v>0</v>
      </c>
      <c r="V39" s="707"/>
      <c r="W39" s="707"/>
      <c r="X39" s="707"/>
      <c r="Y39" s="782"/>
      <c r="Z39" s="782"/>
      <c r="AA39" s="778"/>
      <c r="AB39" s="814"/>
      <c r="AC39" s="695" t="s">
        <v>3212</v>
      </c>
      <c r="AE39" s="781" t="e">
        <f t="shared" si="0"/>
        <v>#DIV/0!</v>
      </c>
    </row>
    <row r="40" spans="1:31" s="784" customFormat="1" ht="18" customHeight="1" x14ac:dyDescent="0.25">
      <c r="A40" s="744">
        <v>32</v>
      </c>
      <c r="B40" s="745"/>
      <c r="C40" s="746">
        <v>2026</v>
      </c>
      <c r="D40" s="685" t="s">
        <v>3525</v>
      </c>
      <c r="E40" s="689" t="s">
        <v>2475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07"/>
      <c r="R40" s="707"/>
      <c r="S40" s="707"/>
      <c r="T40" s="707"/>
      <c r="U40" s="782">
        <f t="shared" si="1"/>
        <v>0</v>
      </c>
      <c r="V40" s="707"/>
      <c r="W40" s="707"/>
      <c r="X40" s="707"/>
      <c r="Y40" s="782"/>
      <c r="Z40" s="782"/>
      <c r="AA40" s="778"/>
      <c r="AB40" s="814"/>
      <c r="AC40" s="695" t="s">
        <v>3553</v>
      </c>
      <c r="AE40" s="781" t="e">
        <f t="shared" si="0"/>
        <v>#DIV/0!</v>
      </c>
    </row>
    <row r="41" spans="1:31" s="784" customFormat="1" ht="18" customHeight="1" x14ac:dyDescent="0.25">
      <c r="A41" s="744">
        <v>33</v>
      </c>
      <c r="B41" s="745"/>
      <c r="C41" s="746">
        <v>2026</v>
      </c>
      <c r="D41" s="685" t="s">
        <v>3526</v>
      </c>
      <c r="E41" s="689" t="s">
        <v>3527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07"/>
      <c r="R41" s="707"/>
      <c r="S41" s="707"/>
      <c r="T41" s="707"/>
      <c r="U41" s="782">
        <f t="shared" si="1"/>
        <v>0</v>
      </c>
      <c r="V41" s="707"/>
      <c r="W41" s="707"/>
      <c r="X41" s="707"/>
      <c r="Y41" s="782"/>
      <c r="Z41" s="782"/>
      <c r="AA41" s="778"/>
      <c r="AB41" s="814"/>
      <c r="AC41" s="695" t="s">
        <v>2992</v>
      </c>
      <c r="AE41" s="781" t="e">
        <f t="shared" si="0"/>
        <v>#DIV/0!</v>
      </c>
    </row>
    <row r="42" spans="1:31" s="784" customFormat="1" ht="18" customHeight="1" x14ac:dyDescent="0.25">
      <c r="A42" s="744">
        <v>34</v>
      </c>
      <c r="B42" s="745"/>
      <c r="C42" s="746">
        <v>2026</v>
      </c>
      <c r="D42" s="685" t="s">
        <v>3528</v>
      </c>
      <c r="E42" s="689" t="s">
        <v>3529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07"/>
      <c r="R42" s="707"/>
      <c r="S42" s="707"/>
      <c r="T42" s="707"/>
      <c r="U42" s="782">
        <f t="shared" si="1"/>
        <v>0</v>
      </c>
      <c r="V42" s="707"/>
      <c r="W42" s="707"/>
      <c r="X42" s="707"/>
      <c r="Y42" s="782"/>
      <c r="Z42" s="782"/>
      <c r="AA42" s="778"/>
      <c r="AB42" s="814"/>
      <c r="AC42" s="695" t="s">
        <v>2733</v>
      </c>
      <c r="AE42" s="781" t="e">
        <f t="shared" si="0"/>
        <v>#DIV/0!</v>
      </c>
    </row>
    <row r="43" spans="1:31" s="784" customFormat="1" ht="18" customHeight="1" x14ac:dyDescent="0.25">
      <c r="A43" s="744">
        <v>35</v>
      </c>
      <c r="B43" s="745"/>
      <c r="C43" s="746">
        <v>2026</v>
      </c>
      <c r="D43" s="685" t="s">
        <v>3530</v>
      </c>
      <c r="E43" s="689" t="s">
        <v>3531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07"/>
      <c r="R43" s="707"/>
      <c r="S43" s="707"/>
      <c r="T43" s="707"/>
      <c r="U43" s="782">
        <f t="shared" si="1"/>
        <v>0</v>
      </c>
      <c r="V43" s="707"/>
      <c r="W43" s="707"/>
      <c r="X43" s="707"/>
      <c r="Y43" s="782">
        <f t="shared" si="2"/>
        <v>0</v>
      </c>
      <c r="Z43" s="782">
        <f t="shared" si="3"/>
        <v>0</v>
      </c>
      <c r="AA43" s="778"/>
      <c r="AB43" s="814"/>
      <c r="AC43" s="695" t="s">
        <v>2996</v>
      </c>
      <c r="AE43" s="781" t="e">
        <f t="shared" si="0"/>
        <v>#DIV/0!</v>
      </c>
    </row>
    <row r="44" spans="1:31" s="784" customFormat="1" ht="18" customHeight="1" x14ac:dyDescent="0.25">
      <c r="A44" s="744">
        <v>36</v>
      </c>
      <c r="B44" s="745"/>
      <c r="C44" s="746">
        <v>2026</v>
      </c>
      <c r="D44" s="685" t="s">
        <v>3532</v>
      </c>
      <c r="E44" s="689" t="s">
        <v>3413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07"/>
      <c r="S44" s="707"/>
      <c r="T44" s="707"/>
      <c r="U44" s="782">
        <f t="shared" si="1"/>
        <v>0</v>
      </c>
      <c r="V44" s="707"/>
      <c r="W44" s="707"/>
      <c r="X44" s="707"/>
      <c r="Y44" s="782">
        <f t="shared" si="2"/>
        <v>0</v>
      </c>
      <c r="Z44" s="782">
        <f t="shared" si="3"/>
        <v>0</v>
      </c>
      <c r="AA44" s="778"/>
      <c r="AB44" s="814"/>
      <c r="AC44" s="695" t="s">
        <v>2733</v>
      </c>
      <c r="AE44" s="781" t="e">
        <f t="shared" si="0"/>
        <v>#DIV/0!</v>
      </c>
    </row>
    <row r="45" spans="1:31" s="784" customFormat="1" ht="18" customHeight="1" x14ac:dyDescent="0.25">
      <c r="A45" s="744">
        <v>37</v>
      </c>
      <c r="B45" s="745"/>
      <c r="C45" s="746">
        <v>2026</v>
      </c>
      <c r="D45" s="685" t="s">
        <v>3533</v>
      </c>
      <c r="E45" s="689" t="s">
        <v>1604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07"/>
      <c r="R45" s="707"/>
      <c r="S45" s="707"/>
      <c r="T45" s="707"/>
      <c r="U45" s="782">
        <f t="shared" si="1"/>
        <v>0</v>
      </c>
      <c r="V45" s="707"/>
      <c r="W45" s="707"/>
      <c r="X45" s="707"/>
      <c r="Y45" s="782">
        <f t="shared" si="2"/>
        <v>0</v>
      </c>
      <c r="Z45" s="782">
        <f t="shared" si="3"/>
        <v>0</v>
      </c>
      <c r="AA45" s="778"/>
      <c r="AB45" s="814"/>
      <c r="AC45" s="695" t="s">
        <v>3539</v>
      </c>
      <c r="AE45" s="781" t="e">
        <f t="shared" si="0"/>
        <v>#DIV/0!</v>
      </c>
    </row>
    <row r="46" spans="1:31" s="784" customFormat="1" ht="18" customHeight="1" x14ac:dyDescent="0.25">
      <c r="A46" s="744">
        <v>38</v>
      </c>
      <c r="B46" s="745"/>
      <c r="C46" s="746">
        <v>2026</v>
      </c>
      <c r="D46" s="685" t="s">
        <v>3534</v>
      </c>
      <c r="E46" s="689" t="s">
        <v>3535</v>
      </c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07"/>
      <c r="T46" s="707"/>
      <c r="U46" s="782">
        <f t="shared" si="1"/>
        <v>0</v>
      </c>
      <c r="V46" s="707"/>
      <c r="W46" s="707"/>
      <c r="X46" s="707"/>
      <c r="Y46" s="782">
        <f t="shared" si="2"/>
        <v>0</v>
      </c>
      <c r="Z46" s="782">
        <f t="shared" si="3"/>
        <v>0</v>
      </c>
      <c r="AA46" s="778"/>
      <c r="AB46" s="814"/>
      <c r="AC46" s="695" t="s">
        <v>2477</v>
      </c>
      <c r="AE46" s="781" t="e">
        <f t="shared" si="0"/>
        <v>#DIV/0!</v>
      </c>
    </row>
    <row r="47" spans="1:31" s="784" customFormat="1" ht="18" customHeight="1" x14ac:dyDescent="0.25">
      <c r="A47" s="744">
        <v>39</v>
      </c>
      <c r="B47" s="745"/>
      <c r="C47" s="746">
        <v>2026</v>
      </c>
      <c r="D47" s="685" t="s">
        <v>3536</v>
      </c>
      <c r="E47" s="689" t="s">
        <v>3537</v>
      </c>
      <c r="F47" s="707"/>
      <c r="G47" s="707"/>
      <c r="H47" s="707"/>
      <c r="I47" s="707"/>
      <c r="J47" s="707"/>
      <c r="K47" s="707"/>
      <c r="L47" s="707"/>
      <c r="M47" s="707"/>
      <c r="N47" s="707"/>
      <c r="O47" s="707"/>
      <c r="P47" s="707"/>
      <c r="Q47" s="707"/>
      <c r="R47" s="707"/>
      <c r="S47" s="707"/>
      <c r="T47" s="707"/>
      <c r="U47" s="782">
        <f t="shared" si="1"/>
        <v>0</v>
      </c>
      <c r="V47" s="707"/>
      <c r="W47" s="707"/>
      <c r="X47" s="707"/>
      <c r="Y47" s="782">
        <f t="shared" si="2"/>
        <v>0</v>
      </c>
      <c r="Z47" s="782">
        <f t="shared" si="3"/>
        <v>0</v>
      </c>
      <c r="AA47" s="778"/>
      <c r="AB47" s="814"/>
      <c r="AC47" s="695" t="s">
        <v>3554</v>
      </c>
      <c r="AE47" s="781" t="e">
        <f t="shared" si="0"/>
        <v>#DIV/0!</v>
      </c>
    </row>
    <row r="48" spans="1:31" s="796" customFormat="1" ht="13.5" customHeight="1" thickBot="1" x14ac:dyDescent="0.35">
      <c r="A48" s="836"/>
      <c r="B48" s="837"/>
      <c r="C48" s="837"/>
      <c r="D48" s="838"/>
      <c r="E48" s="837"/>
      <c r="F48" s="837"/>
      <c r="G48" s="837"/>
      <c r="H48" s="837"/>
      <c r="I48" s="837"/>
      <c r="J48" s="837"/>
      <c r="K48" s="837"/>
      <c r="L48" s="837"/>
      <c r="M48" s="837"/>
      <c r="N48" s="837"/>
      <c r="O48" s="837"/>
      <c r="P48" s="837"/>
      <c r="Q48" s="837"/>
      <c r="R48" s="837"/>
      <c r="S48" s="837"/>
      <c r="T48" s="837"/>
      <c r="U48" s="845"/>
      <c r="V48" s="824"/>
      <c r="W48" s="824"/>
      <c r="X48" s="824"/>
      <c r="Y48" s="837"/>
      <c r="Z48" s="837"/>
      <c r="AA48" s="837"/>
      <c r="AB48" s="846"/>
      <c r="AC48" s="847"/>
    </row>
    <row r="49" spans="1:29" s="796" customFormat="1" ht="19.5" thickTop="1" x14ac:dyDescent="0.3">
      <c r="A49" s="797"/>
      <c r="B49" s="797"/>
      <c r="C49" s="797"/>
      <c r="E49" s="797"/>
      <c r="F49" s="797"/>
      <c r="G49" s="797"/>
      <c r="H49" s="797"/>
      <c r="I49" s="797"/>
      <c r="J49" s="797"/>
      <c r="K49" s="797"/>
      <c r="L49" s="797"/>
      <c r="M49" s="797"/>
      <c r="N49" s="797"/>
      <c r="O49" s="797"/>
      <c r="P49" s="797"/>
      <c r="Q49" s="797"/>
      <c r="R49" s="797"/>
      <c r="S49" s="797"/>
      <c r="T49" s="797"/>
      <c r="U49" s="803"/>
      <c r="V49" s="797"/>
      <c r="W49" s="797"/>
      <c r="X49" s="797"/>
      <c r="Y49" s="797"/>
      <c r="Z49" s="797"/>
      <c r="AA49" s="797"/>
      <c r="AB49" s="988"/>
      <c r="AC49" s="797"/>
    </row>
    <row r="50" spans="1:29" s="796" customFormat="1" x14ac:dyDescent="0.3">
      <c r="A50" s="797"/>
      <c r="B50" s="797"/>
      <c r="C50" s="797"/>
      <c r="E50" s="797"/>
      <c r="F50" s="797"/>
      <c r="G50" s="797"/>
      <c r="H50" s="797"/>
      <c r="I50" s="797"/>
      <c r="J50" s="797"/>
      <c r="K50" s="797"/>
      <c r="L50" s="797"/>
      <c r="M50" s="797"/>
      <c r="N50" s="797"/>
      <c r="O50" s="797"/>
      <c r="P50" s="797"/>
      <c r="Q50" s="797"/>
      <c r="R50" s="797"/>
      <c r="S50" s="797"/>
      <c r="T50" s="797"/>
      <c r="U50" s="1071"/>
      <c r="V50" s="1071"/>
      <c r="W50" s="1071"/>
      <c r="X50" s="1071"/>
      <c r="Y50" s="1071"/>
      <c r="Z50" s="1071"/>
      <c r="AA50" s="1071"/>
      <c r="AB50" s="1071"/>
      <c r="AC50" s="1071"/>
    </row>
    <row r="51" spans="1:29" s="796" customFormat="1" x14ac:dyDescent="0.3">
      <c r="A51" s="797"/>
      <c r="B51" s="797"/>
      <c r="C51" s="797"/>
      <c r="E51" s="797"/>
      <c r="F51" s="797"/>
      <c r="G51" s="797"/>
      <c r="H51" s="797"/>
      <c r="I51" s="797"/>
      <c r="J51" s="797"/>
      <c r="K51" s="797"/>
      <c r="L51" s="797"/>
      <c r="M51" s="797"/>
      <c r="N51" s="797"/>
      <c r="O51" s="797"/>
      <c r="P51" s="797"/>
      <c r="Q51" s="797"/>
      <c r="R51" s="797"/>
      <c r="S51" s="797"/>
      <c r="T51" s="797"/>
      <c r="U51" s="1071"/>
      <c r="V51" s="1071"/>
      <c r="W51" s="1071"/>
      <c r="X51" s="797"/>
      <c r="Y51" s="797"/>
      <c r="Z51" s="797"/>
      <c r="AA51" s="797"/>
      <c r="AB51" s="988"/>
      <c r="AC51" s="797"/>
    </row>
    <row r="52" spans="1:29" s="796" customFormat="1" x14ac:dyDescent="0.3">
      <c r="A52" s="797"/>
      <c r="B52" s="797"/>
      <c r="C52" s="797"/>
      <c r="E52" s="797"/>
      <c r="F52" s="797"/>
      <c r="G52" s="797"/>
      <c r="H52" s="797"/>
      <c r="I52" s="797"/>
      <c r="J52" s="797"/>
      <c r="K52" s="797"/>
      <c r="L52" s="797"/>
      <c r="M52" s="797"/>
      <c r="N52" s="797"/>
      <c r="O52" s="797"/>
      <c r="P52" s="797"/>
      <c r="Q52" s="797"/>
      <c r="R52" s="797"/>
      <c r="S52" s="797"/>
      <c r="T52" s="797"/>
      <c r="U52" s="800"/>
      <c r="V52" s="780"/>
      <c r="W52" s="780"/>
      <c r="X52" s="797"/>
      <c r="Y52" s="797"/>
      <c r="Z52" s="797"/>
      <c r="AA52" s="797"/>
      <c r="AB52" s="799"/>
      <c r="AC52" s="797"/>
    </row>
    <row r="53" spans="1:29" s="796" customFormat="1" x14ac:dyDescent="0.3">
      <c r="A53" s="797"/>
      <c r="B53" s="797"/>
      <c r="C53" s="797"/>
      <c r="E53" s="797"/>
      <c r="F53" s="797"/>
      <c r="G53" s="797"/>
      <c r="H53" s="797"/>
      <c r="I53" s="797"/>
      <c r="J53" s="797"/>
      <c r="K53" s="797"/>
      <c r="L53" s="797"/>
      <c r="M53" s="797"/>
      <c r="N53" s="797"/>
      <c r="O53" s="797"/>
      <c r="P53" s="797"/>
      <c r="Q53" s="797"/>
      <c r="R53" s="797"/>
      <c r="S53" s="797"/>
      <c r="T53" s="797"/>
      <c r="U53" s="800"/>
      <c r="V53" s="780"/>
      <c r="W53" s="780"/>
      <c r="X53" s="797"/>
      <c r="Y53" s="797"/>
      <c r="Z53" s="797"/>
      <c r="AA53" s="797"/>
      <c r="AB53" s="799"/>
      <c r="AC53" s="797"/>
    </row>
    <row r="54" spans="1:29" s="796" customFormat="1" x14ac:dyDescent="0.3">
      <c r="A54" s="797"/>
      <c r="B54" s="797"/>
      <c r="C54" s="797"/>
      <c r="E54" s="797"/>
      <c r="F54" s="797"/>
      <c r="G54" s="797"/>
      <c r="H54" s="797"/>
      <c r="I54" s="797"/>
      <c r="J54" s="797"/>
      <c r="K54" s="797"/>
      <c r="L54" s="797"/>
      <c r="M54" s="797"/>
      <c r="N54" s="797"/>
      <c r="O54" s="797"/>
      <c r="P54" s="797"/>
      <c r="Q54" s="797"/>
      <c r="R54" s="797"/>
      <c r="S54" s="797"/>
      <c r="T54" s="797"/>
      <c r="U54" s="1072"/>
      <c r="V54" s="1072"/>
      <c r="W54" s="1072"/>
      <c r="X54" s="797"/>
      <c r="Y54" s="797"/>
      <c r="Z54" s="797"/>
      <c r="AA54" s="797"/>
      <c r="AB54" s="799"/>
      <c r="AC54" s="797"/>
    </row>
    <row r="55" spans="1:29" s="796" customFormat="1" x14ac:dyDescent="0.3">
      <c r="A55" s="797"/>
      <c r="B55" s="797"/>
      <c r="C55" s="797"/>
      <c r="E55" s="797"/>
      <c r="F55" s="797"/>
      <c r="G55" s="797"/>
      <c r="H55" s="797"/>
      <c r="I55" s="797"/>
      <c r="J55" s="797"/>
      <c r="K55" s="797"/>
      <c r="L55" s="797"/>
      <c r="M55" s="797"/>
      <c r="N55" s="797"/>
      <c r="O55" s="797"/>
      <c r="P55" s="797"/>
      <c r="Q55" s="797"/>
      <c r="R55" s="797"/>
      <c r="S55" s="797"/>
      <c r="T55" s="797"/>
      <c r="U55" s="1071"/>
      <c r="V55" s="1071"/>
      <c r="W55" s="1071"/>
      <c r="X55" s="1071"/>
      <c r="Y55" s="1071"/>
      <c r="Z55" s="1071"/>
      <c r="AA55" s="1071"/>
      <c r="AB55" s="1071"/>
      <c r="AC55" s="1071"/>
    </row>
    <row r="56" spans="1:29" s="796" customFormat="1" x14ac:dyDescent="0.3">
      <c r="A56" s="797"/>
      <c r="B56" s="797"/>
      <c r="C56" s="797"/>
      <c r="E56" s="797"/>
      <c r="F56" s="797"/>
      <c r="G56" s="797"/>
      <c r="H56" s="797"/>
      <c r="I56" s="797"/>
      <c r="J56" s="797"/>
      <c r="K56" s="797"/>
      <c r="L56" s="797"/>
      <c r="M56" s="797"/>
      <c r="N56" s="797"/>
      <c r="O56" s="797"/>
      <c r="P56" s="797"/>
      <c r="Q56" s="797"/>
      <c r="R56" s="797"/>
      <c r="S56" s="797"/>
      <c r="T56" s="797"/>
      <c r="U56" s="803"/>
      <c r="V56" s="797"/>
      <c r="W56" s="797"/>
      <c r="X56" s="797"/>
      <c r="Y56" s="797"/>
      <c r="Z56" s="797"/>
      <c r="AA56" s="797"/>
      <c r="AB56" s="799"/>
      <c r="AC56" s="797"/>
    </row>
    <row r="57" spans="1:29" s="796" customFormat="1" x14ac:dyDescent="0.3">
      <c r="A57" s="797"/>
      <c r="B57" s="797"/>
      <c r="C57" s="797"/>
      <c r="E57" s="797"/>
      <c r="F57" s="797"/>
      <c r="G57" s="797"/>
      <c r="H57" s="797"/>
      <c r="I57" s="797"/>
      <c r="J57" s="797"/>
      <c r="K57" s="797"/>
      <c r="L57" s="797"/>
      <c r="M57" s="797"/>
      <c r="N57" s="797"/>
      <c r="O57" s="797"/>
      <c r="P57" s="797"/>
      <c r="Q57" s="797"/>
      <c r="R57" s="797"/>
      <c r="S57" s="797"/>
      <c r="T57" s="797"/>
      <c r="U57" s="803"/>
      <c r="V57" s="797"/>
      <c r="W57" s="797"/>
      <c r="X57" s="797"/>
      <c r="Y57" s="797"/>
      <c r="Z57" s="797"/>
      <c r="AA57" s="797"/>
      <c r="AB57" s="799"/>
      <c r="AC57" s="797"/>
    </row>
    <row r="58" spans="1:29" s="796" customFormat="1" x14ac:dyDescent="0.3">
      <c r="A58" s="797"/>
      <c r="B58" s="797"/>
      <c r="C58" s="797"/>
      <c r="E58" s="797"/>
      <c r="F58" s="797"/>
      <c r="G58" s="797"/>
      <c r="H58" s="797"/>
      <c r="I58" s="797"/>
      <c r="J58" s="797"/>
      <c r="K58" s="797"/>
      <c r="L58" s="797"/>
      <c r="M58" s="797"/>
      <c r="N58" s="797"/>
      <c r="O58" s="797"/>
      <c r="P58" s="797"/>
      <c r="Q58" s="797"/>
      <c r="R58" s="797"/>
      <c r="S58" s="797"/>
      <c r="T58" s="797"/>
      <c r="U58" s="803"/>
      <c r="V58" s="797"/>
      <c r="W58" s="797"/>
      <c r="X58" s="797"/>
      <c r="Y58" s="797"/>
      <c r="Z58" s="797"/>
      <c r="AA58" s="797"/>
      <c r="AB58" s="799"/>
      <c r="AC58" s="797"/>
    </row>
    <row r="59" spans="1:29" s="796" customFormat="1" x14ac:dyDescent="0.3">
      <c r="A59" s="797"/>
      <c r="B59" s="797"/>
      <c r="C59" s="797"/>
      <c r="E59" s="797"/>
      <c r="F59" s="797"/>
      <c r="G59" s="797"/>
      <c r="H59" s="797"/>
      <c r="I59" s="797"/>
      <c r="J59" s="797"/>
      <c r="K59" s="797"/>
      <c r="L59" s="797"/>
      <c r="M59" s="797"/>
      <c r="N59" s="797"/>
      <c r="O59" s="797"/>
      <c r="P59" s="797"/>
      <c r="Q59" s="797"/>
      <c r="R59" s="797"/>
      <c r="S59" s="797"/>
      <c r="T59" s="797"/>
      <c r="U59" s="803"/>
      <c r="V59" s="797"/>
      <c r="W59" s="797"/>
      <c r="X59" s="797"/>
      <c r="Y59" s="797"/>
      <c r="Z59" s="797"/>
      <c r="AA59" s="797"/>
      <c r="AB59" s="799"/>
      <c r="AC59" s="797"/>
    </row>
    <row r="60" spans="1:29" s="796" customFormat="1" x14ac:dyDescent="0.3">
      <c r="A60" s="797"/>
      <c r="B60" s="797"/>
      <c r="C60" s="797"/>
      <c r="E60" s="797"/>
      <c r="F60" s="797"/>
      <c r="G60" s="797"/>
      <c r="H60" s="797"/>
      <c r="I60" s="797"/>
      <c r="J60" s="797"/>
      <c r="K60" s="797"/>
      <c r="L60" s="797"/>
      <c r="M60" s="797"/>
      <c r="N60" s="797"/>
      <c r="O60" s="797"/>
      <c r="P60" s="797"/>
      <c r="Q60" s="797"/>
      <c r="R60" s="797"/>
      <c r="S60" s="797"/>
      <c r="T60" s="797"/>
      <c r="U60" s="803"/>
      <c r="V60" s="797"/>
      <c r="W60" s="797"/>
      <c r="X60" s="797"/>
      <c r="Y60" s="797"/>
      <c r="Z60" s="797"/>
      <c r="AA60" s="797"/>
      <c r="AB60" s="799"/>
      <c r="AC60" s="797"/>
    </row>
    <row r="61" spans="1:29" s="796" customFormat="1" x14ac:dyDescent="0.3">
      <c r="A61" s="797"/>
      <c r="B61" s="797"/>
      <c r="C61" s="797"/>
      <c r="E61" s="797"/>
      <c r="F61" s="797"/>
      <c r="G61" s="797"/>
      <c r="H61" s="797"/>
      <c r="I61" s="797"/>
      <c r="J61" s="797"/>
      <c r="K61" s="797"/>
      <c r="L61" s="797"/>
      <c r="M61" s="797"/>
      <c r="N61" s="797"/>
      <c r="O61" s="797"/>
      <c r="P61" s="797"/>
      <c r="Q61" s="797"/>
      <c r="R61" s="797"/>
      <c r="S61" s="797"/>
      <c r="T61" s="797"/>
      <c r="U61" s="803"/>
      <c r="V61" s="797"/>
      <c r="W61" s="797"/>
      <c r="X61" s="797"/>
      <c r="Y61" s="797"/>
      <c r="Z61" s="797"/>
      <c r="AA61" s="797"/>
      <c r="AB61" s="799"/>
      <c r="AC61" s="797"/>
    </row>
    <row r="62" spans="1:29" s="806" customFormat="1" x14ac:dyDescent="0.3">
      <c r="A62" s="807"/>
      <c r="B62" s="807"/>
      <c r="C62" s="807"/>
      <c r="E62" s="807"/>
      <c r="F62" s="807"/>
      <c r="G62" s="807"/>
      <c r="H62" s="807"/>
      <c r="I62" s="807"/>
      <c r="J62" s="807"/>
      <c r="K62" s="807"/>
      <c r="L62" s="801"/>
      <c r="M62" s="807"/>
      <c r="N62" s="801"/>
      <c r="O62" s="797"/>
      <c r="P62" s="807"/>
      <c r="Q62" s="807"/>
      <c r="R62" s="807"/>
      <c r="S62" s="807"/>
      <c r="T62" s="804"/>
      <c r="U62" s="818"/>
      <c r="V62" s="804"/>
      <c r="W62" s="804"/>
      <c r="X62" s="804"/>
      <c r="Y62" s="804"/>
      <c r="Z62" s="804"/>
      <c r="AA62" s="804"/>
      <c r="AB62" s="889"/>
      <c r="AC62" s="804"/>
    </row>
    <row r="63" spans="1:29" s="806" customFormat="1" x14ac:dyDescent="0.3">
      <c r="A63" s="807"/>
      <c r="B63" s="807"/>
      <c r="C63" s="807"/>
      <c r="E63" s="807"/>
      <c r="F63" s="807"/>
      <c r="G63" s="807"/>
      <c r="H63" s="807"/>
      <c r="I63" s="807"/>
      <c r="J63" s="807"/>
      <c r="K63" s="807"/>
      <c r="L63" s="801"/>
      <c r="M63" s="807"/>
      <c r="N63" s="801"/>
      <c r="O63" s="797"/>
      <c r="P63" s="807"/>
      <c r="Q63" s="807"/>
      <c r="R63" s="807"/>
      <c r="S63" s="807"/>
      <c r="T63" s="804"/>
      <c r="U63" s="818"/>
      <c r="V63" s="804"/>
      <c r="W63" s="804"/>
      <c r="X63" s="804"/>
      <c r="Y63" s="804"/>
      <c r="Z63" s="804"/>
      <c r="AA63" s="804"/>
      <c r="AB63" s="889"/>
      <c r="AC63" s="804"/>
    </row>
    <row r="64" spans="1:29" s="806" customFormat="1" x14ac:dyDescent="0.3">
      <c r="A64" s="807"/>
      <c r="B64" s="807"/>
      <c r="C64" s="807"/>
      <c r="E64" s="807"/>
      <c r="F64" s="807"/>
      <c r="G64" s="807"/>
      <c r="H64" s="807"/>
      <c r="I64" s="807"/>
      <c r="J64" s="807"/>
      <c r="K64" s="807"/>
      <c r="L64" s="801"/>
      <c r="M64" s="807"/>
      <c r="N64" s="801"/>
      <c r="O64" s="797"/>
      <c r="P64" s="807"/>
      <c r="Q64" s="807"/>
      <c r="R64" s="807"/>
      <c r="S64" s="807"/>
      <c r="T64" s="804"/>
      <c r="U64" s="818"/>
      <c r="V64" s="804"/>
      <c r="W64" s="804"/>
      <c r="X64" s="804"/>
      <c r="Y64" s="804"/>
      <c r="Z64" s="804"/>
      <c r="AA64" s="804"/>
      <c r="AB64" s="889"/>
      <c r="AC64" s="804"/>
    </row>
    <row r="65" spans="20:29" x14ac:dyDescent="0.3">
      <c r="T65" s="43"/>
      <c r="U65" s="44"/>
      <c r="V65" s="45"/>
      <c r="W65" s="45"/>
      <c r="X65" s="45"/>
      <c r="Y65" s="43"/>
      <c r="Z65" s="43"/>
      <c r="AA65" s="43"/>
      <c r="AB65" s="46"/>
      <c r="AC65" s="43"/>
    </row>
  </sheetData>
  <autoFilter ref="U7:AD47">
    <filterColumn colId="1" showButton="0"/>
    <filterColumn colId="2" showButton="0"/>
    <filterColumn colId="3" showButton="0"/>
  </autoFilter>
  <mergeCells count="19">
    <mergeCell ref="A7:A8"/>
    <mergeCell ref="D7:D8"/>
    <mergeCell ref="B7:C8"/>
    <mergeCell ref="V7:Y7"/>
    <mergeCell ref="E7:E8"/>
    <mergeCell ref="U7:U8"/>
    <mergeCell ref="U55:AC55"/>
    <mergeCell ref="U51:W51"/>
    <mergeCell ref="U54:W54"/>
    <mergeCell ref="U50:AC50"/>
    <mergeCell ref="E2:AC2"/>
    <mergeCell ref="E3:AC3"/>
    <mergeCell ref="E4:AC4"/>
    <mergeCell ref="AA7:AA8"/>
    <mergeCell ref="AB7:AB8"/>
    <mergeCell ref="Z7:Z8"/>
    <mergeCell ref="AC7:AC8"/>
    <mergeCell ref="E5:AM5"/>
    <mergeCell ref="F7:T7"/>
  </mergeCells>
  <phoneticPr fontId="0" type="noConversion"/>
  <printOptions horizontalCentered="1"/>
  <pageMargins left="0.56000000000000005" right="0.16" top="0.27" bottom="0.21" header="0.2" footer="0.27"/>
  <pageSetup scale="98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K78"/>
  <sheetViews>
    <sheetView topLeftCell="A53" zoomScale="120" zoomScaleNormal="120" workbookViewId="0">
      <selection activeCell="AA9" sqref="AA9:AA60"/>
    </sheetView>
  </sheetViews>
  <sheetFormatPr defaultRowHeight="18.75" x14ac:dyDescent="0.3"/>
  <cols>
    <col min="1" max="1" width="3.09765625" style="1" customWidth="1"/>
    <col min="2" max="2" width="4.3984375" style="1" customWidth="1"/>
    <col min="3" max="3" width="4.5" style="1" customWidth="1"/>
    <col min="4" max="4" width="15.296875" customWidth="1"/>
    <col min="5" max="5" width="8.19921875" style="1" customWidth="1"/>
    <col min="6" max="11" width="2.796875" style="1" customWidth="1"/>
    <col min="12" max="13" width="2.796875" style="237" customWidth="1"/>
    <col min="14" max="14" width="2.796875" style="686" customWidth="1"/>
    <col min="15" max="18" width="2.796875" style="1" customWidth="1"/>
    <col min="19" max="19" width="3.59765625" style="25" customWidth="1"/>
    <col min="20" max="22" width="2.19921875" style="22" hidden="1" customWidth="1"/>
    <col min="23" max="24" width="3.3984375" style="1" hidden="1" customWidth="1"/>
    <col min="25" max="25" width="3.3984375" style="1" customWidth="1"/>
    <col min="26" max="26" width="4.3984375" style="15" hidden="1" customWidth="1"/>
    <col min="27" max="27" width="24.5" style="1" customWidth="1"/>
    <col min="28" max="28" width="2.09765625" customWidth="1"/>
    <col min="29" max="29" width="5.8984375" customWidth="1"/>
  </cols>
  <sheetData>
    <row r="1" spans="1:37" s="796" customFormat="1" ht="6.75" customHeight="1" x14ac:dyDescent="0.3">
      <c r="A1" s="797"/>
      <c r="B1" s="797"/>
      <c r="C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803"/>
      <c r="T1" s="797"/>
      <c r="U1" s="797"/>
      <c r="V1" s="797"/>
      <c r="W1" s="797"/>
      <c r="X1" s="797"/>
      <c r="Y1" s="797"/>
      <c r="Z1" s="988"/>
      <c r="AA1" s="797"/>
    </row>
    <row r="2" spans="1:37" s="780" customFormat="1" ht="15.75" x14ac:dyDescent="0.25">
      <c r="B2" s="991"/>
      <c r="C2" s="991"/>
      <c r="D2" s="991"/>
      <c r="E2" s="1071" t="s">
        <v>2237</v>
      </c>
      <c r="F2" s="1071"/>
      <c r="G2" s="1071"/>
      <c r="H2" s="1071"/>
      <c r="I2" s="1071"/>
      <c r="J2" s="1071"/>
      <c r="K2" s="1071"/>
      <c r="L2" s="1071"/>
      <c r="M2" s="1071"/>
      <c r="N2" s="1071"/>
      <c r="O2" s="1071"/>
      <c r="P2" s="1071"/>
      <c r="Q2" s="1071"/>
      <c r="R2" s="1071"/>
      <c r="S2" s="1071"/>
      <c r="T2" s="1071"/>
      <c r="U2" s="1071"/>
      <c r="V2" s="1071"/>
      <c r="W2" s="1071"/>
      <c r="X2" s="1071"/>
      <c r="Y2" s="1071"/>
      <c r="Z2" s="1071"/>
      <c r="AA2" s="1071"/>
    </row>
    <row r="3" spans="1:37" s="780" customFormat="1" ht="15.75" x14ac:dyDescent="0.25">
      <c r="B3" s="991"/>
      <c r="C3" s="991"/>
      <c r="D3" s="991"/>
      <c r="E3" s="1071" t="s">
        <v>2309</v>
      </c>
      <c r="F3" s="1071"/>
      <c r="G3" s="1071"/>
      <c r="H3" s="1071"/>
      <c r="I3" s="1071"/>
      <c r="J3" s="1071"/>
      <c r="K3" s="1071"/>
      <c r="L3" s="1071"/>
      <c r="M3" s="1071"/>
      <c r="N3" s="1071"/>
      <c r="O3" s="1071"/>
      <c r="P3" s="1071"/>
      <c r="Q3" s="1071"/>
      <c r="R3" s="1071"/>
      <c r="S3" s="1071"/>
      <c r="T3" s="1071"/>
      <c r="U3" s="1071"/>
      <c r="V3" s="1071"/>
      <c r="W3" s="1071"/>
      <c r="X3" s="1071"/>
      <c r="Y3" s="1071"/>
      <c r="Z3" s="1071"/>
      <c r="AA3" s="1071"/>
    </row>
    <row r="4" spans="1:37" s="780" customFormat="1" ht="15.75" hidden="1" x14ac:dyDescent="0.25">
      <c r="B4" s="992"/>
      <c r="C4" s="992"/>
      <c r="D4" s="992"/>
      <c r="E4" s="1076" t="s">
        <v>28</v>
      </c>
      <c r="F4" s="1076"/>
      <c r="G4" s="1076"/>
      <c r="H4" s="1076"/>
      <c r="I4" s="1076"/>
      <c r="J4" s="1076"/>
      <c r="K4" s="1076"/>
      <c r="L4" s="1076"/>
      <c r="M4" s="1076"/>
      <c r="N4" s="1076"/>
      <c r="O4" s="1076"/>
      <c r="P4" s="1076"/>
      <c r="Q4" s="1076"/>
      <c r="R4" s="1076"/>
      <c r="S4" s="1076"/>
      <c r="T4" s="1076"/>
      <c r="U4" s="1076"/>
      <c r="V4" s="1076"/>
      <c r="W4" s="1076"/>
      <c r="X4" s="1076"/>
      <c r="Y4" s="1076"/>
      <c r="Z4" s="1076"/>
      <c r="AA4" s="1076"/>
    </row>
    <row r="5" spans="1:37" s="780" customFormat="1" ht="15.75" customHeight="1" x14ac:dyDescent="0.25">
      <c r="B5" s="991"/>
      <c r="C5" s="991"/>
      <c r="D5" s="991"/>
      <c r="E5" s="1094" t="s">
        <v>2310</v>
      </c>
      <c r="F5" s="1094"/>
      <c r="G5" s="1094"/>
      <c r="H5" s="1094"/>
      <c r="I5" s="1094"/>
      <c r="J5" s="1094"/>
      <c r="K5" s="1094"/>
      <c r="L5" s="1094"/>
      <c r="M5" s="1094"/>
      <c r="N5" s="1094"/>
      <c r="O5" s="1094"/>
      <c r="P5" s="1094"/>
      <c r="Q5" s="1094"/>
      <c r="R5" s="1094"/>
      <c r="S5" s="1094"/>
      <c r="T5" s="1094"/>
      <c r="U5" s="1094"/>
      <c r="V5" s="1094"/>
      <c r="W5" s="1094"/>
      <c r="X5" s="1094"/>
      <c r="Y5" s="1094"/>
      <c r="Z5" s="1094"/>
      <c r="AA5" s="1094"/>
      <c r="AB5" s="1094"/>
      <c r="AC5" s="1094"/>
      <c r="AD5" s="1094"/>
      <c r="AE5" s="1094"/>
      <c r="AF5" s="1094"/>
      <c r="AG5" s="1094"/>
      <c r="AH5" s="1094"/>
      <c r="AI5" s="1094"/>
      <c r="AJ5" s="1094"/>
      <c r="AK5" s="1094"/>
    </row>
    <row r="6" spans="1:37" s="796" customFormat="1" ht="8.25" customHeight="1" thickBot="1" x14ac:dyDescent="0.4">
      <c r="A6" s="879"/>
      <c r="B6" s="879"/>
      <c r="C6" s="879"/>
      <c r="D6" s="879"/>
      <c r="E6" s="844"/>
      <c r="F6" s="844"/>
      <c r="G6" s="844"/>
      <c r="H6" s="844"/>
      <c r="I6" s="844"/>
      <c r="J6" s="844"/>
      <c r="K6" s="844"/>
      <c r="L6" s="844"/>
      <c r="M6" s="844"/>
      <c r="N6" s="844"/>
      <c r="O6" s="844"/>
      <c r="P6" s="844"/>
      <c r="Q6" s="844"/>
      <c r="R6" s="844"/>
      <c r="S6" s="879"/>
      <c r="T6" s="879"/>
      <c r="U6" s="879"/>
      <c r="V6" s="879"/>
      <c r="W6" s="879"/>
      <c r="X6" s="879"/>
      <c r="Y6" s="879"/>
      <c r="Z6" s="879"/>
      <c r="AA6" s="879"/>
      <c r="AC6" s="796" t="s">
        <v>94</v>
      </c>
    </row>
    <row r="7" spans="1:37" s="780" customFormat="1" ht="23.25" customHeight="1" thickTop="1" x14ac:dyDescent="0.25">
      <c r="A7" s="1056" t="s">
        <v>91</v>
      </c>
      <c r="B7" s="1060" t="s">
        <v>2118</v>
      </c>
      <c r="C7" s="1061"/>
      <c r="D7" s="1058" t="s">
        <v>2119</v>
      </c>
      <c r="E7" s="1058" t="s">
        <v>2120</v>
      </c>
      <c r="F7" s="1053" t="s">
        <v>2122</v>
      </c>
      <c r="G7" s="1054"/>
      <c r="H7" s="1054"/>
      <c r="I7" s="1054"/>
      <c r="J7" s="1054"/>
      <c r="K7" s="1054"/>
      <c r="L7" s="1054"/>
      <c r="M7" s="1054"/>
      <c r="N7" s="1054"/>
      <c r="O7" s="1054"/>
      <c r="P7" s="1054"/>
      <c r="Q7" s="1054"/>
      <c r="R7" s="1055"/>
      <c r="S7" s="1069" t="s">
        <v>2107</v>
      </c>
      <c r="T7" s="1053" t="s">
        <v>104</v>
      </c>
      <c r="U7" s="1054"/>
      <c r="V7" s="1054"/>
      <c r="W7" s="1055"/>
      <c r="X7" s="1048" t="s">
        <v>99</v>
      </c>
      <c r="Y7" s="1048" t="s">
        <v>2108</v>
      </c>
      <c r="Z7" s="1048" t="s">
        <v>103</v>
      </c>
      <c r="AA7" s="1067" t="s">
        <v>2121</v>
      </c>
    </row>
    <row r="8" spans="1:37" s="780" customFormat="1" ht="189.75" customHeight="1" x14ac:dyDescent="0.25">
      <c r="A8" s="1057"/>
      <c r="B8" s="1062"/>
      <c r="C8" s="1063"/>
      <c r="D8" s="1059"/>
      <c r="E8" s="1059"/>
      <c r="F8" s="713" t="s">
        <v>2109</v>
      </c>
      <c r="G8" s="714" t="s">
        <v>2110</v>
      </c>
      <c r="H8" s="713" t="s">
        <v>2111</v>
      </c>
      <c r="I8" s="715" t="s">
        <v>2227</v>
      </c>
      <c r="J8" s="713" t="s">
        <v>2224</v>
      </c>
      <c r="K8" s="713" t="s">
        <v>2112</v>
      </c>
      <c r="L8" s="713" t="s">
        <v>2113</v>
      </c>
      <c r="M8" s="713" t="s">
        <v>2114</v>
      </c>
      <c r="N8" s="716" t="s">
        <v>2095</v>
      </c>
      <c r="O8" s="716" t="s">
        <v>2115</v>
      </c>
      <c r="P8" s="717" t="s">
        <v>2218</v>
      </c>
      <c r="Q8" s="717" t="s">
        <v>2116</v>
      </c>
      <c r="R8" s="713" t="s">
        <v>2117</v>
      </c>
      <c r="S8" s="1070"/>
      <c r="T8" s="718" t="s">
        <v>108</v>
      </c>
      <c r="U8" s="718" t="s">
        <v>97</v>
      </c>
      <c r="V8" s="718" t="s">
        <v>96</v>
      </c>
      <c r="W8" s="719" t="s">
        <v>98</v>
      </c>
      <c r="X8" s="1049"/>
      <c r="Y8" s="1049"/>
      <c r="Z8" s="1049"/>
      <c r="AA8" s="1068"/>
      <c r="AB8" s="780" t="s">
        <v>94</v>
      </c>
    </row>
    <row r="9" spans="1:37" s="784" customFormat="1" ht="18" customHeight="1" x14ac:dyDescent="0.25">
      <c r="A9" s="741">
        <v>1</v>
      </c>
      <c r="B9" s="752"/>
      <c r="C9" s="743">
        <v>2026</v>
      </c>
      <c r="D9" s="690" t="s">
        <v>3555</v>
      </c>
      <c r="E9" s="687" t="s">
        <v>3556</v>
      </c>
      <c r="F9" s="705"/>
      <c r="G9" s="705"/>
      <c r="H9" s="705"/>
      <c r="I9" s="705"/>
      <c r="J9" s="705"/>
      <c r="K9" s="705"/>
      <c r="L9" s="705"/>
      <c r="M9" s="705"/>
      <c r="N9" s="705"/>
      <c r="O9" s="705"/>
      <c r="P9" s="705"/>
      <c r="Q9" s="705"/>
      <c r="R9" s="705"/>
      <c r="S9" s="776">
        <f>SUM(F9:R9)/13</f>
        <v>0</v>
      </c>
      <c r="T9" s="705"/>
      <c r="U9" s="705"/>
      <c r="V9" s="705"/>
      <c r="W9" s="776">
        <f>SUM(T9:V9)/3</f>
        <v>0</v>
      </c>
      <c r="X9" s="776">
        <f>SUM(S9+W9)/2</f>
        <v>0</v>
      </c>
      <c r="Y9" s="819"/>
      <c r="Z9" s="813"/>
      <c r="AA9" s="694" t="s">
        <v>2523</v>
      </c>
      <c r="AC9" s="781" t="e">
        <f t="shared" ref="AC9:AC59" si="0">AVERAGE(F9:R9)</f>
        <v>#DIV/0!</v>
      </c>
    </row>
    <row r="10" spans="1:37" s="784" customFormat="1" ht="18" customHeight="1" x14ac:dyDescent="0.25">
      <c r="A10" s="744">
        <v>2</v>
      </c>
      <c r="B10" s="745"/>
      <c r="C10" s="746">
        <v>2026</v>
      </c>
      <c r="D10" s="685" t="s">
        <v>3557</v>
      </c>
      <c r="E10" s="689" t="s">
        <v>3322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7"/>
      <c r="R10" s="707"/>
      <c r="S10" s="782">
        <f>SUM(F10:R10)/13</f>
        <v>0</v>
      </c>
      <c r="T10" s="707"/>
      <c r="U10" s="707"/>
      <c r="V10" s="707"/>
      <c r="W10" s="782">
        <f>SUM(T10:V10)/3</f>
        <v>0</v>
      </c>
      <c r="X10" s="782">
        <f>SUM(S10+W10)/2</f>
        <v>0</v>
      </c>
      <c r="Y10" s="778"/>
      <c r="Z10" s="814"/>
      <c r="AA10" s="695" t="s">
        <v>3636</v>
      </c>
      <c r="AC10" s="781" t="e">
        <f t="shared" si="0"/>
        <v>#DIV/0!</v>
      </c>
    </row>
    <row r="11" spans="1:37" s="784" customFormat="1" ht="18" customHeight="1" x14ac:dyDescent="0.25">
      <c r="A11" s="744">
        <v>3</v>
      </c>
      <c r="B11" s="745"/>
      <c r="C11" s="746">
        <v>2026</v>
      </c>
      <c r="D11" s="685" t="s">
        <v>2745</v>
      </c>
      <c r="E11" s="689" t="s">
        <v>2916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07"/>
      <c r="R11" s="707"/>
      <c r="S11" s="782">
        <f t="shared" ref="S11:S59" si="1">SUM(F11:R11)/13</f>
        <v>0</v>
      </c>
      <c r="T11" s="707"/>
      <c r="U11" s="707"/>
      <c r="V11" s="707"/>
      <c r="W11" s="782">
        <f>SUM(T11:V11)/3</f>
        <v>0</v>
      </c>
      <c r="X11" s="782">
        <f>SUM(S11+W11)/2</f>
        <v>0</v>
      </c>
      <c r="Y11" s="778"/>
      <c r="Z11" s="814"/>
      <c r="AA11" s="695" t="s">
        <v>3546</v>
      </c>
      <c r="AC11" s="781" t="e">
        <f t="shared" si="0"/>
        <v>#DIV/0!</v>
      </c>
    </row>
    <row r="12" spans="1:37" s="784" customFormat="1" ht="18" customHeight="1" x14ac:dyDescent="0.25">
      <c r="A12" s="744">
        <v>4</v>
      </c>
      <c r="B12" s="745"/>
      <c r="C12" s="746">
        <v>2026</v>
      </c>
      <c r="D12" s="685" t="s">
        <v>3558</v>
      </c>
      <c r="E12" s="689" t="s">
        <v>3559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07"/>
      <c r="R12" s="707"/>
      <c r="S12" s="782">
        <f t="shared" si="1"/>
        <v>0</v>
      </c>
      <c r="T12" s="707"/>
      <c r="U12" s="707"/>
      <c r="V12" s="707"/>
      <c r="W12" s="782"/>
      <c r="X12" s="782"/>
      <c r="Y12" s="778"/>
      <c r="Z12" s="814"/>
      <c r="AA12" s="695" t="s">
        <v>3637</v>
      </c>
      <c r="AC12" s="781" t="e">
        <f t="shared" si="0"/>
        <v>#DIV/0!</v>
      </c>
    </row>
    <row r="13" spans="1:37" s="784" customFormat="1" ht="18" customHeight="1" x14ac:dyDescent="0.25">
      <c r="A13" s="744">
        <v>5</v>
      </c>
      <c r="B13" s="745"/>
      <c r="C13" s="746">
        <v>2026</v>
      </c>
      <c r="D13" s="685" t="s">
        <v>3560</v>
      </c>
      <c r="E13" s="689" t="s">
        <v>3314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07"/>
      <c r="R13" s="707"/>
      <c r="S13" s="782">
        <f t="shared" si="1"/>
        <v>0</v>
      </c>
      <c r="T13" s="707"/>
      <c r="U13" s="707"/>
      <c r="V13" s="707"/>
      <c r="W13" s="782"/>
      <c r="X13" s="782"/>
      <c r="Y13" s="778"/>
      <c r="Z13" s="814"/>
      <c r="AA13" s="695" t="s">
        <v>3205</v>
      </c>
      <c r="AC13" s="781" t="e">
        <f t="shared" si="0"/>
        <v>#DIV/0!</v>
      </c>
    </row>
    <row r="14" spans="1:37" s="784" customFormat="1" ht="18" customHeight="1" x14ac:dyDescent="0.25">
      <c r="A14" s="744">
        <v>6</v>
      </c>
      <c r="B14" s="745"/>
      <c r="C14" s="746">
        <v>2026</v>
      </c>
      <c r="D14" s="685" t="s">
        <v>3561</v>
      </c>
      <c r="E14" s="689" t="s">
        <v>3562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07"/>
      <c r="S14" s="782">
        <f t="shared" si="1"/>
        <v>0</v>
      </c>
      <c r="T14" s="707"/>
      <c r="U14" s="707"/>
      <c r="V14" s="707"/>
      <c r="W14" s="782"/>
      <c r="X14" s="782"/>
      <c r="Y14" s="778"/>
      <c r="Z14" s="814"/>
      <c r="AA14" s="695" t="s">
        <v>3553</v>
      </c>
      <c r="AC14" s="781" t="e">
        <f t="shared" si="0"/>
        <v>#DIV/0!</v>
      </c>
    </row>
    <row r="15" spans="1:37" s="784" customFormat="1" ht="18" customHeight="1" x14ac:dyDescent="0.25">
      <c r="A15" s="744">
        <v>7</v>
      </c>
      <c r="B15" s="745"/>
      <c r="C15" s="746">
        <v>2026</v>
      </c>
      <c r="D15" s="685" t="s">
        <v>3563</v>
      </c>
      <c r="E15" s="689" t="s">
        <v>3564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07"/>
      <c r="R15" s="707"/>
      <c r="S15" s="782">
        <f t="shared" si="1"/>
        <v>0</v>
      </c>
      <c r="T15" s="707"/>
      <c r="U15" s="707"/>
      <c r="V15" s="707"/>
      <c r="W15" s="782"/>
      <c r="X15" s="782"/>
      <c r="Y15" s="778"/>
      <c r="Z15" s="814"/>
      <c r="AA15" s="695" t="s">
        <v>2972</v>
      </c>
      <c r="AC15" s="781" t="e">
        <f t="shared" si="0"/>
        <v>#DIV/0!</v>
      </c>
    </row>
    <row r="16" spans="1:37" s="784" customFormat="1" ht="18" customHeight="1" x14ac:dyDescent="0.25">
      <c r="A16" s="744">
        <v>8</v>
      </c>
      <c r="B16" s="745"/>
      <c r="C16" s="746">
        <v>2026</v>
      </c>
      <c r="D16" s="685" t="s">
        <v>3565</v>
      </c>
      <c r="E16" s="689" t="s">
        <v>3566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07"/>
      <c r="R16" s="707"/>
      <c r="S16" s="782">
        <f t="shared" si="1"/>
        <v>0</v>
      </c>
      <c r="T16" s="707"/>
      <c r="U16" s="707"/>
      <c r="V16" s="707"/>
      <c r="W16" s="782"/>
      <c r="X16" s="782"/>
      <c r="Y16" s="778"/>
      <c r="Z16" s="814"/>
      <c r="AA16" s="695" t="s">
        <v>3638</v>
      </c>
      <c r="AC16" s="781" t="e">
        <f t="shared" si="0"/>
        <v>#DIV/0!</v>
      </c>
    </row>
    <row r="17" spans="1:30" s="784" customFormat="1" ht="18" customHeight="1" x14ac:dyDescent="0.25">
      <c r="A17" s="744">
        <v>9</v>
      </c>
      <c r="B17" s="745"/>
      <c r="C17" s="746">
        <v>2026</v>
      </c>
      <c r="D17" s="685" t="s">
        <v>3567</v>
      </c>
      <c r="E17" s="689" t="s">
        <v>3568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07"/>
      <c r="S17" s="782">
        <f t="shared" si="1"/>
        <v>0</v>
      </c>
      <c r="T17" s="707"/>
      <c r="U17" s="707"/>
      <c r="V17" s="707"/>
      <c r="W17" s="782"/>
      <c r="X17" s="782"/>
      <c r="Y17" s="778"/>
      <c r="Z17" s="814"/>
      <c r="AA17" s="695" t="s">
        <v>3639</v>
      </c>
      <c r="AC17" s="781" t="e">
        <f t="shared" si="0"/>
        <v>#DIV/0!</v>
      </c>
    </row>
    <row r="18" spans="1:30" s="784" customFormat="1" ht="18" customHeight="1" x14ac:dyDescent="0.25">
      <c r="A18" s="744">
        <v>10</v>
      </c>
      <c r="B18" s="745"/>
      <c r="C18" s="746">
        <v>2026</v>
      </c>
      <c r="D18" s="685" t="s">
        <v>3569</v>
      </c>
      <c r="E18" s="689">
        <v>26.112006999999998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07"/>
      <c r="R18" s="707"/>
      <c r="S18" s="782">
        <f t="shared" si="1"/>
        <v>0</v>
      </c>
      <c r="T18" s="707"/>
      <c r="U18" s="707"/>
      <c r="V18" s="707"/>
      <c r="W18" s="782"/>
      <c r="X18" s="782"/>
      <c r="Y18" s="778"/>
      <c r="Z18" s="814"/>
      <c r="AA18" s="695" t="s">
        <v>2537</v>
      </c>
      <c r="AC18" s="781" t="e">
        <f t="shared" si="0"/>
        <v>#DIV/0!</v>
      </c>
    </row>
    <row r="19" spans="1:30" s="784" customFormat="1" ht="18" customHeight="1" x14ac:dyDescent="0.25">
      <c r="A19" s="744">
        <v>11</v>
      </c>
      <c r="B19" s="745"/>
      <c r="C19" s="746">
        <v>2026</v>
      </c>
      <c r="D19" s="685" t="s">
        <v>3570</v>
      </c>
      <c r="E19" s="689" t="s">
        <v>2394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07"/>
      <c r="S19" s="782">
        <f t="shared" si="1"/>
        <v>0</v>
      </c>
      <c r="T19" s="707"/>
      <c r="U19" s="707"/>
      <c r="V19" s="707"/>
      <c r="W19" s="782"/>
      <c r="X19" s="782"/>
      <c r="Y19" s="778"/>
      <c r="Z19" s="814"/>
      <c r="AA19" s="695" t="s">
        <v>3640</v>
      </c>
      <c r="AC19" s="781" t="e">
        <f t="shared" si="0"/>
        <v>#DIV/0!</v>
      </c>
    </row>
    <row r="20" spans="1:30" s="784" customFormat="1" ht="18" customHeight="1" x14ac:dyDescent="0.25">
      <c r="A20" s="744">
        <v>12</v>
      </c>
      <c r="B20" s="745"/>
      <c r="C20" s="746">
        <v>2026</v>
      </c>
      <c r="D20" s="685" t="s">
        <v>3571</v>
      </c>
      <c r="E20" s="689" t="s">
        <v>3572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82">
        <f t="shared" si="1"/>
        <v>0</v>
      </c>
      <c r="T20" s="707"/>
      <c r="U20" s="707"/>
      <c r="V20" s="707"/>
      <c r="W20" s="782"/>
      <c r="X20" s="782"/>
      <c r="Y20" s="778"/>
      <c r="Z20" s="814"/>
      <c r="AA20" s="695" t="s">
        <v>3546</v>
      </c>
      <c r="AC20" s="781" t="e">
        <f t="shared" si="0"/>
        <v>#DIV/0!</v>
      </c>
    </row>
    <row r="21" spans="1:30" s="784" customFormat="1" ht="18" customHeight="1" x14ac:dyDescent="0.25">
      <c r="A21" s="744">
        <v>13</v>
      </c>
      <c r="B21" s="745"/>
      <c r="C21" s="746">
        <v>2026</v>
      </c>
      <c r="D21" s="685" t="s">
        <v>3573</v>
      </c>
      <c r="E21" s="689" t="s">
        <v>2396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07"/>
      <c r="R21" s="707"/>
      <c r="S21" s="782">
        <f t="shared" si="1"/>
        <v>0</v>
      </c>
      <c r="T21" s="707"/>
      <c r="U21" s="707"/>
      <c r="V21" s="707"/>
      <c r="W21" s="782"/>
      <c r="X21" s="782"/>
      <c r="Y21" s="778"/>
      <c r="Z21" s="814"/>
      <c r="AA21" s="695" t="s">
        <v>3468</v>
      </c>
      <c r="AC21" s="781" t="e">
        <f t="shared" si="0"/>
        <v>#DIV/0!</v>
      </c>
      <c r="AD21" s="784" t="s">
        <v>2220</v>
      </c>
    </row>
    <row r="22" spans="1:30" s="784" customFormat="1" ht="18" customHeight="1" x14ac:dyDescent="0.25">
      <c r="A22" s="744">
        <v>14</v>
      </c>
      <c r="B22" s="745"/>
      <c r="C22" s="746">
        <v>2026</v>
      </c>
      <c r="D22" s="685" t="s">
        <v>3574</v>
      </c>
      <c r="E22" s="689" t="s">
        <v>3575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07"/>
      <c r="R22" s="707"/>
      <c r="S22" s="782">
        <f t="shared" si="1"/>
        <v>0</v>
      </c>
      <c r="T22" s="707"/>
      <c r="U22" s="707"/>
      <c r="V22" s="707"/>
      <c r="W22" s="782"/>
      <c r="X22" s="782"/>
      <c r="Y22" s="778"/>
      <c r="Z22" s="814"/>
      <c r="AA22" s="695" t="s">
        <v>3641</v>
      </c>
      <c r="AC22" s="781" t="e">
        <f t="shared" si="0"/>
        <v>#DIV/0!</v>
      </c>
    </row>
    <row r="23" spans="1:30" s="784" customFormat="1" ht="18" customHeight="1" x14ac:dyDescent="0.25">
      <c r="A23" s="744">
        <v>15</v>
      </c>
      <c r="B23" s="745"/>
      <c r="C23" s="746">
        <v>2026</v>
      </c>
      <c r="D23" s="685" t="s">
        <v>3576</v>
      </c>
      <c r="E23" s="689" t="s">
        <v>3577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07"/>
      <c r="R23" s="707"/>
      <c r="S23" s="782">
        <f t="shared" si="1"/>
        <v>0</v>
      </c>
      <c r="T23" s="707"/>
      <c r="U23" s="707"/>
      <c r="V23" s="707"/>
      <c r="W23" s="782"/>
      <c r="X23" s="782"/>
      <c r="Y23" s="778"/>
      <c r="Z23" s="814"/>
      <c r="AA23" s="695" t="s">
        <v>3642</v>
      </c>
      <c r="AC23" s="781" t="e">
        <f t="shared" si="0"/>
        <v>#DIV/0!</v>
      </c>
    </row>
    <row r="24" spans="1:30" s="784" customFormat="1" ht="18" customHeight="1" x14ac:dyDescent="0.25">
      <c r="A24" s="744">
        <v>16</v>
      </c>
      <c r="B24" s="745"/>
      <c r="C24" s="746">
        <v>2026</v>
      </c>
      <c r="D24" s="685" t="s">
        <v>3578</v>
      </c>
      <c r="E24" s="689" t="s">
        <v>3579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07"/>
      <c r="R24" s="707"/>
      <c r="S24" s="782">
        <f t="shared" si="1"/>
        <v>0</v>
      </c>
      <c r="T24" s="707"/>
      <c r="U24" s="707"/>
      <c r="V24" s="707"/>
      <c r="W24" s="782"/>
      <c r="X24" s="782"/>
      <c r="Y24" s="778"/>
      <c r="Z24" s="814"/>
      <c r="AA24" s="695" t="s">
        <v>2972</v>
      </c>
      <c r="AC24" s="781" t="e">
        <f t="shared" si="0"/>
        <v>#DIV/0!</v>
      </c>
    </row>
    <row r="25" spans="1:30" s="784" customFormat="1" ht="18" customHeight="1" x14ac:dyDescent="0.25">
      <c r="A25" s="744">
        <v>17</v>
      </c>
      <c r="B25" s="745"/>
      <c r="C25" s="746">
        <v>2026</v>
      </c>
      <c r="D25" s="685" t="s">
        <v>3580</v>
      </c>
      <c r="E25" s="689" t="s">
        <v>3581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07"/>
      <c r="R25" s="707"/>
      <c r="S25" s="782">
        <f t="shared" si="1"/>
        <v>0</v>
      </c>
      <c r="T25" s="707"/>
      <c r="U25" s="707"/>
      <c r="V25" s="707"/>
      <c r="W25" s="782"/>
      <c r="X25" s="782"/>
      <c r="Y25" s="778"/>
      <c r="Z25" s="814"/>
      <c r="AA25" s="695" t="s">
        <v>3643</v>
      </c>
      <c r="AC25" s="781" t="e">
        <f t="shared" si="0"/>
        <v>#DIV/0!</v>
      </c>
    </row>
    <row r="26" spans="1:30" s="784" customFormat="1" ht="18" customHeight="1" x14ac:dyDescent="0.25">
      <c r="A26" s="744">
        <v>18</v>
      </c>
      <c r="B26" s="745"/>
      <c r="C26" s="746">
        <v>2026</v>
      </c>
      <c r="D26" s="685" t="s">
        <v>3582</v>
      </c>
      <c r="E26" s="689" t="s">
        <v>3583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07"/>
      <c r="R26" s="707"/>
      <c r="S26" s="782">
        <f t="shared" si="1"/>
        <v>0</v>
      </c>
      <c r="T26" s="707"/>
      <c r="U26" s="707"/>
      <c r="V26" s="707"/>
      <c r="W26" s="782"/>
      <c r="X26" s="782"/>
      <c r="Y26" s="778"/>
      <c r="Z26" s="814"/>
      <c r="AA26" s="695" t="s">
        <v>3199</v>
      </c>
      <c r="AC26" s="781" t="e">
        <f t="shared" si="0"/>
        <v>#DIV/0!</v>
      </c>
    </row>
    <row r="27" spans="1:30" s="784" customFormat="1" ht="18" customHeight="1" x14ac:dyDescent="0.25">
      <c r="A27" s="744">
        <v>19</v>
      </c>
      <c r="B27" s="745"/>
      <c r="C27" s="746">
        <v>2026</v>
      </c>
      <c r="D27" s="685" t="s">
        <v>3584</v>
      </c>
      <c r="E27" s="689" t="s">
        <v>3585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07"/>
      <c r="R27" s="707"/>
      <c r="S27" s="782">
        <f t="shared" si="1"/>
        <v>0</v>
      </c>
      <c r="T27" s="707"/>
      <c r="U27" s="707"/>
      <c r="V27" s="707"/>
      <c r="W27" s="782"/>
      <c r="X27" s="782"/>
      <c r="Y27" s="778"/>
      <c r="Z27" s="814"/>
      <c r="AA27" s="695" t="s">
        <v>3231</v>
      </c>
      <c r="AC27" s="781" t="e">
        <f t="shared" si="0"/>
        <v>#DIV/0!</v>
      </c>
    </row>
    <row r="28" spans="1:30" s="784" customFormat="1" ht="18" customHeight="1" x14ac:dyDescent="0.25">
      <c r="A28" s="744">
        <v>20</v>
      </c>
      <c r="B28" s="745"/>
      <c r="C28" s="746">
        <v>2026</v>
      </c>
      <c r="D28" s="685" t="s">
        <v>3586</v>
      </c>
      <c r="E28" s="689" t="s">
        <v>3587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07"/>
      <c r="R28" s="707"/>
      <c r="S28" s="782">
        <f t="shared" si="1"/>
        <v>0</v>
      </c>
      <c r="T28" s="707"/>
      <c r="U28" s="707"/>
      <c r="V28" s="707"/>
      <c r="W28" s="782"/>
      <c r="X28" s="782"/>
      <c r="Y28" s="778"/>
      <c r="Z28" s="814"/>
      <c r="AA28" s="695" t="s">
        <v>2531</v>
      </c>
      <c r="AC28" s="781" t="e">
        <f t="shared" si="0"/>
        <v>#DIV/0!</v>
      </c>
    </row>
    <row r="29" spans="1:30" s="784" customFormat="1" ht="18" customHeight="1" x14ac:dyDescent="0.25">
      <c r="A29" s="744">
        <v>21</v>
      </c>
      <c r="B29" s="745"/>
      <c r="C29" s="746">
        <v>2026</v>
      </c>
      <c r="D29" s="685" t="s">
        <v>3588</v>
      </c>
      <c r="E29" s="689" t="s">
        <v>2662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07"/>
      <c r="R29" s="707"/>
      <c r="S29" s="782">
        <f t="shared" si="1"/>
        <v>0</v>
      </c>
      <c r="T29" s="707"/>
      <c r="U29" s="707"/>
      <c r="V29" s="707"/>
      <c r="W29" s="782"/>
      <c r="X29" s="782"/>
      <c r="Y29" s="778"/>
      <c r="Z29" s="814"/>
      <c r="AA29" s="695" t="s">
        <v>3644</v>
      </c>
      <c r="AC29" s="781" t="e">
        <f t="shared" si="0"/>
        <v>#DIV/0!</v>
      </c>
    </row>
    <row r="30" spans="1:30" s="784" customFormat="1" ht="18" customHeight="1" x14ac:dyDescent="0.25">
      <c r="A30" s="744">
        <v>22</v>
      </c>
      <c r="B30" s="745"/>
      <c r="C30" s="746">
        <v>2026</v>
      </c>
      <c r="D30" s="685" t="s">
        <v>3589</v>
      </c>
      <c r="E30" s="689" t="s">
        <v>2787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07"/>
      <c r="R30" s="707"/>
      <c r="S30" s="782">
        <f t="shared" si="1"/>
        <v>0</v>
      </c>
      <c r="T30" s="707"/>
      <c r="U30" s="707"/>
      <c r="V30" s="707"/>
      <c r="W30" s="782">
        <f>SUM(T30:V30)/3</f>
        <v>0</v>
      </c>
      <c r="X30" s="782">
        <f>SUM(S30+W30)/2</f>
        <v>0</v>
      </c>
      <c r="Y30" s="778"/>
      <c r="Z30" s="814"/>
      <c r="AA30" s="695" t="s">
        <v>2972</v>
      </c>
      <c r="AC30" s="781" t="e">
        <f t="shared" si="0"/>
        <v>#DIV/0!</v>
      </c>
    </row>
    <row r="31" spans="1:30" s="784" customFormat="1" ht="18" customHeight="1" x14ac:dyDescent="0.25">
      <c r="A31" s="744">
        <v>23</v>
      </c>
      <c r="B31" s="745"/>
      <c r="C31" s="746">
        <v>2026</v>
      </c>
      <c r="D31" s="685" t="s">
        <v>3590</v>
      </c>
      <c r="E31" s="689" t="s">
        <v>2400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07"/>
      <c r="R31" s="707"/>
      <c r="S31" s="782">
        <f t="shared" si="1"/>
        <v>0</v>
      </c>
      <c r="T31" s="707"/>
      <c r="U31" s="707"/>
      <c r="V31" s="707"/>
      <c r="W31" s="782"/>
      <c r="X31" s="782"/>
      <c r="Y31" s="778"/>
      <c r="Z31" s="814"/>
      <c r="AA31" s="695" t="s">
        <v>3644</v>
      </c>
      <c r="AC31" s="781" t="e">
        <f t="shared" si="0"/>
        <v>#DIV/0!</v>
      </c>
    </row>
    <row r="32" spans="1:30" s="784" customFormat="1" ht="18" customHeight="1" x14ac:dyDescent="0.25">
      <c r="A32" s="744">
        <v>24</v>
      </c>
      <c r="B32" s="745"/>
      <c r="C32" s="746">
        <v>2026</v>
      </c>
      <c r="D32" s="685" t="s">
        <v>3591</v>
      </c>
      <c r="E32" s="689" t="s">
        <v>3592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07"/>
      <c r="R32" s="707"/>
      <c r="S32" s="782">
        <f t="shared" si="1"/>
        <v>0</v>
      </c>
      <c r="T32" s="707"/>
      <c r="U32" s="707"/>
      <c r="V32" s="707"/>
      <c r="W32" s="782">
        <f t="shared" ref="W32:W59" si="2">SUM(T32:V32)/3</f>
        <v>0</v>
      </c>
      <c r="X32" s="782">
        <f t="shared" ref="X32:X59" si="3">SUM(S32+W32)/2</f>
        <v>0</v>
      </c>
      <c r="Y32" s="778"/>
      <c r="Z32" s="814"/>
      <c r="AA32" s="695" t="s">
        <v>2533</v>
      </c>
      <c r="AC32" s="781" t="e">
        <f t="shared" si="0"/>
        <v>#DIV/0!</v>
      </c>
    </row>
    <row r="33" spans="1:29" s="784" customFormat="1" ht="18" customHeight="1" x14ac:dyDescent="0.25">
      <c r="A33" s="744">
        <v>25</v>
      </c>
      <c r="B33" s="745"/>
      <c r="C33" s="746">
        <v>2026</v>
      </c>
      <c r="D33" s="685" t="s">
        <v>3593</v>
      </c>
      <c r="E33" s="689" t="s">
        <v>2351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07"/>
      <c r="S33" s="782">
        <f t="shared" si="1"/>
        <v>0</v>
      </c>
      <c r="T33" s="707"/>
      <c r="U33" s="707"/>
      <c r="V33" s="707"/>
      <c r="W33" s="782">
        <f t="shared" si="2"/>
        <v>0</v>
      </c>
      <c r="X33" s="782">
        <f t="shared" si="3"/>
        <v>0</v>
      </c>
      <c r="Y33" s="778"/>
      <c r="Z33" s="814"/>
      <c r="AA33" s="695" t="s">
        <v>3645</v>
      </c>
      <c r="AC33" s="781" t="e">
        <f t="shared" si="0"/>
        <v>#DIV/0!</v>
      </c>
    </row>
    <row r="34" spans="1:29" s="784" customFormat="1" ht="18" customHeight="1" x14ac:dyDescent="0.25">
      <c r="A34" s="744">
        <v>26</v>
      </c>
      <c r="B34" s="745"/>
      <c r="C34" s="746">
        <v>2026</v>
      </c>
      <c r="D34" s="685" t="s">
        <v>3594</v>
      </c>
      <c r="E34" s="689" t="s">
        <v>3581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82">
        <f t="shared" si="1"/>
        <v>0</v>
      </c>
      <c r="T34" s="707"/>
      <c r="U34" s="707"/>
      <c r="V34" s="707"/>
      <c r="W34" s="782"/>
      <c r="X34" s="782"/>
      <c r="Y34" s="778"/>
      <c r="Z34" s="814"/>
      <c r="AA34" s="695" t="s">
        <v>3468</v>
      </c>
      <c r="AC34" s="781" t="e">
        <f t="shared" si="0"/>
        <v>#DIV/0!</v>
      </c>
    </row>
    <row r="35" spans="1:29" s="784" customFormat="1" ht="18" customHeight="1" x14ac:dyDescent="0.25">
      <c r="A35" s="744">
        <v>27</v>
      </c>
      <c r="B35" s="745"/>
      <c r="C35" s="746">
        <v>2026</v>
      </c>
      <c r="D35" s="685" t="s">
        <v>3595</v>
      </c>
      <c r="E35" s="689" t="s">
        <v>3596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07"/>
      <c r="S35" s="782">
        <f t="shared" si="1"/>
        <v>0</v>
      </c>
      <c r="T35" s="707"/>
      <c r="U35" s="707"/>
      <c r="V35" s="707"/>
      <c r="W35" s="782"/>
      <c r="X35" s="782"/>
      <c r="Y35" s="778"/>
      <c r="Z35" s="814"/>
      <c r="AA35" s="695" t="s">
        <v>2502</v>
      </c>
      <c r="AC35" s="781" t="e">
        <f t="shared" si="0"/>
        <v>#DIV/0!</v>
      </c>
    </row>
    <row r="36" spans="1:29" s="784" customFormat="1" ht="18" customHeight="1" x14ac:dyDescent="0.25">
      <c r="A36" s="744">
        <v>28</v>
      </c>
      <c r="B36" s="745"/>
      <c r="C36" s="746">
        <v>2026</v>
      </c>
      <c r="D36" s="685" t="s">
        <v>3597</v>
      </c>
      <c r="E36" s="689" t="s">
        <v>3598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7"/>
      <c r="Q36" s="707"/>
      <c r="R36" s="707"/>
      <c r="S36" s="782">
        <f t="shared" si="1"/>
        <v>0</v>
      </c>
      <c r="T36" s="707"/>
      <c r="U36" s="707"/>
      <c r="V36" s="707"/>
      <c r="W36" s="782"/>
      <c r="X36" s="782"/>
      <c r="Y36" s="778"/>
      <c r="Z36" s="814"/>
      <c r="AA36" s="695" t="s">
        <v>2499</v>
      </c>
      <c r="AC36" s="781" t="e">
        <f t="shared" si="0"/>
        <v>#DIV/0!</v>
      </c>
    </row>
    <row r="37" spans="1:29" s="784" customFormat="1" ht="18" customHeight="1" x14ac:dyDescent="0.25">
      <c r="A37" s="744">
        <v>29</v>
      </c>
      <c r="B37" s="745"/>
      <c r="C37" s="746">
        <v>2026</v>
      </c>
      <c r="D37" s="685" t="s">
        <v>3599</v>
      </c>
      <c r="E37" s="689" t="s">
        <v>2880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7"/>
      <c r="Q37" s="707"/>
      <c r="R37" s="707"/>
      <c r="S37" s="782">
        <f t="shared" si="1"/>
        <v>0</v>
      </c>
      <c r="T37" s="707"/>
      <c r="U37" s="707"/>
      <c r="V37" s="707"/>
      <c r="W37" s="782"/>
      <c r="X37" s="782"/>
      <c r="Y37" s="778"/>
      <c r="Z37" s="814"/>
      <c r="AA37" s="695" t="s">
        <v>2478</v>
      </c>
      <c r="AC37" s="781" t="e">
        <f t="shared" si="0"/>
        <v>#DIV/0!</v>
      </c>
    </row>
    <row r="38" spans="1:29" s="784" customFormat="1" ht="18" customHeight="1" x14ac:dyDescent="0.25">
      <c r="A38" s="744">
        <v>30</v>
      </c>
      <c r="B38" s="745"/>
      <c r="C38" s="746">
        <v>2026</v>
      </c>
      <c r="D38" s="685" t="s">
        <v>3600</v>
      </c>
      <c r="E38" s="689" t="s">
        <v>3497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7"/>
      <c r="Q38" s="707"/>
      <c r="R38" s="707"/>
      <c r="S38" s="782">
        <f t="shared" si="1"/>
        <v>0</v>
      </c>
      <c r="T38" s="707"/>
      <c r="U38" s="707"/>
      <c r="V38" s="707"/>
      <c r="W38" s="782"/>
      <c r="X38" s="782"/>
      <c r="Y38" s="778"/>
      <c r="Z38" s="814"/>
      <c r="AA38" s="695" t="s">
        <v>2966</v>
      </c>
      <c r="AC38" s="781" t="e">
        <f t="shared" si="0"/>
        <v>#DIV/0!</v>
      </c>
    </row>
    <row r="39" spans="1:29" s="784" customFormat="1" ht="18" customHeight="1" x14ac:dyDescent="0.25">
      <c r="A39" s="744">
        <v>31</v>
      </c>
      <c r="B39" s="745"/>
      <c r="C39" s="746">
        <v>2026</v>
      </c>
      <c r="D39" s="685" t="s">
        <v>3601</v>
      </c>
      <c r="E39" s="689" t="s">
        <v>256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82">
        <f t="shared" si="1"/>
        <v>0</v>
      </c>
      <c r="T39" s="707"/>
      <c r="U39" s="707"/>
      <c r="V39" s="707"/>
      <c r="W39" s="782"/>
      <c r="X39" s="782"/>
      <c r="Y39" s="778"/>
      <c r="Z39" s="814"/>
      <c r="AA39" s="695" t="s">
        <v>3646</v>
      </c>
      <c r="AC39" s="781" t="e">
        <f t="shared" si="0"/>
        <v>#DIV/0!</v>
      </c>
    </row>
    <row r="40" spans="1:29" s="784" customFormat="1" ht="18" customHeight="1" x14ac:dyDescent="0.25">
      <c r="A40" s="744">
        <v>32</v>
      </c>
      <c r="B40" s="745"/>
      <c r="C40" s="746">
        <v>2026</v>
      </c>
      <c r="D40" s="685" t="s">
        <v>3602</v>
      </c>
      <c r="E40" s="689" t="s">
        <v>3318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07"/>
      <c r="R40" s="707"/>
      <c r="S40" s="782">
        <f t="shared" si="1"/>
        <v>0</v>
      </c>
      <c r="T40" s="707"/>
      <c r="U40" s="707"/>
      <c r="V40" s="707"/>
      <c r="W40" s="782">
        <f t="shared" si="2"/>
        <v>0</v>
      </c>
      <c r="X40" s="782">
        <f t="shared" si="3"/>
        <v>0</v>
      </c>
      <c r="Y40" s="778"/>
      <c r="Z40" s="814"/>
      <c r="AA40" s="695" t="s">
        <v>2730</v>
      </c>
      <c r="AC40" s="781" t="e">
        <f t="shared" si="0"/>
        <v>#DIV/0!</v>
      </c>
    </row>
    <row r="41" spans="1:29" s="784" customFormat="1" ht="18" customHeight="1" x14ac:dyDescent="0.25">
      <c r="A41" s="744">
        <v>33</v>
      </c>
      <c r="B41" s="745"/>
      <c r="C41" s="746">
        <v>2026</v>
      </c>
      <c r="D41" s="685" t="s">
        <v>3603</v>
      </c>
      <c r="E41" s="689" t="s">
        <v>3428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07"/>
      <c r="R41" s="707"/>
      <c r="S41" s="782">
        <f t="shared" si="1"/>
        <v>0</v>
      </c>
      <c r="T41" s="707"/>
      <c r="U41" s="707"/>
      <c r="V41" s="707"/>
      <c r="W41" s="782"/>
      <c r="X41" s="782"/>
      <c r="Y41" s="778"/>
      <c r="Z41" s="814"/>
      <c r="AA41" s="695" t="s">
        <v>3466</v>
      </c>
      <c r="AC41" s="781" t="e">
        <f t="shared" si="0"/>
        <v>#DIV/0!</v>
      </c>
    </row>
    <row r="42" spans="1:29" s="784" customFormat="1" ht="18" customHeight="1" x14ac:dyDescent="0.25">
      <c r="A42" s="744">
        <v>34</v>
      </c>
      <c r="B42" s="745"/>
      <c r="C42" s="746">
        <v>2026</v>
      </c>
      <c r="D42" s="685" t="s">
        <v>3604</v>
      </c>
      <c r="E42" s="689" t="s">
        <v>3605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07"/>
      <c r="R42" s="707"/>
      <c r="S42" s="782">
        <f t="shared" si="1"/>
        <v>0</v>
      </c>
      <c r="T42" s="707"/>
      <c r="U42" s="707"/>
      <c r="V42" s="707"/>
      <c r="W42" s="782"/>
      <c r="X42" s="782"/>
      <c r="Y42" s="778"/>
      <c r="Z42" s="814"/>
      <c r="AA42" s="695" t="s">
        <v>2977</v>
      </c>
      <c r="AC42" s="781" t="e">
        <f t="shared" si="0"/>
        <v>#DIV/0!</v>
      </c>
    </row>
    <row r="43" spans="1:29" s="784" customFormat="1" ht="18" customHeight="1" x14ac:dyDescent="0.25">
      <c r="A43" s="744">
        <v>35</v>
      </c>
      <c r="B43" s="745"/>
      <c r="C43" s="746">
        <v>2026</v>
      </c>
      <c r="D43" s="685" t="s">
        <v>3606</v>
      </c>
      <c r="E43" s="689" t="s">
        <v>3607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07"/>
      <c r="R43" s="707"/>
      <c r="S43" s="782">
        <f t="shared" si="1"/>
        <v>0</v>
      </c>
      <c r="T43" s="707"/>
      <c r="U43" s="707"/>
      <c r="V43" s="707"/>
      <c r="W43" s="782"/>
      <c r="X43" s="782"/>
      <c r="Y43" s="778"/>
      <c r="Z43" s="814"/>
      <c r="AA43" s="695" t="s">
        <v>2730</v>
      </c>
      <c r="AC43" s="781" t="e">
        <f t="shared" si="0"/>
        <v>#DIV/0!</v>
      </c>
    </row>
    <row r="44" spans="1:29" s="784" customFormat="1" ht="18" customHeight="1" x14ac:dyDescent="0.25">
      <c r="A44" s="744">
        <v>36</v>
      </c>
      <c r="B44" s="745"/>
      <c r="C44" s="746">
        <v>2026</v>
      </c>
      <c r="D44" s="685" t="s">
        <v>3608</v>
      </c>
      <c r="E44" s="689" t="s">
        <v>3605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07"/>
      <c r="S44" s="782">
        <f t="shared" si="1"/>
        <v>0</v>
      </c>
      <c r="T44" s="707"/>
      <c r="U44" s="707"/>
      <c r="V44" s="707"/>
      <c r="W44" s="782"/>
      <c r="X44" s="782"/>
      <c r="Y44" s="778"/>
      <c r="Z44" s="814"/>
      <c r="AA44" s="695" t="s">
        <v>3552</v>
      </c>
      <c r="AC44" s="781" t="e">
        <f t="shared" si="0"/>
        <v>#DIV/0!</v>
      </c>
    </row>
    <row r="45" spans="1:29" s="784" customFormat="1" ht="18" customHeight="1" x14ac:dyDescent="0.25">
      <c r="A45" s="744">
        <v>37</v>
      </c>
      <c r="B45" s="745"/>
      <c r="C45" s="746">
        <v>2026</v>
      </c>
      <c r="D45" s="685" t="s">
        <v>3609</v>
      </c>
      <c r="E45" s="689" t="s">
        <v>3610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07"/>
      <c r="R45" s="707"/>
      <c r="S45" s="782">
        <f t="shared" si="1"/>
        <v>0</v>
      </c>
      <c r="T45" s="707"/>
      <c r="U45" s="707"/>
      <c r="V45" s="707"/>
      <c r="W45" s="782"/>
      <c r="X45" s="782"/>
      <c r="Y45" s="778"/>
      <c r="Z45" s="814"/>
      <c r="AA45" s="695" t="s">
        <v>3647</v>
      </c>
      <c r="AC45" s="781" t="e">
        <f t="shared" si="0"/>
        <v>#DIV/0!</v>
      </c>
    </row>
    <row r="46" spans="1:29" s="784" customFormat="1" ht="18" customHeight="1" x14ac:dyDescent="0.25">
      <c r="A46" s="744">
        <v>38</v>
      </c>
      <c r="B46" s="745"/>
      <c r="C46" s="746">
        <v>2026</v>
      </c>
      <c r="D46" s="685" t="s">
        <v>3611</v>
      </c>
      <c r="E46" s="689" t="s">
        <v>2371</v>
      </c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82">
        <f t="shared" si="1"/>
        <v>0</v>
      </c>
      <c r="T46" s="707"/>
      <c r="U46" s="707"/>
      <c r="V46" s="707"/>
      <c r="W46" s="782"/>
      <c r="X46" s="782"/>
      <c r="Y46" s="778"/>
      <c r="Z46" s="814"/>
      <c r="AA46" s="695" t="s">
        <v>3647</v>
      </c>
      <c r="AC46" s="781" t="e">
        <f t="shared" si="0"/>
        <v>#DIV/0!</v>
      </c>
    </row>
    <row r="47" spans="1:29" s="784" customFormat="1" ht="18" customHeight="1" x14ac:dyDescent="0.25">
      <c r="A47" s="744">
        <v>39</v>
      </c>
      <c r="B47" s="745"/>
      <c r="C47" s="746">
        <v>2026</v>
      </c>
      <c r="D47" s="685" t="s">
        <v>3612</v>
      </c>
      <c r="E47" s="689" t="s">
        <v>3251</v>
      </c>
      <c r="F47" s="707"/>
      <c r="G47" s="707"/>
      <c r="H47" s="707"/>
      <c r="I47" s="707"/>
      <c r="J47" s="707"/>
      <c r="K47" s="707"/>
      <c r="L47" s="707"/>
      <c r="M47" s="707"/>
      <c r="N47" s="707"/>
      <c r="O47" s="707"/>
      <c r="P47" s="707"/>
      <c r="Q47" s="707"/>
      <c r="R47" s="707"/>
      <c r="S47" s="782">
        <f t="shared" si="1"/>
        <v>0</v>
      </c>
      <c r="T47" s="707"/>
      <c r="U47" s="707"/>
      <c r="V47" s="707"/>
      <c r="W47" s="782"/>
      <c r="X47" s="782"/>
      <c r="Y47" s="778"/>
      <c r="Z47" s="814"/>
      <c r="AA47" s="695" t="s">
        <v>2979</v>
      </c>
      <c r="AC47" s="781" t="e">
        <f t="shared" si="0"/>
        <v>#DIV/0!</v>
      </c>
    </row>
    <row r="48" spans="1:29" s="784" customFormat="1" ht="18" customHeight="1" x14ac:dyDescent="0.25">
      <c r="A48" s="744">
        <v>40</v>
      </c>
      <c r="B48" s="745"/>
      <c r="C48" s="746">
        <v>2026</v>
      </c>
      <c r="D48" s="685" t="s">
        <v>3613</v>
      </c>
      <c r="E48" s="689" t="s">
        <v>3614</v>
      </c>
      <c r="F48" s="707"/>
      <c r="G48" s="707"/>
      <c r="H48" s="707"/>
      <c r="I48" s="707"/>
      <c r="J48" s="707"/>
      <c r="K48" s="707"/>
      <c r="L48" s="707"/>
      <c r="M48" s="707"/>
      <c r="N48" s="707"/>
      <c r="O48" s="707"/>
      <c r="P48" s="707"/>
      <c r="Q48" s="707"/>
      <c r="R48" s="707"/>
      <c r="S48" s="782">
        <f t="shared" si="1"/>
        <v>0</v>
      </c>
      <c r="T48" s="707"/>
      <c r="U48" s="707"/>
      <c r="V48" s="707"/>
      <c r="W48" s="782"/>
      <c r="X48" s="782"/>
      <c r="Y48" s="778"/>
      <c r="Z48" s="814"/>
      <c r="AA48" s="695" t="s">
        <v>3648</v>
      </c>
      <c r="AC48" s="781" t="e">
        <f t="shared" si="0"/>
        <v>#DIV/0!</v>
      </c>
    </row>
    <row r="49" spans="1:29" s="784" customFormat="1" ht="18" customHeight="1" x14ac:dyDescent="0.25">
      <c r="A49" s="744">
        <v>41</v>
      </c>
      <c r="B49" s="745"/>
      <c r="C49" s="746">
        <v>2026</v>
      </c>
      <c r="D49" s="685" t="s">
        <v>3615</v>
      </c>
      <c r="E49" s="689" t="s">
        <v>3291</v>
      </c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82">
        <f t="shared" si="1"/>
        <v>0</v>
      </c>
      <c r="T49" s="707"/>
      <c r="U49" s="707"/>
      <c r="V49" s="707"/>
      <c r="W49" s="782"/>
      <c r="X49" s="782"/>
      <c r="Y49" s="778"/>
      <c r="Z49" s="814"/>
      <c r="AA49" s="695" t="s">
        <v>3649</v>
      </c>
      <c r="AC49" s="781" t="e">
        <f t="shared" si="0"/>
        <v>#DIV/0!</v>
      </c>
    </row>
    <row r="50" spans="1:29" s="784" customFormat="1" ht="18" customHeight="1" x14ac:dyDescent="0.25">
      <c r="A50" s="744">
        <v>42</v>
      </c>
      <c r="B50" s="745"/>
      <c r="C50" s="746">
        <v>2026</v>
      </c>
      <c r="D50" s="685" t="s">
        <v>3616</v>
      </c>
      <c r="E50" s="689" t="s">
        <v>3617</v>
      </c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07"/>
      <c r="R50" s="707"/>
      <c r="S50" s="782">
        <f t="shared" si="1"/>
        <v>0</v>
      </c>
      <c r="T50" s="707"/>
      <c r="U50" s="707"/>
      <c r="V50" s="707"/>
      <c r="W50" s="782">
        <f t="shared" si="2"/>
        <v>0</v>
      </c>
      <c r="X50" s="782">
        <f t="shared" si="3"/>
        <v>0</v>
      </c>
      <c r="Y50" s="778"/>
      <c r="Z50" s="814"/>
      <c r="AA50" s="695" t="s">
        <v>3650</v>
      </c>
      <c r="AC50" s="781" t="e">
        <f t="shared" si="0"/>
        <v>#DIV/0!</v>
      </c>
    </row>
    <row r="51" spans="1:29" s="784" customFormat="1" ht="18" customHeight="1" x14ac:dyDescent="0.25">
      <c r="A51" s="744">
        <v>43</v>
      </c>
      <c r="B51" s="745"/>
      <c r="C51" s="746">
        <v>2026</v>
      </c>
      <c r="D51" s="685" t="s">
        <v>3618</v>
      </c>
      <c r="E51" s="689" t="s">
        <v>3619</v>
      </c>
      <c r="F51" s="707"/>
      <c r="G51" s="707"/>
      <c r="H51" s="707"/>
      <c r="I51" s="707"/>
      <c r="J51" s="707"/>
      <c r="K51" s="707"/>
      <c r="L51" s="707"/>
      <c r="M51" s="707"/>
      <c r="N51" s="707"/>
      <c r="O51" s="707"/>
      <c r="P51" s="707"/>
      <c r="Q51" s="707"/>
      <c r="R51" s="707"/>
      <c r="S51" s="782">
        <f t="shared" si="1"/>
        <v>0</v>
      </c>
      <c r="T51" s="707"/>
      <c r="U51" s="707"/>
      <c r="V51" s="707"/>
      <c r="W51" s="782">
        <f t="shared" si="2"/>
        <v>0</v>
      </c>
      <c r="X51" s="782">
        <f t="shared" si="3"/>
        <v>0</v>
      </c>
      <c r="Y51" s="778"/>
      <c r="Z51" s="814"/>
      <c r="AA51" s="695" t="s">
        <v>3539</v>
      </c>
      <c r="AC51" s="781" t="e">
        <f t="shared" si="0"/>
        <v>#DIV/0!</v>
      </c>
    </row>
    <row r="52" spans="1:29" s="784" customFormat="1" ht="18" customHeight="1" x14ac:dyDescent="0.25">
      <c r="A52" s="744">
        <v>44</v>
      </c>
      <c r="B52" s="745"/>
      <c r="C52" s="746">
        <v>2026</v>
      </c>
      <c r="D52" s="685" t="s">
        <v>3620</v>
      </c>
      <c r="E52" s="689" t="s">
        <v>3621</v>
      </c>
      <c r="F52" s="707"/>
      <c r="G52" s="707"/>
      <c r="H52" s="707"/>
      <c r="I52" s="707"/>
      <c r="J52" s="707"/>
      <c r="K52" s="707"/>
      <c r="L52" s="707"/>
      <c r="M52" s="707"/>
      <c r="N52" s="707"/>
      <c r="O52" s="707"/>
      <c r="P52" s="707"/>
      <c r="Q52" s="707"/>
      <c r="R52" s="707"/>
      <c r="S52" s="782">
        <f t="shared" si="1"/>
        <v>0</v>
      </c>
      <c r="T52" s="707"/>
      <c r="U52" s="707"/>
      <c r="V52" s="707"/>
      <c r="W52" s="782">
        <f t="shared" si="2"/>
        <v>0</v>
      </c>
      <c r="X52" s="782">
        <f t="shared" si="3"/>
        <v>0</v>
      </c>
      <c r="Y52" s="778"/>
      <c r="Z52" s="814"/>
      <c r="AA52" s="695" t="s">
        <v>3651</v>
      </c>
      <c r="AC52" s="781" t="e">
        <f t="shared" si="0"/>
        <v>#DIV/0!</v>
      </c>
    </row>
    <row r="53" spans="1:29" s="784" customFormat="1" ht="18" customHeight="1" x14ac:dyDescent="0.25">
      <c r="A53" s="744">
        <v>45</v>
      </c>
      <c r="B53" s="745"/>
      <c r="C53" s="746">
        <v>2026</v>
      </c>
      <c r="D53" s="685" t="s">
        <v>3622</v>
      </c>
      <c r="E53" s="689" t="s">
        <v>3623</v>
      </c>
      <c r="F53" s="707"/>
      <c r="G53" s="707"/>
      <c r="H53" s="707"/>
      <c r="I53" s="707"/>
      <c r="J53" s="707"/>
      <c r="K53" s="707"/>
      <c r="L53" s="707"/>
      <c r="M53" s="707"/>
      <c r="N53" s="707"/>
      <c r="O53" s="707"/>
      <c r="P53" s="707"/>
      <c r="Q53" s="707"/>
      <c r="R53" s="707"/>
      <c r="S53" s="782">
        <f t="shared" si="1"/>
        <v>0</v>
      </c>
      <c r="T53" s="707"/>
      <c r="U53" s="707"/>
      <c r="V53" s="707"/>
      <c r="W53" s="782">
        <f t="shared" si="2"/>
        <v>0</v>
      </c>
      <c r="X53" s="782">
        <f t="shared" si="3"/>
        <v>0</v>
      </c>
      <c r="Y53" s="778"/>
      <c r="Z53" s="814"/>
      <c r="AA53" s="695" t="s">
        <v>3201</v>
      </c>
      <c r="AC53" s="781" t="e">
        <f t="shared" si="0"/>
        <v>#DIV/0!</v>
      </c>
    </row>
    <row r="54" spans="1:29" s="784" customFormat="1" ht="18" customHeight="1" x14ac:dyDescent="0.25">
      <c r="A54" s="744">
        <v>46</v>
      </c>
      <c r="B54" s="745"/>
      <c r="C54" s="746">
        <v>2026</v>
      </c>
      <c r="D54" s="685" t="s">
        <v>3624</v>
      </c>
      <c r="E54" s="689" t="s">
        <v>3625</v>
      </c>
      <c r="F54" s="707"/>
      <c r="G54" s="707"/>
      <c r="H54" s="707"/>
      <c r="I54" s="707"/>
      <c r="J54" s="707"/>
      <c r="K54" s="707"/>
      <c r="L54" s="707"/>
      <c r="M54" s="707"/>
      <c r="N54" s="707"/>
      <c r="O54" s="707"/>
      <c r="P54" s="707"/>
      <c r="Q54" s="707"/>
      <c r="R54" s="707"/>
      <c r="S54" s="782">
        <f t="shared" ref="S54:S56" si="4">SUM(F54:R54)/13</f>
        <v>0</v>
      </c>
      <c r="T54" s="707"/>
      <c r="U54" s="707"/>
      <c r="V54" s="707"/>
      <c r="W54" s="782">
        <f t="shared" ref="W54:W56" si="5">SUM(T54:V54)/3</f>
        <v>0</v>
      </c>
      <c r="X54" s="782">
        <f t="shared" ref="X54:X56" si="6">SUM(S54+W54)/2</f>
        <v>0</v>
      </c>
      <c r="Y54" s="778"/>
      <c r="Z54" s="814"/>
      <c r="AA54" s="695" t="s">
        <v>3652</v>
      </c>
      <c r="AC54" s="781" t="e">
        <f t="shared" ref="AC54:AC56" si="7">AVERAGE(F54:R54)</f>
        <v>#DIV/0!</v>
      </c>
    </row>
    <row r="55" spans="1:29" s="784" customFormat="1" ht="18" customHeight="1" x14ac:dyDescent="0.25">
      <c r="A55" s="744">
        <v>47</v>
      </c>
      <c r="B55" s="745"/>
      <c r="C55" s="746">
        <v>2026</v>
      </c>
      <c r="D55" s="685" t="s">
        <v>3626</v>
      </c>
      <c r="E55" s="689" t="s">
        <v>3627</v>
      </c>
      <c r="F55" s="707"/>
      <c r="G55" s="707"/>
      <c r="H55" s="707"/>
      <c r="I55" s="707"/>
      <c r="J55" s="707"/>
      <c r="K55" s="707"/>
      <c r="L55" s="707"/>
      <c r="M55" s="707"/>
      <c r="N55" s="707"/>
      <c r="O55" s="707"/>
      <c r="P55" s="707"/>
      <c r="Q55" s="707"/>
      <c r="R55" s="707"/>
      <c r="S55" s="782">
        <f t="shared" si="4"/>
        <v>0</v>
      </c>
      <c r="T55" s="707"/>
      <c r="U55" s="707"/>
      <c r="V55" s="707"/>
      <c r="W55" s="782">
        <f t="shared" si="5"/>
        <v>0</v>
      </c>
      <c r="X55" s="782">
        <f t="shared" si="6"/>
        <v>0</v>
      </c>
      <c r="Y55" s="778"/>
      <c r="Z55" s="814"/>
      <c r="AA55" s="695" t="s">
        <v>3546</v>
      </c>
      <c r="AC55" s="781" t="e">
        <f t="shared" si="7"/>
        <v>#DIV/0!</v>
      </c>
    </row>
    <row r="56" spans="1:29" s="784" customFormat="1" ht="18" customHeight="1" x14ac:dyDescent="0.25">
      <c r="A56" s="744">
        <v>48</v>
      </c>
      <c r="B56" s="745"/>
      <c r="C56" s="746">
        <v>2026</v>
      </c>
      <c r="D56" s="685" t="s">
        <v>3528</v>
      </c>
      <c r="E56" s="689" t="s">
        <v>3320</v>
      </c>
      <c r="F56" s="707"/>
      <c r="G56" s="707"/>
      <c r="H56" s="707"/>
      <c r="I56" s="707"/>
      <c r="J56" s="707"/>
      <c r="K56" s="707"/>
      <c r="L56" s="707"/>
      <c r="M56" s="707"/>
      <c r="N56" s="707"/>
      <c r="O56" s="707"/>
      <c r="P56" s="707"/>
      <c r="Q56" s="707"/>
      <c r="R56" s="707"/>
      <c r="S56" s="782">
        <f t="shared" si="4"/>
        <v>0</v>
      </c>
      <c r="T56" s="707"/>
      <c r="U56" s="707"/>
      <c r="V56" s="707"/>
      <c r="W56" s="782">
        <f t="shared" si="5"/>
        <v>0</v>
      </c>
      <c r="X56" s="782">
        <f t="shared" si="6"/>
        <v>0</v>
      </c>
      <c r="Y56" s="778"/>
      <c r="Z56" s="814"/>
      <c r="AA56" s="695" t="s">
        <v>3653</v>
      </c>
      <c r="AC56" s="781" t="e">
        <f t="shared" si="7"/>
        <v>#DIV/0!</v>
      </c>
    </row>
    <row r="57" spans="1:29" s="784" customFormat="1" ht="18" customHeight="1" x14ac:dyDescent="0.25">
      <c r="A57" s="744">
        <v>49</v>
      </c>
      <c r="B57" s="745"/>
      <c r="C57" s="746">
        <v>2026</v>
      </c>
      <c r="D57" s="685" t="s">
        <v>3628</v>
      </c>
      <c r="E57" s="689" t="s">
        <v>3629</v>
      </c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82">
        <f t="shared" si="1"/>
        <v>0</v>
      </c>
      <c r="T57" s="707"/>
      <c r="U57" s="707"/>
      <c r="V57" s="707"/>
      <c r="W57" s="782">
        <f t="shared" si="2"/>
        <v>0</v>
      </c>
      <c r="X57" s="782">
        <f t="shared" si="3"/>
        <v>0</v>
      </c>
      <c r="Y57" s="778"/>
      <c r="Z57" s="814"/>
      <c r="AA57" s="695" t="s">
        <v>3654</v>
      </c>
      <c r="AC57" s="781" t="e">
        <f t="shared" si="0"/>
        <v>#DIV/0!</v>
      </c>
    </row>
    <row r="58" spans="1:29" s="784" customFormat="1" ht="18" customHeight="1" x14ac:dyDescent="0.25">
      <c r="A58" s="744">
        <v>50</v>
      </c>
      <c r="B58" s="745"/>
      <c r="C58" s="746">
        <v>2026</v>
      </c>
      <c r="D58" s="685" t="s">
        <v>3630</v>
      </c>
      <c r="E58" s="689" t="s">
        <v>3631</v>
      </c>
      <c r="F58" s="707"/>
      <c r="G58" s="707"/>
      <c r="H58" s="707"/>
      <c r="I58" s="707"/>
      <c r="J58" s="707"/>
      <c r="K58" s="707"/>
      <c r="L58" s="707"/>
      <c r="M58" s="707"/>
      <c r="N58" s="707"/>
      <c r="O58" s="707"/>
      <c r="P58" s="707"/>
      <c r="Q58" s="707"/>
      <c r="R58" s="707"/>
      <c r="S58" s="782">
        <f t="shared" si="1"/>
        <v>0</v>
      </c>
      <c r="T58" s="707"/>
      <c r="U58" s="707"/>
      <c r="V58" s="707"/>
      <c r="W58" s="782">
        <f t="shared" si="2"/>
        <v>0</v>
      </c>
      <c r="X58" s="782">
        <f t="shared" si="3"/>
        <v>0</v>
      </c>
      <c r="Y58" s="778"/>
      <c r="Z58" s="814"/>
      <c r="AA58" s="695" t="s">
        <v>3208</v>
      </c>
      <c r="AC58" s="781" t="e">
        <f t="shared" si="0"/>
        <v>#DIV/0!</v>
      </c>
    </row>
    <row r="59" spans="1:29" s="784" customFormat="1" ht="18" customHeight="1" x14ac:dyDescent="0.25">
      <c r="A59" s="744">
        <v>51</v>
      </c>
      <c r="B59" s="745"/>
      <c r="C59" s="746">
        <v>2026</v>
      </c>
      <c r="D59" s="685" t="s">
        <v>3632</v>
      </c>
      <c r="E59" s="689" t="s">
        <v>3633</v>
      </c>
      <c r="F59" s="707"/>
      <c r="G59" s="707"/>
      <c r="H59" s="707"/>
      <c r="I59" s="707"/>
      <c r="J59" s="707"/>
      <c r="K59" s="707"/>
      <c r="L59" s="707"/>
      <c r="M59" s="707"/>
      <c r="N59" s="707"/>
      <c r="O59" s="707"/>
      <c r="P59" s="707"/>
      <c r="Q59" s="707"/>
      <c r="R59" s="707"/>
      <c r="S59" s="782">
        <f t="shared" si="1"/>
        <v>0</v>
      </c>
      <c r="T59" s="707"/>
      <c r="U59" s="707"/>
      <c r="V59" s="707"/>
      <c r="W59" s="782">
        <f t="shared" si="2"/>
        <v>0</v>
      </c>
      <c r="X59" s="782">
        <f t="shared" si="3"/>
        <v>0</v>
      </c>
      <c r="Y59" s="778"/>
      <c r="Z59" s="814"/>
      <c r="AA59" s="695" t="s">
        <v>2530</v>
      </c>
      <c r="AC59" s="781" t="e">
        <f t="shared" si="0"/>
        <v>#DIV/0!</v>
      </c>
    </row>
    <row r="60" spans="1:29" s="784" customFormat="1" ht="18" customHeight="1" x14ac:dyDescent="0.25">
      <c r="A60" s="744">
        <v>52</v>
      </c>
      <c r="B60" s="745"/>
      <c r="C60" s="746">
        <v>2026</v>
      </c>
      <c r="D60" s="685" t="s">
        <v>3634</v>
      </c>
      <c r="E60" s="689" t="s">
        <v>3635</v>
      </c>
      <c r="F60" s="707"/>
      <c r="G60" s="707"/>
      <c r="H60" s="707"/>
      <c r="I60" s="707"/>
      <c r="J60" s="707"/>
      <c r="K60" s="707"/>
      <c r="L60" s="707"/>
      <c r="M60" s="707"/>
      <c r="N60" s="707"/>
      <c r="O60" s="707"/>
      <c r="P60" s="707"/>
      <c r="Q60" s="707"/>
      <c r="R60" s="707"/>
      <c r="S60" s="782">
        <f t="shared" ref="S60" si="8">SUM(F60:R60)/13</f>
        <v>0</v>
      </c>
      <c r="T60" s="707"/>
      <c r="U60" s="707"/>
      <c r="V60" s="707"/>
      <c r="W60" s="782"/>
      <c r="X60" s="782"/>
      <c r="Y60" s="778"/>
      <c r="Z60" s="814"/>
      <c r="AA60" s="695" t="s">
        <v>3553</v>
      </c>
      <c r="AC60" s="781" t="e">
        <f t="shared" ref="AC60" si="9">AVERAGE(F60:R60)</f>
        <v>#DIV/0!</v>
      </c>
    </row>
    <row r="61" spans="1:29" s="784" customFormat="1" ht="18" customHeight="1" thickBot="1" x14ac:dyDescent="0.3">
      <c r="A61" s="768"/>
      <c r="B61" s="769"/>
      <c r="C61" s="770"/>
      <c r="D61" s="771"/>
      <c r="E61" s="772"/>
      <c r="F61" s="773"/>
      <c r="G61" s="773"/>
      <c r="H61" s="773"/>
      <c r="I61" s="773"/>
      <c r="J61" s="773"/>
      <c r="K61" s="773"/>
      <c r="L61" s="773"/>
      <c r="M61" s="773"/>
      <c r="N61" s="773"/>
      <c r="O61" s="773"/>
      <c r="P61" s="773"/>
      <c r="Q61" s="773"/>
      <c r="R61" s="773"/>
      <c r="S61" s="890"/>
      <c r="T61" s="773"/>
      <c r="U61" s="773"/>
      <c r="V61" s="773"/>
      <c r="W61" s="890"/>
      <c r="X61" s="890"/>
      <c r="Y61" s="891"/>
      <c r="Z61" s="892"/>
      <c r="AA61" s="774"/>
      <c r="AC61" s="781"/>
    </row>
    <row r="62" spans="1:29" s="796" customFormat="1" ht="19.5" thickTop="1" x14ac:dyDescent="0.3">
      <c r="A62" s="797"/>
      <c r="B62" s="797"/>
      <c r="C62" s="797"/>
      <c r="E62" s="797"/>
      <c r="F62" s="797"/>
      <c r="G62" s="797"/>
      <c r="H62" s="797"/>
      <c r="I62" s="797"/>
      <c r="J62" s="797"/>
      <c r="K62" s="797"/>
      <c r="L62" s="797"/>
      <c r="M62" s="797"/>
      <c r="N62" s="797"/>
      <c r="O62" s="797"/>
      <c r="P62" s="797"/>
      <c r="Q62" s="797"/>
      <c r="R62" s="797"/>
      <c r="S62" s="803"/>
      <c r="T62" s="797"/>
      <c r="U62" s="797"/>
      <c r="V62" s="797"/>
      <c r="W62" s="797"/>
      <c r="X62" s="797"/>
      <c r="Y62" s="797"/>
      <c r="Z62" s="988"/>
      <c r="AA62" s="797"/>
    </row>
    <row r="63" spans="1:29" s="796" customFormat="1" x14ac:dyDescent="0.3">
      <c r="A63" s="797"/>
      <c r="B63" s="797"/>
      <c r="C63" s="797"/>
      <c r="E63" s="797"/>
      <c r="F63" s="797"/>
      <c r="G63" s="797"/>
      <c r="H63" s="797"/>
      <c r="I63" s="797"/>
      <c r="J63" s="797"/>
      <c r="K63" s="797"/>
      <c r="L63" s="797"/>
      <c r="M63" s="797"/>
      <c r="N63" s="797"/>
      <c r="O63" s="797"/>
      <c r="P63" s="797"/>
      <c r="Q63" s="797"/>
      <c r="R63" s="797"/>
      <c r="S63" s="1071"/>
      <c r="T63" s="1071"/>
      <c r="U63" s="1071"/>
      <c r="V63" s="1071"/>
      <c r="W63" s="1071"/>
      <c r="X63" s="1071"/>
      <c r="Y63" s="1071"/>
      <c r="Z63" s="1071"/>
      <c r="AA63" s="1071"/>
    </row>
    <row r="64" spans="1:29" s="796" customFormat="1" x14ac:dyDescent="0.3">
      <c r="A64" s="797"/>
      <c r="B64" s="797"/>
      <c r="C64" s="797"/>
      <c r="E64" s="797"/>
      <c r="F64" s="797"/>
      <c r="G64" s="797"/>
      <c r="H64" s="797"/>
      <c r="I64" s="797"/>
      <c r="J64" s="797"/>
      <c r="K64" s="797"/>
      <c r="L64" s="797"/>
      <c r="M64" s="797"/>
      <c r="N64" s="797"/>
      <c r="O64" s="797"/>
      <c r="P64" s="797"/>
      <c r="Q64" s="797"/>
      <c r="R64" s="797"/>
      <c r="S64" s="1071"/>
      <c r="T64" s="1071"/>
      <c r="U64" s="1071"/>
      <c r="V64" s="797"/>
      <c r="W64" s="797"/>
      <c r="X64" s="797"/>
      <c r="Y64" s="797"/>
      <c r="Z64" s="988"/>
      <c r="AA64" s="797"/>
    </row>
    <row r="65" spans="1:27" s="796" customFormat="1" x14ac:dyDescent="0.3">
      <c r="A65" s="797"/>
      <c r="B65" s="797"/>
      <c r="C65" s="797"/>
      <c r="E65" s="797"/>
      <c r="F65" s="797"/>
      <c r="G65" s="797"/>
      <c r="H65" s="797"/>
      <c r="I65" s="797"/>
      <c r="J65" s="797"/>
      <c r="K65" s="797"/>
      <c r="L65" s="797"/>
      <c r="M65" s="797"/>
      <c r="N65" s="797"/>
      <c r="O65" s="797"/>
      <c r="P65" s="797"/>
      <c r="Q65" s="797"/>
      <c r="R65" s="797"/>
      <c r="S65" s="800"/>
      <c r="T65" s="780"/>
      <c r="U65" s="780"/>
      <c r="V65" s="797"/>
      <c r="W65" s="797"/>
      <c r="X65" s="797"/>
      <c r="Y65" s="797"/>
      <c r="Z65" s="988"/>
      <c r="AA65" s="797"/>
    </row>
    <row r="66" spans="1:27" s="796" customFormat="1" x14ac:dyDescent="0.3">
      <c r="A66" s="797"/>
      <c r="B66" s="797"/>
      <c r="C66" s="797"/>
      <c r="E66" s="797"/>
      <c r="F66" s="797"/>
      <c r="G66" s="797"/>
      <c r="H66" s="797"/>
      <c r="I66" s="797"/>
      <c r="J66" s="797"/>
      <c r="K66" s="797"/>
      <c r="L66" s="797"/>
      <c r="M66" s="797"/>
      <c r="N66" s="797"/>
      <c r="O66" s="797"/>
      <c r="P66" s="797"/>
      <c r="Q66" s="797"/>
      <c r="R66" s="797"/>
      <c r="S66" s="800"/>
      <c r="T66" s="780"/>
      <c r="U66" s="780"/>
      <c r="V66" s="797"/>
      <c r="W66" s="797"/>
      <c r="X66" s="797"/>
      <c r="Y66" s="797"/>
      <c r="Z66" s="988"/>
      <c r="AA66" s="797"/>
    </row>
    <row r="67" spans="1:27" s="796" customFormat="1" x14ac:dyDescent="0.3">
      <c r="A67" s="797"/>
      <c r="B67" s="797"/>
      <c r="C67" s="797"/>
      <c r="E67" s="797"/>
      <c r="F67" s="797"/>
      <c r="G67" s="797"/>
      <c r="H67" s="797"/>
      <c r="I67" s="797"/>
      <c r="J67" s="797"/>
      <c r="K67" s="797"/>
      <c r="L67" s="797"/>
      <c r="M67" s="797"/>
      <c r="N67" s="797"/>
      <c r="O67" s="797"/>
      <c r="P67" s="797"/>
      <c r="Q67" s="797"/>
      <c r="R67" s="797"/>
      <c r="S67" s="1072"/>
      <c r="T67" s="1072"/>
      <c r="U67" s="1072"/>
      <c r="V67" s="797"/>
      <c r="W67" s="797"/>
      <c r="X67" s="797"/>
      <c r="Y67" s="797"/>
      <c r="Z67" s="988"/>
      <c r="AA67" s="797"/>
    </row>
    <row r="68" spans="1:27" s="796" customFormat="1" x14ac:dyDescent="0.3">
      <c r="A68" s="797"/>
      <c r="B68" s="797"/>
      <c r="C68" s="797"/>
      <c r="E68" s="797"/>
      <c r="F68" s="797"/>
      <c r="G68" s="797"/>
      <c r="H68" s="797"/>
      <c r="I68" s="797"/>
      <c r="J68" s="797"/>
      <c r="K68" s="797"/>
      <c r="L68" s="797"/>
      <c r="M68" s="797"/>
      <c r="N68" s="797"/>
      <c r="O68" s="797"/>
      <c r="P68" s="797"/>
      <c r="Q68" s="797"/>
      <c r="R68" s="797"/>
      <c r="S68" s="1071"/>
      <c r="T68" s="1071"/>
      <c r="U68" s="1071"/>
      <c r="V68" s="1071"/>
      <c r="W68" s="1071"/>
      <c r="X68" s="1071"/>
      <c r="Y68" s="1071"/>
      <c r="Z68" s="1071"/>
      <c r="AA68" s="1071"/>
    </row>
    <row r="69" spans="1:27" s="796" customFormat="1" x14ac:dyDescent="0.3">
      <c r="A69" s="797"/>
      <c r="B69" s="797"/>
      <c r="C69" s="797"/>
      <c r="E69" s="797"/>
      <c r="F69" s="797"/>
      <c r="G69" s="797"/>
      <c r="H69" s="797"/>
      <c r="I69" s="797"/>
      <c r="J69" s="797"/>
      <c r="K69" s="797"/>
      <c r="L69" s="797"/>
      <c r="M69" s="797"/>
      <c r="N69" s="797"/>
      <c r="O69" s="797"/>
      <c r="P69" s="797"/>
      <c r="Q69" s="797"/>
      <c r="R69" s="797"/>
      <c r="S69" s="803"/>
      <c r="T69" s="797"/>
      <c r="U69" s="797"/>
      <c r="V69" s="797"/>
      <c r="W69" s="797"/>
      <c r="X69" s="797"/>
      <c r="Y69" s="797"/>
      <c r="Z69" s="988"/>
      <c r="AA69" s="797"/>
    </row>
    <row r="70" spans="1:27" s="796" customFormat="1" x14ac:dyDescent="0.3">
      <c r="A70" s="797"/>
      <c r="B70" s="797"/>
      <c r="C70" s="797"/>
      <c r="E70" s="797"/>
      <c r="F70" s="797"/>
      <c r="G70" s="797"/>
      <c r="H70" s="797"/>
      <c r="I70" s="797"/>
      <c r="J70" s="797"/>
      <c r="K70" s="797"/>
      <c r="L70" s="797"/>
      <c r="M70" s="797"/>
      <c r="N70" s="797"/>
      <c r="O70" s="797"/>
      <c r="P70" s="797"/>
      <c r="Q70" s="797"/>
      <c r="R70" s="797"/>
      <c r="S70" s="803"/>
      <c r="T70" s="797"/>
      <c r="U70" s="797"/>
      <c r="V70" s="797"/>
      <c r="W70" s="797"/>
      <c r="X70" s="797"/>
      <c r="Y70" s="797"/>
      <c r="Z70" s="988"/>
      <c r="AA70" s="797"/>
    </row>
    <row r="71" spans="1:27" s="796" customFormat="1" x14ac:dyDescent="0.3">
      <c r="A71" s="797"/>
      <c r="B71" s="797"/>
      <c r="C71" s="797"/>
      <c r="E71" s="797"/>
      <c r="F71" s="797"/>
      <c r="G71" s="797"/>
      <c r="H71" s="797"/>
      <c r="I71" s="797"/>
      <c r="J71" s="797"/>
      <c r="K71" s="797"/>
      <c r="L71" s="797"/>
      <c r="M71" s="797"/>
      <c r="N71" s="797"/>
      <c r="O71" s="797"/>
      <c r="P71" s="797"/>
      <c r="Q71" s="797"/>
      <c r="R71" s="797"/>
      <c r="S71" s="803"/>
      <c r="T71" s="797"/>
      <c r="U71" s="797"/>
      <c r="V71" s="797"/>
      <c r="W71" s="797"/>
      <c r="X71" s="797"/>
      <c r="Y71" s="797"/>
      <c r="Z71" s="988"/>
      <c r="AA71" s="797"/>
    </row>
    <row r="72" spans="1:27" s="796" customFormat="1" x14ac:dyDescent="0.3">
      <c r="A72" s="797"/>
      <c r="B72" s="797"/>
      <c r="C72" s="797"/>
      <c r="E72" s="797"/>
      <c r="F72" s="797"/>
      <c r="G72" s="797"/>
      <c r="H72" s="797"/>
      <c r="I72" s="797"/>
      <c r="J72" s="797"/>
      <c r="K72" s="797"/>
      <c r="L72" s="797"/>
      <c r="M72" s="797"/>
      <c r="N72" s="797"/>
      <c r="O72" s="797"/>
      <c r="P72" s="797"/>
      <c r="Q72" s="797"/>
      <c r="R72" s="797"/>
      <c r="S72" s="803"/>
      <c r="T72" s="797"/>
      <c r="U72" s="797"/>
      <c r="V72" s="797"/>
      <c r="W72" s="797"/>
      <c r="X72" s="797"/>
      <c r="Y72" s="797"/>
      <c r="Z72" s="988"/>
      <c r="AA72" s="797"/>
    </row>
    <row r="73" spans="1:27" s="796" customFormat="1" x14ac:dyDescent="0.3">
      <c r="A73" s="797"/>
      <c r="B73" s="797"/>
      <c r="C73" s="797"/>
      <c r="E73" s="797"/>
      <c r="F73" s="797"/>
      <c r="G73" s="797"/>
      <c r="H73" s="797"/>
      <c r="I73" s="797"/>
      <c r="J73" s="797"/>
      <c r="K73" s="797"/>
      <c r="L73" s="797"/>
      <c r="M73" s="797"/>
      <c r="N73" s="797"/>
      <c r="O73" s="797"/>
      <c r="P73" s="797"/>
      <c r="Q73" s="797"/>
      <c r="R73" s="797"/>
      <c r="S73" s="803"/>
      <c r="T73" s="797"/>
      <c r="U73" s="797"/>
      <c r="V73" s="797"/>
      <c r="W73" s="797"/>
      <c r="X73" s="797"/>
      <c r="Y73" s="797"/>
      <c r="Z73" s="988"/>
      <c r="AA73" s="797"/>
    </row>
    <row r="74" spans="1:27" s="796" customFormat="1" x14ac:dyDescent="0.3">
      <c r="A74" s="797"/>
      <c r="B74" s="797"/>
      <c r="C74" s="797"/>
      <c r="E74" s="797"/>
      <c r="F74" s="797"/>
      <c r="G74" s="797"/>
      <c r="H74" s="797"/>
      <c r="I74" s="797"/>
      <c r="J74" s="797"/>
      <c r="K74" s="797"/>
      <c r="L74" s="797"/>
      <c r="M74" s="797"/>
      <c r="N74" s="797"/>
      <c r="O74" s="797"/>
      <c r="P74" s="797"/>
      <c r="Q74" s="797"/>
      <c r="R74" s="797"/>
      <c r="S74" s="803"/>
      <c r="T74" s="797"/>
      <c r="U74" s="797"/>
      <c r="V74" s="797"/>
      <c r="W74" s="797"/>
      <c r="X74" s="797"/>
      <c r="Y74" s="797"/>
      <c r="Z74" s="988"/>
      <c r="AA74" s="797"/>
    </row>
    <row r="75" spans="1:27" s="796" customFormat="1" x14ac:dyDescent="0.3">
      <c r="A75" s="797"/>
      <c r="B75" s="797"/>
      <c r="C75" s="797"/>
      <c r="E75" s="797"/>
      <c r="F75" s="797"/>
      <c r="G75" s="797"/>
      <c r="H75" s="797"/>
      <c r="I75" s="797"/>
      <c r="J75" s="797"/>
      <c r="K75" s="797"/>
      <c r="L75" s="797"/>
      <c r="M75" s="797"/>
      <c r="N75" s="797"/>
      <c r="O75" s="797"/>
      <c r="P75" s="797"/>
      <c r="Q75" s="797"/>
      <c r="R75" s="797"/>
      <c r="S75" s="803"/>
      <c r="T75" s="797"/>
      <c r="U75" s="797"/>
      <c r="V75" s="797"/>
      <c r="W75" s="797"/>
      <c r="X75" s="797"/>
      <c r="Y75" s="797"/>
      <c r="Z75" s="988"/>
      <c r="AA75" s="797"/>
    </row>
    <row r="76" spans="1:27" s="806" customFormat="1" x14ac:dyDescent="0.3">
      <c r="A76" s="807"/>
      <c r="B76" s="807"/>
      <c r="C76" s="807"/>
      <c r="E76" s="807"/>
      <c r="F76" s="807"/>
      <c r="G76" s="807"/>
      <c r="H76" s="807"/>
      <c r="I76" s="807"/>
      <c r="J76" s="807"/>
      <c r="K76" s="807"/>
      <c r="L76" s="801"/>
      <c r="M76" s="801"/>
      <c r="N76" s="797"/>
      <c r="O76" s="807"/>
      <c r="P76" s="807"/>
      <c r="Q76" s="807"/>
      <c r="R76" s="804"/>
      <c r="S76" s="818"/>
      <c r="T76" s="804"/>
      <c r="U76" s="804"/>
      <c r="V76" s="804"/>
      <c r="W76" s="804"/>
      <c r="X76" s="804"/>
      <c r="Y76" s="804"/>
      <c r="Z76" s="889"/>
      <c r="AA76" s="804"/>
    </row>
    <row r="77" spans="1:27" x14ac:dyDescent="0.3">
      <c r="R77" s="43"/>
      <c r="S77" s="44"/>
      <c r="T77" s="45"/>
      <c r="U77" s="45"/>
      <c r="V77" s="45"/>
      <c r="W77" s="43"/>
      <c r="X77" s="43"/>
      <c r="Y77" s="43"/>
      <c r="Z77" s="46"/>
      <c r="AA77" s="43"/>
    </row>
    <row r="78" spans="1:27" x14ac:dyDescent="0.3">
      <c r="R78" s="43"/>
      <c r="S78" s="44"/>
      <c r="T78" s="45"/>
      <c r="U78" s="45"/>
      <c r="V78" s="45"/>
      <c r="W78" s="43"/>
      <c r="X78" s="43"/>
      <c r="Y78" s="43"/>
      <c r="Z78" s="46"/>
      <c r="AA78" s="43"/>
    </row>
  </sheetData>
  <autoFilter ref="S7:AB61">
    <filterColumn colId="1" showButton="0"/>
    <filterColumn colId="2" showButton="0"/>
    <filterColumn colId="3" showButton="0"/>
  </autoFilter>
  <mergeCells count="19">
    <mergeCell ref="E2:AA2"/>
    <mergeCell ref="E3:AA3"/>
    <mergeCell ref="E4:AA4"/>
    <mergeCell ref="E5:AK5"/>
    <mergeCell ref="A7:A8"/>
    <mergeCell ref="B7:C8"/>
    <mergeCell ref="D7:D8"/>
    <mergeCell ref="E7:E8"/>
    <mergeCell ref="S7:S8"/>
    <mergeCell ref="S64:U64"/>
    <mergeCell ref="S67:U67"/>
    <mergeCell ref="S68:AA68"/>
    <mergeCell ref="F7:R7"/>
    <mergeCell ref="T7:W7"/>
    <mergeCell ref="X7:X8"/>
    <mergeCell ref="Y7:Y8"/>
    <mergeCell ref="Z7:Z8"/>
    <mergeCell ref="AA7:AA8"/>
    <mergeCell ref="S63:AA63"/>
  </mergeCells>
  <printOptions horizontalCentered="1"/>
  <pageMargins left="0.56000000000000005" right="0.16" top="0.27" bottom="0.21" header="0.2" footer="0.27"/>
  <pageSetup scale="98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92D050"/>
  </sheetPr>
  <dimension ref="A1:AI134"/>
  <sheetViews>
    <sheetView topLeftCell="A94" zoomScale="120" zoomScaleNormal="120" workbookViewId="0">
      <selection activeCell="AG8" sqref="AG8:AG102"/>
    </sheetView>
  </sheetViews>
  <sheetFormatPr defaultRowHeight="18.75" x14ac:dyDescent="0.3"/>
  <cols>
    <col min="1" max="1" width="2.69921875" style="1" customWidth="1"/>
    <col min="2" max="2" width="4.09765625" style="1" customWidth="1"/>
    <col min="3" max="3" width="4.5" style="1" customWidth="1"/>
    <col min="4" max="4" width="17" customWidth="1"/>
    <col min="5" max="5" width="7.69921875" style="1" customWidth="1"/>
    <col min="6" max="6" width="2.19921875" style="227" customWidth="1"/>
    <col min="7" max="7" width="2.59765625" style="227" customWidth="1"/>
    <col min="8" max="24" width="2.19921875" style="227" customWidth="1"/>
    <col min="25" max="25" width="4" style="25" customWidth="1"/>
    <col min="26" max="28" width="2.19921875" style="20" hidden="1" customWidth="1"/>
    <col min="29" max="30" width="3.3984375" style="23" hidden="1" customWidth="1"/>
    <col min="31" max="31" width="3.59765625" style="23" customWidth="1"/>
    <col min="32" max="32" width="5.296875" style="14" hidden="1" customWidth="1"/>
    <col min="33" max="33" width="18.796875" style="23" customWidth="1"/>
    <col min="34" max="34" width="3.8984375" style="23" customWidth="1"/>
    <col min="35" max="35" width="7.296875" customWidth="1"/>
    <col min="36" max="36" width="0.8984375" customWidth="1"/>
  </cols>
  <sheetData>
    <row r="1" spans="1:35" s="761" customFormat="1" ht="15.75" x14ac:dyDescent="0.25">
      <c r="B1" s="763"/>
      <c r="C1" s="763"/>
      <c r="D1" s="763"/>
      <c r="E1" s="1046" t="s">
        <v>2237</v>
      </c>
      <c r="F1" s="1046"/>
      <c r="G1" s="1046"/>
      <c r="H1" s="1046"/>
      <c r="I1" s="1046"/>
      <c r="J1" s="1046"/>
      <c r="K1" s="1046"/>
      <c r="L1" s="1046"/>
      <c r="M1" s="1046"/>
      <c r="N1" s="1046"/>
      <c r="O1" s="1046"/>
      <c r="P1" s="1046"/>
      <c r="Q1" s="1046"/>
      <c r="R1" s="1046"/>
      <c r="S1" s="1046"/>
      <c r="T1" s="1046"/>
      <c r="U1" s="1046"/>
      <c r="V1" s="1046"/>
      <c r="W1" s="1046"/>
      <c r="X1" s="1046"/>
      <c r="Y1" s="1046"/>
      <c r="Z1" s="1046"/>
      <c r="AA1" s="1046"/>
      <c r="AB1" s="763"/>
      <c r="AC1" s="763"/>
      <c r="AD1" s="763"/>
      <c r="AE1" s="763"/>
      <c r="AF1" s="763"/>
      <c r="AG1" s="763"/>
    </row>
    <row r="2" spans="1:35" s="761" customFormat="1" ht="15.75" x14ac:dyDescent="0.25">
      <c r="B2" s="763"/>
      <c r="C2" s="763"/>
      <c r="D2" s="763"/>
      <c r="E2" s="1046" t="s">
        <v>2311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  <c r="X2" s="1046"/>
      <c r="Y2" s="1046"/>
      <c r="Z2" s="1046"/>
      <c r="AA2" s="1046"/>
    </row>
    <row r="3" spans="1:35" s="761" customFormat="1" ht="15.75" hidden="1" customHeight="1" x14ac:dyDescent="0.25">
      <c r="B3" s="762"/>
      <c r="C3" s="762"/>
      <c r="D3" s="762"/>
      <c r="E3" s="1047" t="s">
        <v>34</v>
      </c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47"/>
      <c r="W3" s="1047"/>
      <c r="X3" s="1047"/>
      <c r="Y3" s="1047"/>
      <c r="Z3" s="1047"/>
      <c r="AA3" s="1047"/>
      <c r="AB3" s="762"/>
      <c r="AC3" s="762"/>
    </row>
    <row r="4" spans="1:35" s="761" customFormat="1" ht="15.75" customHeight="1" x14ac:dyDescent="0.25">
      <c r="B4" s="763"/>
      <c r="C4" s="763"/>
      <c r="D4" s="763"/>
      <c r="E4" s="1052" t="s">
        <v>2312</v>
      </c>
      <c r="F4" s="1052"/>
      <c r="G4" s="1052"/>
      <c r="H4" s="1052"/>
      <c r="I4" s="1052"/>
      <c r="J4" s="1052"/>
      <c r="K4" s="1052"/>
      <c r="L4" s="1052"/>
      <c r="M4" s="1052"/>
      <c r="N4" s="1052"/>
      <c r="O4" s="1052"/>
      <c r="P4" s="1052"/>
      <c r="Q4" s="1052"/>
      <c r="R4" s="1052"/>
      <c r="S4" s="1052"/>
      <c r="T4" s="1052"/>
      <c r="U4" s="1052"/>
      <c r="V4" s="1052"/>
      <c r="W4" s="1052"/>
      <c r="X4" s="1052"/>
      <c r="Y4" s="1052"/>
      <c r="Z4" s="1052"/>
      <c r="AA4" s="1052"/>
      <c r="AB4" s="1052"/>
      <c r="AC4" s="1052"/>
      <c r="AD4" s="1052"/>
      <c r="AE4" s="1052"/>
      <c r="AF4" s="1052"/>
      <c r="AG4" s="1052"/>
      <c r="AH4" s="1052"/>
      <c r="AI4" s="1052"/>
    </row>
    <row r="5" spans="1:35" s="806" customFormat="1" ht="3.75" customHeight="1" thickBot="1" x14ac:dyDescent="0.4">
      <c r="A5" s="809"/>
      <c r="B5" s="809"/>
      <c r="C5" s="809"/>
      <c r="D5" s="809"/>
      <c r="E5" s="809"/>
      <c r="F5" s="854"/>
      <c r="G5" s="854"/>
      <c r="H5" s="854"/>
      <c r="I5" s="854"/>
      <c r="J5" s="854"/>
      <c r="K5" s="854"/>
      <c r="L5" s="854"/>
      <c r="M5" s="854"/>
      <c r="N5" s="854"/>
      <c r="O5" s="854"/>
      <c r="P5" s="854"/>
      <c r="Q5" s="854"/>
      <c r="R5" s="854"/>
      <c r="S5" s="854"/>
      <c r="T5" s="854"/>
      <c r="U5" s="854"/>
      <c r="V5" s="854"/>
      <c r="W5" s="854"/>
      <c r="X5" s="854"/>
      <c r="Y5" s="828"/>
      <c r="Z5" s="828"/>
      <c r="AA5" s="828"/>
      <c r="AB5" s="828"/>
      <c r="AC5" s="828"/>
      <c r="AD5" s="828"/>
      <c r="AE5" s="828"/>
      <c r="AF5" s="828"/>
      <c r="AG5" s="828"/>
      <c r="AH5" s="828"/>
    </row>
    <row r="6" spans="1:35" s="761" customFormat="1" ht="23.25" customHeight="1" thickTop="1" x14ac:dyDescent="0.25">
      <c r="A6" s="1087" t="s">
        <v>91</v>
      </c>
      <c r="B6" s="1060" t="s">
        <v>2118</v>
      </c>
      <c r="C6" s="1061"/>
      <c r="D6" s="1058" t="s">
        <v>2119</v>
      </c>
      <c r="E6" s="1058" t="s">
        <v>2120</v>
      </c>
      <c r="F6" s="1103" t="s">
        <v>2233</v>
      </c>
      <c r="G6" s="1104"/>
      <c r="H6" s="1104"/>
      <c r="I6" s="1104"/>
      <c r="J6" s="1104"/>
      <c r="K6" s="1104"/>
      <c r="L6" s="1104"/>
      <c r="M6" s="1104"/>
      <c r="N6" s="1104"/>
      <c r="O6" s="1104"/>
      <c r="P6" s="1104"/>
      <c r="Q6" s="1104"/>
      <c r="R6" s="1104"/>
      <c r="S6" s="1104"/>
      <c r="T6" s="1104"/>
      <c r="U6" s="1104"/>
      <c r="V6" s="1104"/>
      <c r="W6" s="1104"/>
      <c r="X6" s="1105"/>
      <c r="Y6" s="1069" t="s">
        <v>2107</v>
      </c>
      <c r="Z6" s="1053" t="s">
        <v>104</v>
      </c>
      <c r="AA6" s="1054"/>
      <c r="AB6" s="1054"/>
      <c r="AC6" s="1055"/>
      <c r="AD6" s="1048" t="s">
        <v>99</v>
      </c>
      <c r="AE6" s="1048" t="s">
        <v>2108</v>
      </c>
      <c r="AF6" s="1048" t="s">
        <v>103</v>
      </c>
      <c r="AG6" s="1067" t="s">
        <v>2121</v>
      </c>
      <c r="AH6" s="855"/>
    </row>
    <row r="7" spans="1:35" s="761" customFormat="1" ht="174" customHeight="1" x14ac:dyDescent="0.25">
      <c r="A7" s="1088"/>
      <c r="B7" s="1062"/>
      <c r="C7" s="1063"/>
      <c r="D7" s="1059"/>
      <c r="E7" s="1059"/>
      <c r="F7" s="722" t="s">
        <v>2166</v>
      </c>
      <c r="G7" s="703" t="s">
        <v>2095</v>
      </c>
      <c r="H7" s="726" t="s">
        <v>2097</v>
      </c>
      <c r="I7" s="722" t="s">
        <v>2167</v>
      </c>
      <c r="J7" s="723" t="s">
        <v>2168</v>
      </c>
      <c r="K7" s="722" t="s">
        <v>2169</v>
      </c>
      <c r="L7" s="733" t="s">
        <v>2170</v>
      </c>
      <c r="M7" s="703" t="s">
        <v>2171</v>
      </c>
      <c r="N7" s="733" t="s">
        <v>2172</v>
      </c>
      <c r="O7" s="703" t="s">
        <v>2173</v>
      </c>
      <c r="P7" s="733" t="s">
        <v>2174</v>
      </c>
      <c r="Q7" s="704" t="s">
        <v>2175</v>
      </c>
      <c r="R7" s="703" t="s">
        <v>2176</v>
      </c>
      <c r="S7" s="733" t="s">
        <v>2177</v>
      </c>
      <c r="T7" s="722" t="s">
        <v>2178</v>
      </c>
      <c r="U7" s="703" t="s">
        <v>2113</v>
      </c>
      <c r="V7" s="703" t="s">
        <v>2179</v>
      </c>
      <c r="W7" s="722" t="s">
        <v>2180</v>
      </c>
      <c r="X7" s="703" t="s">
        <v>2117</v>
      </c>
      <c r="Y7" s="1070"/>
      <c r="Z7" s="718" t="s">
        <v>108</v>
      </c>
      <c r="AA7" s="718" t="s">
        <v>97</v>
      </c>
      <c r="AB7" s="718" t="s">
        <v>96</v>
      </c>
      <c r="AC7" s="719" t="s">
        <v>98</v>
      </c>
      <c r="AD7" s="1049"/>
      <c r="AE7" s="1049"/>
      <c r="AF7" s="1049"/>
      <c r="AG7" s="1068"/>
      <c r="AH7" s="855"/>
    </row>
    <row r="8" spans="1:35" s="784" customFormat="1" ht="18" customHeight="1" x14ac:dyDescent="0.25">
      <c r="A8" s="754">
        <v>1</v>
      </c>
      <c r="B8" s="752"/>
      <c r="C8" s="743">
        <v>2026</v>
      </c>
      <c r="D8" s="690" t="s">
        <v>3655</v>
      </c>
      <c r="E8" s="755" t="s">
        <v>3656</v>
      </c>
      <c r="F8" s="756"/>
      <c r="G8" s="756"/>
      <c r="H8" s="756"/>
      <c r="I8" s="756"/>
      <c r="J8" s="756"/>
      <c r="K8" s="756"/>
      <c r="L8" s="756"/>
      <c r="M8" s="756"/>
      <c r="N8" s="756"/>
      <c r="O8" s="756"/>
      <c r="P8" s="756"/>
      <c r="Q8" s="756"/>
      <c r="R8" s="756"/>
      <c r="S8" s="756"/>
      <c r="T8" s="756"/>
      <c r="U8" s="756"/>
      <c r="V8" s="756"/>
      <c r="W8" s="756"/>
      <c r="X8" s="756"/>
      <c r="Y8" s="776">
        <f>SUM(F8:X8)/19</f>
        <v>0</v>
      </c>
      <c r="Z8" s="705"/>
      <c r="AA8" s="705"/>
      <c r="AB8" s="705"/>
      <c r="AC8" s="776">
        <f>SUM(Z8:AB8)/3</f>
        <v>0</v>
      </c>
      <c r="AD8" s="776">
        <f>SUM(Y8+AC8)/2</f>
        <v>0</v>
      </c>
      <c r="AE8" s="778"/>
      <c r="AF8" s="813"/>
      <c r="AG8" s="694" t="s">
        <v>2499</v>
      </c>
      <c r="AH8" s="856"/>
      <c r="AI8" s="781" t="e">
        <f t="shared" ref="AI8:AI54" si="0">AVERAGE(F8:X8)</f>
        <v>#DIV/0!</v>
      </c>
    </row>
    <row r="9" spans="1:35" s="784" customFormat="1" ht="18" customHeight="1" x14ac:dyDescent="0.25">
      <c r="A9" s="749">
        <v>2</v>
      </c>
      <c r="B9" s="745"/>
      <c r="C9" s="746">
        <v>2026</v>
      </c>
      <c r="D9" s="685" t="s">
        <v>3657</v>
      </c>
      <c r="E9" s="712" t="s">
        <v>3658</v>
      </c>
      <c r="F9" s="757"/>
      <c r="G9" s="757"/>
      <c r="H9" s="757"/>
      <c r="I9" s="757"/>
      <c r="J9" s="757"/>
      <c r="K9" s="757"/>
      <c r="L9" s="757"/>
      <c r="M9" s="757"/>
      <c r="N9" s="757"/>
      <c r="O9" s="757"/>
      <c r="P9" s="757"/>
      <c r="Q9" s="757"/>
      <c r="R9" s="757"/>
      <c r="S9" s="757"/>
      <c r="T9" s="757"/>
      <c r="U9" s="757"/>
      <c r="V9" s="757"/>
      <c r="W9" s="757"/>
      <c r="X9" s="757"/>
      <c r="Y9" s="782">
        <f>SUM(F9:X9)/19</f>
        <v>0</v>
      </c>
      <c r="Z9" s="707"/>
      <c r="AA9" s="707"/>
      <c r="AB9" s="707"/>
      <c r="AC9" s="782"/>
      <c r="AD9" s="782"/>
      <c r="AE9" s="778"/>
      <c r="AF9" s="814"/>
      <c r="AG9" s="695" t="s">
        <v>3643</v>
      </c>
      <c r="AH9" s="856"/>
      <c r="AI9" s="781" t="e">
        <f t="shared" si="0"/>
        <v>#DIV/0!</v>
      </c>
    </row>
    <row r="10" spans="1:35" s="784" customFormat="1" ht="18" customHeight="1" x14ac:dyDescent="0.25">
      <c r="A10" s="749">
        <v>3</v>
      </c>
      <c r="B10" s="745"/>
      <c r="C10" s="746">
        <v>2026</v>
      </c>
      <c r="D10" s="685" t="s">
        <v>3659</v>
      </c>
      <c r="E10" s="712" t="s">
        <v>3189</v>
      </c>
      <c r="F10" s="757"/>
      <c r="G10" s="757"/>
      <c r="H10" s="757"/>
      <c r="I10" s="757"/>
      <c r="J10" s="757"/>
      <c r="K10" s="757"/>
      <c r="L10" s="757"/>
      <c r="M10" s="757"/>
      <c r="N10" s="757"/>
      <c r="O10" s="757"/>
      <c r="P10" s="757"/>
      <c r="Q10" s="757"/>
      <c r="R10" s="757"/>
      <c r="S10" s="757"/>
      <c r="T10" s="757"/>
      <c r="U10" s="757"/>
      <c r="V10" s="757"/>
      <c r="W10" s="757"/>
      <c r="X10" s="757"/>
      <c r="Y10" s="782">
        <f t="shared" ref="Y10:Y98" si="1">SUM(F10:X10)/19</f>
        <v>0</v>
      </c>
      <c r="Z10" s="707"/>
      <c r="AA10" s="707"/>
      <c r="AB10" s="707"/>
      <c r="AC10" s="782"/>
      <c r="AD10" s="782"/>
      <c r="AE10" s="778"/>
      <c r="AF10" s="814"/>
      <c r="AG10" s="695" t="s">
        <v>3234</v>
      </c>
      <c r="AH10" s="856"/>
      <c r="AI10" s="781" t="e">
        <f t="shared" si="0"/>
        <v>#DIV/0!</v>
      </c>
    </row>
    <row r="11" spans="1:35" s="784" customFormat="1" ht="18" customHeight="1" x14ac:dyDescent="0.25">
      <c r="A11" s="749">
        <v>4</v>
      </c>
      <c r="B11" s="745"/>
      <c r="C11" s="746">
        <v>2026</v>
      </c>
      <c r="D11" s="685" t="s">
        <v>3660</v>
      </c>
      <c r="E11" s="712" t="s">
        <v>3318</v>
      </c>
      <c r="F11" s="757"/>
      <c r="G11" s="757"/>
      <c r="H11" s="757"/>
      <c r="I11" s="757"/>
      <c r="J11" s="757"/>
      <c r="K11" s="757"/>
      <c r="L11" s="757"/>
      <c r="M11" s="757"/>
      <c r="N11" s="757"/>
      <c r="O11" s="757"/>
      <c r="P11" s="757"/>
      <c r="Q11" s="757"/>
      <c r="R11" s="757"/>
      <c r="S11" s="757"/>
      <c r="T11" s="757"/>
      <c r="U11" s="757"/>
      <c r="V11" s="757"/>
      <c r="W11" s="757"/>
      <c r="X11" s="757"/>
      <c r="Y11" s="782">
        <f t="shared" si="1"/>
        <v>0</v>
      </c>
      <c r="Z11" s="707"/>
      <c r="AA11" s="707"/>
      <c r="AB11" s="707"/>
      <c r="AC11" s="782"/>
      <c r="AD11" s="782"/>
      <c r="AE11" s="778"/>
      <c r="AF11" s="814"/>
      <c r="AG11" s="695" t="s">
        <v>2997</v>
      </c>
      <c r="AH11" s="856"/>
      <c r="AI11" s="781" t="e">
        <f t="shared" si="0"/>
        <v>#DIV/0!</v>
      </c>
    </row>
    <row r="12" spans="1:35" s="784" customFormat="1" ht="18" customHeight="1" x14ac:dyDescent="0.25">
      <c r="A12" s="749">
        <v>5</v>
      </c>
      <c r="B12" s="745"/>
      <c r="C12" s="746">
        <v>2026</v>
      </c>
      <c r="D12" s="685" t="s">
        <v>3661</v>
      </c>
      <c r="E12" s="712" t="s">
        <v>3298</v>
      </c>
      <c r="F12" s="757"/>
      <c r="G12" s="757"/>
      <c r="H12" s="757"/>
      <c r="I12" s="757"/>
      <c r="J12" s="757"/>
      <c r="K12" s="757"/>
      <c r="L12" s="757"/>
      <c r="M12" s="757"/>
      <c r="N12" s="757"/>
      <c r="O12" s="757"/>
      <c r="P12" s="757"/>
      <c r="Q12" s="757"/>
      <c r="R12" s="757"/>
      <c r="S12" s="757"/>
      <c r="T12" s="757"/>
      <c r="U12" s="757"/>
      <c r="V12" s="757"/>
      <c r="W12" s="757"/>
      <c r="X12" s="757"/>
      <c r="Y12" s="782">
        <f t="shared" si="1"/>
        <v>0</v>
      </c>
      <c r="Z12" s="707"/>
      <c r="AA12" s="707"/>
      <c r="AB12" s="707"/>
      <c r="AC12" s="782"/>
      <c r="AD12" s="782"/>
      <c r="AE12" s="778"/>
      <c r="AF12" s="814"/>
      <c r="AG12" s="695" t="s">
        <v>2972</v>
      </c>
      <c r="AH12" s="856"/>
      <c r="AI12" s="781" t="e">
        <f t="shared" si="0"/>
        <v>#DIV/0!</v>
      </c>
    </row>
    <row r="13" spans="1:35" s="784" customFormat="1" ht="18" customHeight="1" x14ac:dyDescent="0.25">
      <c r="A13" s="749">
        <v>6</v>
      </c>
      <c r="B13" s="745"/>
      <c r="C13" s="746">
        <v>2026</v>
      </c>
      <c r="D13" s="685" t="s">
        <v>3662</v>
      </c>
      <c r="E13" s="712" t="s">
        <v>3663</v>
      </c>
      <c r="F13" s="757"/>
      <c r="G13" s="757"/>
      <c r="H13" s="757"/>
      <c r="I13" s="757"/>
      <c r="J13" s="757"/>
      <c r="K13" s="757"/>
      <c r="L13" s="757"/>
      <c r="M13" s="757"/>
      <c r="N13" s="757"/>
      <c r="O13" s="757"/>
      <c r="P13" s="757"/>
      <c r="Q13" s="757"/>
      <c r="R13" s="757"/>
      <c r="S13" s="757"/>
      <c r="T13" s="757"/>
      <c r="U13" s="757"/>
      <c r="V13" s="757"/>
      <c r="W13" s="757"/>
      <c r="X13" s="757"/>
      <c r="Y13" s="782">
        <f t="shared" si="1"/>
        <v>0</v>
      </c>
      <c r="Z13" s="707"/>
      <c r="AA13" s="707"/>
      <c r="AB13" s="707"/>
      <c r="AC13" s="782"/>
      <c r="AD13" s="782"/>
      <c r="AE13" s="778"/>
      <c r="AF13" s="814"/>
      <c r="AG13" s="695" t="s">
        <v>3804</v>
      </c>
      <c r="AH13" s="856"/>
      <c r="AI13" s="781" t="e">
        <f t="shared" si="0"/>
        <v>#DIV/0!</v>
      </c>
    </row>
    <row r="14" spans="1:35" s="784" customFormat="1" ht="18" customHeight="1" x14ac:dyDescent="0.25">
      <c r="A14" s="749">
        <v>7</v>
      </c>
      <c r="B14" s="745"/>
      <c r="C14" s="746">
        <v>2026</v>
      </c>
      <c r="D14" s="685" t="s">
        <v>3664</v>
      </c>
      <c r="E14" s="712" t="s">
        <v>3665</v>
      </c>
      <c r="F14" s="757"/>
      <c r="G14" s="757"/>
      <c r="H14" s="757"/>
      <c r="I14" s="757"/>
      <c r="J14" s="757"/>
      <c r="K14" s="757"/>
      <c r="L14" s="757"/>
      <c r="M14" s="757"/>
      <c r="N14" s="757"/>
      <c r="O14" s="757"/>
      <c r="P14" s="757"/>
      <c r="Q14" s="757"/>
      <c r="R14" s="757"/>
      <c r="S14" s="757"/>
      <c r="T14" s="757"/>
      <c r="U14" s="757"/>
      <c r="V14" s="757"/>
      <c r="W14" s="757"/>
      <c r="X14" s="757"/>
      <c r="Y14" s="782">
        <f t="shared" si="1"/>
        <v>0</v>
      </c>
      <c r="Z14" s="707"/>
      <c r="AA14" s="707"/>
      <c r="AB14" s="707"/>
      <c r="AC14" s="782"/>
      <c r="AD14" s="782"/>
      <c r="AE14" s="778"/>
      <c r="AF14" s="814"/>
      <c r="AG14" s="695" t="s">
        <v>3805</v>
      </c>
      <c r="AH14" s="856"/>
      <c r="AI14" s="781" t="e">
        <f t="shared" si="0"/>
        <v>#DIV/0!</v>
      </c>
    </row>
    <row r="15" spans="1:35" s="784" customFormat="1" ht="18" customHeight="1" x14ac:dyDescent="0.25">
      <c r="A15" s="749">
        <v>8</v>
      </c>
      <c r="B15" s="745"/>
      <c r="C15" s="746">
        <v>2026</v>
      </c>
      <c r="D15" s="685" t="s">
        <v>3249</v>
      </c>
      <c r="E15" s="712" t="s">
        <v>3666</v>
      </c>
      <c r="F15" s="757"/>
      <c r="G15" s="757"/>
      <c r="H15" s="757"/>
      <c r="I15" s="757"/>
      <c r="J15" s="757"/>
      <c r="K15" s="757"/>
      <c r="L15" s="757"/>
      <c r="M15" s="757"/>
      <c r="N15" s="757"/>
      <c r="O15" s="757"/>
      <c r="P15" s="757"/>
      <c r="Q15" s="757"/>
      <c r="R15" s="757"/>
      <c r="S15" s="757"/>
      <c r="T15" s="757"/>
      <c r="U15" s="757"/>
      <c r="V15" s="757"/>
      <c r="W15" s="757"/>
      <c r="X15" s="757"/>
      <c r="Y15" s="782">
        <f t="shared" si="1"/>
        <v>0</v>
      </c>
      <c r="Z15" s="707"/>
      <c r="AA15" s="707"/>
      <c r="AB15" s="707"/>
      <c r="AC15" s="782"/>
      <c r="AD15" s="782"/>
      <c r="AE15" s="778"/>
      <c r="AF15" s="814"/>
      <c r="AG15" s="695" t="s">
        <v>3806</v>
      </c>
      <c r="AH15" s="856"/>
      <c r="AI15" s="781" t="e">
        <f t="shared" si="0"/>
        <v>#DIV/0!</v>
      </c>
    </row>
    <row r="16" spans="1:35" s="784" customFormat="1" ht="18" customHeight="1" x14ac:dyDescent="0.25">
      <c r="A16" s="749">
        <v>9</v>
      </c>
      <c r="B16" s="745"/>
      <c r="C16" s="746">
        <v>2026</v>
      </c>
      <c r="D16" s="685" t="s">
        <v>3667</v>
      </c>
      <c r="E16" s="712" t="s">
        <v>982</v>
      </c>
      <c r="F16" s="757"/>
      <c r="G16" s="757"/>
      <c r="H16" s="757"/>
      <c r="I16" s="757"/>
      <c r="J16" s="757"/>
      <c r="K16" s="757"/>
      <c r="L16" s="757"/>
      <c r="M16" s="757"/>
      <c r="N16" s="757"/>
      <c r="O16" s="757"/>
      <c r="P16" s="757"/>
      <c r="Q16" s="757"/>
      <c r="R16" s="757"/>
      <c r="S16" s="757"/>
      <c r="T16" s="757"/>
      <c r="U16" s="757"/>
      <c r="V16" s="757"/>
      <c r="W16" s="757"/>
      <c r="X16" s="757"/>
      <c r="Y16" s="782">
        <f t="shared" si="1"/>
        <v>0</v>
      </c>
      <c r="Z16" s="707"/>
      <c r="AA16" s="707"/>
      <c r="AB16" s="707"/>
      <c r="AC16" s="782"/>
      <c r="AD16" s="782"/>
      <c r="AE16" s="778"/>
      <c r="AF16" s="814"/>
      <c r="AG16" s="695" t="s">
        <v>3807</v>
      </c>
      <c r="AH16" s="856"/>
      <c r="AI16" s="781" t="e">
        <f t="shared" si="0"/>
        <v>#DIV/0!</v>
      </c>
    </row>
    <row r="17" spans="1:35" s="784" customFormat="1" ht="18" customHeight="1" x14ac:dyDescent="0.25">
      <c r="A17" s="749">
        <v>10</v>
      </c>
      <c r="B17" s="745"/>
      <c r="C17" s="746">
        <v>2026</v>
      </c>
      <c r="D17" s="685" t="s">
        <v>3668</v>
      </c>
      <c r="E17" s="712" t="s">
        <v>3669</v>
      </c>
      <c r="F17" s="757"/>
      <c r="G17" s="757"/>
      <c r="H17" s="757"/>
      <c r="I17" s="757"/>
      <c r="J17" s="757"/>
      <c r="K17" s="757"/>
      <c r="L17" s="757"/>
      <c r="M17" s="757"/>
      <c r="N17" s="757"/>
      <c r="O17" s="757"/>
      <c r="P17" s="757"/>
      <c r="Q17" s="757"/>
      <c r="R17" s="757"/>
      <c r="S17" s="757"/>
      <c r="T17" s="757"/>
      <c r="U17" s="757"/>
      <c r="V17" s="757"/>
      <c r="W17" s="757"/>
      <c r="X17" s="757"/>
      <c r="Y17" s="782">
        <f t="shared" si="1"/>
        <v>0</v>
      </c>
      <c r="Z17" s="707"/>
      <c r="AA17" s="707"/>
      <c r="AB17" s="707"/>
      <c r="AC17" s="782"/>
      <c r="AD17" s="782"/>
      <c r="AE17" s="778"/>
      <c r="AF17" s="814"/>
      <c r="AG17" s="695" t="s">
        <v>3198</v>
      </c>
      <c r="AH17" s="856"/>
      <c r="AI17" s="781" t="e">
        <f t="shared" si="0"/>
        <v>#DIV/0!</v>
      </c>
    </row>
    <row r="18" spans="1:35" s="784" customFormat="1" ht="18" customHeight="1" x14ac:dyDescent="0.25">
      <c r="A18" s="749">
        <v>11</v>
      </c>
      <c r="B18" s="745"/>
      <c r="C18" s="746">
        <v>2026</v>
      </c>
      <c r="D18" s="685" t="s">
        <v>3670</v>
      </c>
      <c r="E18" s="712" t="s">
        <v>3671</v>
      </c>
      <c r="F18" s="757"/>
      <c r="G18" s="757"/>
      <c r="H18" s="757"/>
      <c r="I18" s="757"/>
      <c r="J18" s="757"/>
      <c r="K18" s="757"/>
      <c r="L18" s="757"/>
      <c r="M18" s="757"/>
      <c r="N18" s="757"/>
      <c r="O18" s="757"/>
      <c r="P18" s="757"/>
      <c r="Q18" s="757"/>
      <c r="R18" s="757"/>
      <c r="S18" s="757"/>
      <c r="T18" s="757"/>
      <c r="U18" s="757"/>
      <c r="V18" s="757"/>
      <c r="W18" s="757"/>
      <c r="X18" s="757"/>
      <c r="Y18" s="782">
        <f t="shared" si="1"/>
        <v>0</v>
      </c>
      <c r="Z18" s="707"/>
      <c r="AA18" s="707"/>
      <c r="AB18" s="707"/>
      <c r="AC18" s="782"/>
      <c r="AD18" s="782"/>
      <c r="AE18" s="778"/>
      <c r="AF18" s="814"/>
      <c r="AG18" s="695" t="s">
        <v>3808</v>
      </c>
      <c r="AH18" s="856"/>
      <c r="AI18" s="781" t="e">
        <f t="shared" si="0"/>
        <v>#DIV/0!</v>
      </c>
    </row>
    <row r="19" spans="1:35" s="784" customFormat="1" ht="18" customHeight="1" x14ac:dyDescent="0.25">
      <c r="A19" s="749">
        <v>12</v>
      </c>
      <c r="B19" s="745"/>
      <c r="C19" s="746">
        <v>2026</v>
      </c>
      <c r="D19" s="685" t="s">
        <v>3672</v>
      </c>
      <c r="E19" s="712" t="s">
        <v>3285</v>
      </c>
      <c r="F19" s="757"/>
      <c r="G19" s="757"/>
      <c r="H19" s="757"/>
      <c r="I19" s="757"/>
      <c r="J19" s="757"/>
      <c r="K19" s="757"/>
      <c r="L19" s="757"/>
      <c r="M19" s="757"/>
      <c r="N19" s="757"/>
      <c r="O19" s="757"/>
      <c r="P19" s="757"/>
      <c r="Q19" s="757"/>
      <c r="R19" s="757"/>
      <c r="S19" s="757"/>
      <c r="T19" s="757"/>
      <c r="U19" s="757"/>
      <c r="V19" s="757"/>
      <c r="W19" s="757"/>
      <c r="X19" s="757"/>
      <c r="Y19" s="782">
        <f t="shared" si="1"/>
        <v>0</v>
      </c>
      <c r="Z19" s="707"/>
      <c r="AA19" s="707"/>
      <c r="AB19" s="707"/>
      <c r="AC19" s="782"/>
      <c r="AD19" s="782"/>
      <c r="AE19" s="778"/>
      <c r="AF19" s="814"/>
      <c r="AG19" s="695" t="s">
        <v>3203</v>
      </c>
      <c r="AH19" s="856"/>
      <c r="AI19" s="781" t="e">
        <f t="shared" si="0"/>
        <v>#DIV/0!</v>
      </c>
    </row>
    <row r="20" spans="1:35" s="784" customFormat="1" ht="18" customHeight="1" x14ac:dyDescent="0.25">
      <c r="A20" s="749">
        <v>13</v>
      </c>
      <c r="B20" s="745"/>
      <c r="C20" s="746">
        <v>2026</v>
      </c>
      <c r="D20" s="685" t="s">
        <v>3673</v>
      </c>
      <c r="E20" s="712" t="s">
        <v>3674</v>
      </c>
      <c r="F20" s="757"/>
      <c r="G20" s="757"/>
      <c r="H20" s="757"/>
      <c r="I20" s="757"/>
      <c r="J20" s="757"/>
      <c r="K20" s="757"/>
      <c r="L20" s="757"/>
      <c r="M20" s="757"/>
      <c r="N20" s="757"/>
      <c r="O20" s="757"/>
      <c r="P20" s="757"/>
      <c r="Q20" s="757"/>
      <c r="R20" s="757"/>
      <c r="S20" s="757"/>
      <c r="T20" s="757"/>
      <c r="U20" s="757"/>
      <c r="V20" s="757"/>
      <c r="W20" s="757"/>
      <c r="X20" s="757"/>
      <c r="Y20" s="782">
        <f t="shared" si="1"/>
        <v>0</v>
      </c>
      <c r="Z20" s="707"/>
      <c r="AA20" s="707"/>
      <c r="AB20" s="707"/>
      <c r="AC20" s="782"/>
      <c r="AD20" s="782"/>
      <c r="AE20" s="778"/>
      <c r="AF20" s="814"/>
      <c r="AG20" s="695" t="s">
        <v>2521</v>
      </c>
      <c r="AH20" s="856"/>
      <c r="AI20" s="781" t="e">
        <f t="shared" si="0"/>
        <v>#DIV/0!</v>
      </c>
    </row>
    <row r="21" spans="1:35" s="784" customFormat="1" ht="18" customHeight="1" x14ac:dyDescent="0.25">
      <c r="A21" s="749">
        <v>14</v>
      </c>
      <c r="B21" s="745"/>
      <c r="C21" s="746">
        <v>2026</v>
      </c>
      <c r="D21" s="685" t="s">
        <v>3675</v>
      </c>
      <c r="E21" s="712" t="s">
        <v>3349</v>
      </c>
      <c r="F21" s="757"/>
      <c r="G21" s="757"/>
      <c r="H21" s="757"/>
      <c r="I21" s="757"/>
      <c r="J21" s="757"/>
      <c r="K21" s="757"/>
      <c r="L21" s="757"/>
      <c r="M21" s="757"/>
      <c r="N21" s="757"/>
      <c r="O21" s="757"/>
      <c r="P21" s="757"/>
      <c r="Q21" s="757"/>
      <c r="R21" s="757"/>
      <c r="S21" s="757"/>
      <c r="T21" s="757"/>
      <c r="U21" s="757"/>
      <c r="V21" s="757"/>
      <c r="W21" s="757"/>
      <c r="X21" s="757"/>
      <c r="Y21" s="782">
        <f t="shared" si="1"/>
        <v>0</v>
      </c>
      <c r="Z21" s="707"/>
      <c r="AA21" s="707"/>
      <c r="AB21" s="707"/>
      <c r="AC21" s="782"/>
      <c r="AD21" s="782"/>
      <c r="AE21" s="778"/>
      <c r="AF21" s="814"/>
      <c r="AG21" s="695" t="s">
        <v>2506</v>
      </c>
      <c r="AH21" s="856"/>
      <c r="AI21" s="781" t="e">
        <f t="shared" si="0"/>
        <v>#DIV/0!</v>
      </c>
    </row>
    <row r="22" spans="1:35" s="784" customFormat="1" ht="18" customHeight="1" x14ac:dyDescent="0.25">
      <c r="A22" s="749">
        <v>15</v>
      </c>
      <c r="B22" s="745"/>
      <c r="C22" s="746">
        <v>2026</v>
      </c>
      <c r="D22" s="685" t="s">
        <v>3676</v>
      </c>
      <c r="E22" s="712" t="s">
        <v>720</v>
      </c>
      <c r="F22" s="757"/>
      <c r="G22" s="757"/>
      <c r="H22" s="757"/>
      <c r="I22" s="757"/>
      <c r="J22" s="757"/>
      <c r="K22" s="757"/>
      <c r="L22" s="757"/>
      <c r="M22" s="757"/>
      <c r="N22" s="757"/>
      <c r="O22" s="757"/>
      <c r="P22" s="757"/>
      <c r="Q22" s="757"/>
      <c r="R22" s="757"/>
      <c r="S22" s="757"/>
      <c r="T22" s="757"/>
      <c r="U22" s="757"/>
      <c r="V22" s="757"/>
      <c r="W22" s="757"/>
      <c r="X22" s="757"/>
      <c r="Y22" s="782">
        <f t="shared" si="1"/>
        <v>0</v>
      </c>
      <c r="Z22" s="707"/>
      <c r="AA22" s="707"/>
      <c r="AB22" s="707"/>
      <c r="AC22" s="782"/>
      <c r="AD22" s="782"/>
      <c r="AE22" s="778"/>
      <c r="AF22" s="814"/>
      <c r="AG22" s="695" t="s">
        <v>3461</v>
      </c>
      <c r="AH22" s="856"/>
      <c r="AI22" s="781" t="e">
        <f t="shared" si="0"/>
        <v>#DIV/0!</v>
      </c>
    </row>
    <row r="23" spans="1:35" s="784" customFormat="1" ht="18" customHeight="1" x14ac:dyDescent="0.25">
      <c r="A23" s="749">
        <v>16</v>
      </c>
      <c r="B23" s="745"/>
      <c r="C23" s="746">
        <v>2026</v>
      </c>
      <c r="D23" s="685" t="s">
        <v>3677</v>
      </c>
      <c r="E23" s="712" t="s">
        <v>3678</v>
      </c>
      <c r="F23" s="757"/>
      <c r="G23" s="757"/>
      <c r="H23" s="757"/>
      <c r="I23" s="757"/>
      <c r="J23" s="757"/>
      <c r="K23" s="757"/>
      <c r="L23" s="757"/>
      <c r="M23" s="757"/>
      <c r="N23" s="757"/>
      <c r="O23" s="757"/>
      <c r="P23" s="757"/>
      <c r="Q23" s="757"/>
      <c r="R23" s="757"/>
      <c r="S23" s="757"/>
      <c r="T23" s="757"/>
      <c r="U23" s="757"/>
      <c r="V23" s="757"/>
      <c r="W23" s="757"/>
      <c r="X23" s="757"/>
      <c r="Y23" s="782">
        <f t="shared" si="1"/>
        <v>0</v>
      </c>
      <c r="Z23" s="707"/>
      <c r="AA23" s="707"/>
      <c r="AB23" s="707"/>
      <c r="AC23" s="782"/>
      <c r="AD23" s="782"/>
      <c r="AE23" s="778"/>
      <c r="AF23" s="814"/>
      <c r="AG23" s="695" t="s">
        <v>2986</v>
      </c>
      <c r="AH23" s="856"/>
      <c r="AI23" s="781" t="e">
        <f t="shared" si="0"/>
        <v>#DIV/0!</v>
      </c>
    </row>
    <row r="24" spans="1:35" s="784" customFormat="1" ht="18" customHeight="1" x14ac:dyDescent="0.25">
      <c r="A24" s="749">
        <v>17</v>
      </c>
      <c r="B24" s="745"/>
      <c r="C24" s="746">
        <v>2026</v>
      </c>
      <c r="D24" s="685" t="s">
        <v>3379</v>
      </c>
      <c r="E24" s="712" t="s">
        <v>3679</v>
      </c>
      <c r="F24" s="757"/>
      <c r="G24" s="757"/>
      <c r="H24" s="757"/>
      <c r="I24" s="757"/>
      <c r="J24" s="757"/>
      <c r="K24" s="757"/>
      <c r="L24" s="757"/>
      <c r="M24" s="757"/>
      <c r="N24" s="757"/>
      <c r="O24" s="757"/>
      <c r="P24" s="757"/>
      <c r="Q24" s="757"/>
      <c r="R24" s="757"/>
      <c r="S24" s="757"/>
      <c r="T24" s="757"/>
      <c r="U24" s="757"/>
      <c r="V24" s="757"/>
      <c r="W24" s="757"/>
      <c r="X24" s="757"/>
      <c r="Y24" s="782">
        <f t="shared" si="1"/>
        <v>0</v>
      </c>
      <c r="Z24" s="707"/>
      <c r="AA24" s="707"/>
      <c r="AB24" s="707"/>
      <c r="AC24" s="782"/>
      <c r="AD24" s="782"/>
      <c r="AE24" s="778"/>
      <c r="AF24" s="814"/>
      <c r="AG24" s="695" t="s">
        <v>2242</v>
      </c>
      <c r="AH24" s="856"/>
      <c r="AI24" s="781" t="e">
        <f t="shared" si="0"/>
        <v>#DIV/0!</v>
      </c>
    </row>
    <row r="25" spans="1:35" s="784" customFormat="1" ht="18" customHeight="1" x14ac:dyDescent="0.25">
      <c r="A25" s="749">
        <v>18</v>
      </c>
      <c r="B25" s="745"/>
      <c r="C25" s="746">
        <v>2026</v>
      </c>
      <c r="D25" s="685" t="s">
        <v>3680</v>
      </c>
      <c r="E25" s="712" t="s">
        <v>3681</v>
      </c>
      <c r="F25" s="757"/>
      <c r="G25" s="757"/>
      <c r="H25" s="757"/>
      <c r="I25" s="757"/>
      <c r="J25" s="757"/>
      <c r="K25" s="757"/>
      <c r="L25" s="757"/>
      <c r="M25" s="757"/>
      <c r="N25" s="757"/>
      <c r="O25" s="757"/>
      <c r="P25" s="757"/>
      <c r="Q25" s="757"/>
      <c r="R25" s="757"/>
      <c r="S25" s="757"/>
      <c r="T25" s="757"/>
      <c r="U25" s="757"/>
      <c r="V25" s="757"/>
      <c r="W25" s="757"/>
      <c r="X25" s="757"/>
      <c r="Y25" s="782">
        <f t="shared" si="1"/>
        <v>0</v>
      </c>
      <c r="Z25" s="707"/>
      <c r="AA25" s="707"/>
      <c r="AB25" s="707"/>
      <c r="AC25" s="782"/>
      <c r="AD25" s="782"/>
      <c r="AE25" s="778"/>
      <c r="AF25" s="814"/>
      <c r="AG25" s="695" t="s">
        <v>3809</v>
      </c>
      <c r="AH25" s="856"/>
      <c r="AI25" s="781" t="e">
        <f t="shared" si="0"/>
        <v>#DIV/0!</v>
      </c>
    </row>
    <row r="26" spans="1:35" s="784" customFormat="1" ht="18" customHeight="1" x14ac:dyDescent="0.25">
      <c r="A26" s="749">
        <v>19</v>
      </c>
      <c r="B26" s="745"/>
      <c r="C26" s="746">
        <v>2026</v>
      </c>
      <c r="D26" s="685" t="s">
        <v>3682</v>
      </c>
      <c r="E26" s="712" t="s">
        <v>2396</v>
      </c>
      <c r="F26" s="757"/>
      <c r="G26" s="757"/>
      <c r="H26" s="757"/>
      <c r="I26" s="757"/>
      <c r="J26" s="757"/>
      <c r="K26" s="757"/>
      <c r="L26" s="757"/>
      <c r="M26" s="757"/>
      <c r="N26" s="757"/>
      <c r="O26" s="757"/>
      <c r="P26" s="757"/>
      <c r="Q26" s="757"/>
      <c r="R26" s="757"/>
      <c r="S26" s="757"/>
      <c r="T26" s="757"/>
      <c r="U26" s="757"/>
      <c r="V26" s="757"/>
      <c r="W26" s="757"/>
      <c r="X26" s="757"/>
      <c r="Y26" s="782">
        <f t="shared" si="1"/>
        <v>0</v>
      </c>
      <c r="Z26" s="707"/>
      <c r="AA26" s="707"/>
      <c r="AB26" s="707"/>
      <c r="AC26" s="782"/>
      <c r="AD26" s="782"/>
      <c r="AE26" s="778"/>
      <c r="AF26" s="814"/>
      <c r="AG26" s="695" t="s">
        <v>3810</v>
      </c>
      <c r="AH26" s="856"/>
      <c r="AI26" s="781" t="e">
        <f t="shared" si="0"/>
        <v>#DIV/0!</v>
      </c>
    </row>
    <row r="27" spans="1:35" s="784" customFormat="1" ht="18" customHeight="1" x14ac:dyDescent="0.25">
      <c r="A27" s="749">
        <v>20</v>
      </c>
      <c r="B27" s="745"/>
      <c r="C27" s="746">
        <v>2026</v>
      </c>
      <c r="D27" s="685" t="s">
        <v>3683</v>
      </c>
      <c r="E27" s="712" t="s">
        <v>3272</v>
      </c>
      <c r="F27" s="757"/>
      <c r="G27" s="757"/>
      <c r="H27" s="757"/>
      <c r="I27" s="757"/>
      <c r="J27" s="757"/>
      <c r="K27" s="757"/>
      <c r="L27" s="757"/>
      <c r="M27" s="757"/>
      <c r="N27" s="757"/>
      <c r="O27" s="757"/>
      <c r="P27" s="757"/>
      <c r="Q27" s="757"/>
      <c r="R27" s="757"/>
      <c r="S27" s="757"/>
      <c r="T27" s="757"/>
      <c r="U27" s="757"/>
      <c r="V27" s="757"/>
      <c r="W27" s="757"/>
      <c r="X27" s="757"/>
      <c r="Y27" s="782">
        <f t="shared" si="1"/>
        <v>0</v>
      </c>
      <c r="Z27" s="707"/>
      <c r="AA27" s="707"/>
      <c r="AB27" s="707"/>
      <c r="AC27" s="782"/>
      <c r="AD27" s="782"/>
      <c r="AE27" s="778"/>
      <c r="AF27" s="814"/>
      <c r="AG27" s="695" t="s">
        <v>3811</v>
      </c>
      <c r="AH27" s="856"/>
      <c r="AI27" s="781" t="e">
        <f t="shared" si="0"/>
        <v>#DIV/0!</v>
      </c>
    </row>
    <row r="28" spans="1:35" s="784" customFormat="1" ht="18" customHeight="1" x14ac:dyDescent="0.25">
      <c r="A28" s="749">
        <v>21</v>
      </c>
      <c r="B28" s="745"/>
      <c r="C28" s="746">
        <v>2026</v>
      </c>
      <c r="D28" s="685" t="s">
        <v>3268</v>
      </c>
      <c r="E28" s="712" t="s">
        <v>3684</v>
      </c>
      <c r="F28" s="757"/>
      <c r="G28" s="757"/>
      <c r="H28" s="757"/>
      <c r="I28" s="757"/>
      <c r="J28" s="757"/>
      <c r="K28" s="757"/>
      <c r="L28" s="757"/>
      <c r="M28" s="757"/>
      <c r="N28" s="757"/>
      <c r="O28" s="757"/>
      <c r="P28" s="757"/>
      <c r="Q28" s="757"/>
      <c r="R28" s="757"/>
      <c r="S28" s="757"/>
      <c r="T28" s="757"/>
      <c r="U28" s="757"/>
      <c r="V28" s="757"/>
      <c r="W28" s="757"/>
      <c r="X28" s="757"/>
      <c r="Y28" s="782">
        <f t="shared" si="1"/>
        <v>0</v>
      </c>
      <c r="Z28" s="707"/>
      <c r="AA28" s="707"/>
      <c r="AB28" s="707"/>
      <c r="AC28" s="782"/>
      <c r="AD28" s="782"/>
      <c r="AE28" s="778"/>
      <c r="AF28" s="814"/>
      <c r="AG28" s="695" t="s">
        <v>2968</v>
      </c>
      <c r="AH28" s="856"/>
      <c r="AI28" s="781" t="e">
        <f t="shared" si="0"/>
        <v>#DIV/0!</v>
      </c>
    </row>
    <row r="29" spans="1:35" s="784" customFormat="1" ht="18" customHeight="1" x14ac:dyDescent="0.25">
      <c r="A29" s="749">
        <v>22</v>
      </c>
      <c r="B29" s="745"/>
      <c r="C29" s="746">
        <v>2026</v>
      </c>
      <c r="D29" s="685" t="s">
        <v>3685</v>
      </c>
      <c r="E29" s="712" t="s">
        <v>3656</v>
      </c>
      <c r="F29" s="757"/>
      <c r="G29" s="757"/>
      <c r="H29" s="757"/>
      <c r="I29" s="757"/>
      <c r="J29" s="757"/>
      <c r="K29" s="757"/>
      <c r="L29" s="757"/>
      <c r="M29" s="757"/>
      <c r="N29" s="757"/>
      <c r="O29" s="757"/>
      <c r="P29" s="757"/>
      <c r="Q29" s="757"/>
      <c r="R29" s="757"/>
      <c r="S29" s="757"/>
      <c r="T29" s="757"/>
      <c r="U29" s="757"/>
      <c r="V29" s="757"/>
      <c r="W29" s="757"/>
      <c r="X29" s="757"/>
      <c r="Y29" s="782">
        <f t="shared" si="1"/>
        <v>0</v>
      </c>
      <c r="Z29" s="707"/>
      <c r="AA29" s="707"/>
      <c r="AB29" s="707"/>
      <c r="AC29" s="782"/>
      <c r="AD29" s="782"/>
      <c r="AE29" s="778"/>
      <c r="AF29" s="814"/>
      <c r="AG29" s="695" t="s">
        <v>3812</v>
      </c>
      <c r="AH29" s="856"/>
      <c r="AI29" s="781" t="e">
        <f t="shared" si="0"/>
        <v>#DIV/0!</v>
      </c>
    </row>
    <row r="30" spans="1:35" s="784" customFormat="1" ht="18" customHeight="1" x14ac:dyDescent="0.25">
      <c r="A30" s="749">
        <v>23</v>
      </c>
      <c r="B30" s="745"/>
      <c r="C30" s="746">
        <v>2026</v>
      </c>
      <c r="D30" s="685" t="s">
        <v>2786</v>
      </c>
      <c r="E30" s="712" t="s">
        <v>3686</v>
      </c>
      <c r="F30" s="757"/>
      <c r="G30" s="757"/>
      <c r="H30" s="757"/>
      <c r="I30" s="757"/>
      <c r="J30" s="757"/>
      <c r="K30" s="757"/>
      <c r="L30" s="757"/>
      <c r="M30" s="757"/>
      <c r="N30" s="757"/>
      <c r="O30" s="757"/>
      <c r="P30" s="757"/>
      <c r="Q30" s="757"/>
      <c r="R30" s="757"/>
      <c r="S30" s="757"/>
      <c r="T30" s="757"/>
      <c r="U30" s="757"/>
      <c r="V30" s="757"/>
      <c r="W30" s="757"/>
      <c r="X30" s="757"/>
      <c r="Y30" s="782">
        <f t="shared" si="1"/>
        <v>0</v>
      </c>
      <c r="Z30" s="707"/>
      <c r="AA30" s="707"/>
      <c r="AB30" s="707"/>
      <c r="AC30" s="782"/>
      <c r="AD30" s="782"/>
      <c r="AE30" s="778"/>
      <c r="AF30" s="814"/>
      <c r="AG30" s="695" t="s">
        <v>2989</v>
      </c>
      <c r="AH30" s="856"/>
      <c r="AI30" s="781" t="e">
        <f t="shared" si="0"/>
        <v>#DIV/0!</v>
      </c>
    </row>
    <row r="31" spans="1:35" s="784" customFormat="1" ht="18" customHeight="1" x14ac:dyDescent="0.25">
      <c r="A31" s="749">
        <v>24</v>
      </c>
      <c r="B31" s="745"/>
      <c r="C31" s="746">
        <v>2026</v>
      </c>
      <c r="D31" s="685" t="s">
        <v>3687</v>
      </c>
      <c r="E31" s="712" t="s">
        <v>2363</v>
      </c>
      <c r="F31" s="757"/>
      <c r="G31" s="757"/>
      <c r="H31" s="757"/>
      <c r="I31" s="757"/>
      <c r="J31" s="757"/>
      <c r="K31" s="757"/>
      <c r="L31" s="757"/>
      <c r="M31" s="757"/>
      <c r="N31" s="757"/>
      <c r="O31" s="757"/>
      <c r="P31" s="757"/>
      <c r="Q31" s="757"/>
      <c r="R31" s="757"/>
      <c r="S31" s="757"/>
      <c r="T31" s="757"/>
      <c r="U31" s="757"/>
      <c r="V31" s="757"/>
      <c r="W31" s="757"/>
      <c r="X31" s="757"/>
      <c r="Y31" s="782">
        <f t="shared" si="1"/>
        <v>0</v>
      </c>
      <c r="Z31" s="707"/>
      <c r="AA31" s="707"/>
      <c r="AB31" s="707"/>
      <c r="AC31" s="782"/>
      <c r="AD31" s="782"/>
      <c r="AE31" s="778"/>
      <c r="AF31" s="814"/>
      <c r="AG31" s="695" t="s">
        <v>3643</v>
      </c>
      <c r="AH31" s="856"/>
      <c r="AI31" s="781" t="e">
        <f t="shared" si="0"/>
        <v>#DIV/0!</v>
      </c>
    </row>
    <row r="32" spans="1:35" s="784" customFormat="1" ht="18" customHeight="1" x14ac:dyDescent="0.25">
      <c r="A32" s="749">
        <v>25</v>
      </c>
      <c r="B32" s="745"/>
      <c r="C32" s="746">
        <v>2026</v>
      </c>
      <c r="D32" s="685" t="s">
        <v>3269</v>
      </c>
      <c r="E32" s="712" t="s">
        <v>3688</v>
      </c>
      <c r="F32" s="757"/>
      <c r="G32" s="757"/>
      <c r="H32" s="757"/>
      <c r="I32" s="757"/>
      <c r="J32" s="757"/>
      <c r="K32" s="757"/>
      <c r="L32" s="757"/>
      <c r="M32" s="757"/>
      <c r="N32" s="757"/>
      <c r="O32" s="757"/>
      <c r="P32" s="757"/>
      <c r="Q32" s="757"/>
      <c r="R32" s="757"/>
      <c r="S32" s="757"/>
      <c r="T32" s="757"/>
      <c r="U32" s="757"/>
      <c r="V32" s="757"/>
      <c r="W32" s="757"/>
      <c r="X32" s="757"/>
      <c r="Y32" s="782">
        <f t="shared" si="1"/>
        <v>0</v>
      </c>
      <c r="Z32" s="707"/>
      <c r="AA32" s="707"/>
      <c r="AB32" s="707"/>
      <c r="AC32" s="782"/>
      <c r="AD32" s="782"/>
      <c r="AE32" s="778"/>
      <c r="AF32" s="814"/>
      <c r="AG32" s="695" t="s">
        <v>3207</v>
      </c>
      <c r="AH32" s="856"/>
      <c r="AI32" s="781" t="e">
        <f t="shared" si="0"/>
        <v>#DIV/0!</v>
      </c>
    </row>
    <row r="33" spans="1:35" s="784" customFormat="1" ht="18" customHeight="1" x14ac:dyDescent="0.25">
      <c r="A33" s="749">
        <v>26</v>
      </c>
      <c r="B33" s="745"/>
      <c r="C33" s="746">
        <v>2026</v>
      </c>
      <c r="D33" s="685" t="s">
        <v>2585</v>
      </c>
      <c r="E33" s="712" t="s">
        <v>3689</v>
      </c>
      <c r="F33" s="757"/>
      <c r="G33" s="757"/>
      <c r="H33" s="757"/>
      <c r="I33" s="757"/>
      <c r="J33" s="757"/>
      <c r="K33" s="757"/>
      <c r="L33" s="757"/>
      <c r="M33" s="757"/>
      <c r="N33" s="757"/>
      <c r="O33" s="757"/>
      <c r="P33" s="757"/>
      <c r="Q33" s="757"/>
      <c r="R33" s="757"/>
      <c r="S33" s="757"/>
      <c r="T33" s="757"/>
      <c r="U33" s="757"/>
      <c r="V33" s="757"/>
      <c r="W33" s="757"/>
      <c r="X33" s="757"/>
      <c r="Y33" s="782">
        <f t="shared" si="1"/>
        <v>0</v>
      </c>
      <c r="Z33" s="707"/>
      <c r="AA33" s="707"/>
      <c r="AB33" s="707"/>
      <c r="AC33" s="782"/>
      <c r="AD33" s="782"/>
      <c r="AE33" s="778"/>
      <c r="AF33" s="814"/>
      <c r="AG33" s="695" t="s">
        <v>3227</v>
      </c>
      <c r="AH33" s="856"/>
      <c r="AI33" s="781" t="e">
        <f t="shared" si="0"/>
        <v>#DIV/0!</v>
      </c>
    </row>
    <row r="34" spans="1:35" s="784" customFormat="1" ht="18" customHeight="1" x14ac:dyDescent="0.25">
      <c r="A34" s="749">
        <v>27</v>
      </c>
      <c r="B34" s="745"/>
      <c r="C34" s="746">
        <v>2026</v>
      </c>
      <c r="D34" s="685" t="s">
        <v>3690</v>
      </c>
      <c r="E34" s="712" t="s">
        <v>3302</v>
      </c>
      <c r="F34" s="757"/>
      <c r="G34" s="757"/>
      <c r="H34" s="757"/>
      <c r="I34" s="757"/>
      <c r="J34" s="757"/>
      <c r="K34" s="757"/>
      <c r="L34" s="757"/>
      <c r="M34" s="757"/>
      <c r="N34" s="757"/>
      <c r="O34" s="757"/>
      <c r="P34" s="757"/>
      <c r="Q34" s="757"/>
      <c r="R34" s="757"/>
      <c r="S34" s="757"/>
      <c r="T34" s="757"/>
      <c r="U34" s="757"/>
      <c r="V34" s="757"/>
      <c r="W34" s="757"/>
      <c r="X34" s="757"/>
      <c r="Y34" s="782">
        <f t="shared" si="1"/>
        <v>0</v>
      </c>
      <c r="Z34" s="707"/>
      <c r="AA34" s="707"/>
      <c r="AB34" s="707"/>
      <c r="AC34" s="782"/>
      <c r="AD34" s="782"/>
      <c r="AE34" s="778"/>
      <c r="AF34" s="814"/>
      <c r="AG34" s="695" t="s">
        <v>2720</v>
      </c>
      <c r="AH34" s="856"/>
      <c r="AI34" s="781" t="e">
        <f t="shared" si="0"/>
        <v>#DIV/0!</v>
      </c>
    </row>
    <row r="35" spans="1:35" s="784" customFormat="1" ht="18" customHeight="1" x14ac:dyDescent="0.25">
      <c r="A35" s="749">
        <v>28</v>
      </c>
      <c r="B35" s="745"/>
      <c r="C35" s="746">
        <v>2026</v>
      </c>
      <c r="D35" s="685" t="s">
        <v>2595</v>
      </c>
      <c r="E35" s="712" t="s">
        <v>2361</v>
      </c>
      <c r="F35" s="757"/>
      <c r="G35" s="757"/>
      <c r="H35" s="757"/>
      <c r="I35" s="757"/>
      <c r="J35" s="757"/>
      <c r="K35" s="757"/>
      <c r="L35" s="757"/>
      <c r="M35" s="757"/>
      <c r="N35" s="757"/>
      <c r="O35" s="757"/>
      <c r="P35" s="757"/>
      <c r="Q35" s="757"/>
      <c r="R35" s="757"/>
      <c r="S35" s="757"/>
      <c r="T35" s="757"/>
      <c r="U35" s="757"/>
      <c r="V35" s="757"/>
      <c r="W35" s="757"/>
      <c r="X35" s="757"/>
      <c r="Y35" s="782">
        <f t="shared" si="1"/>
        <v>0</v>
      </c>
      <c r="Z35" s="707"/>
      <c r="AA35" s="707"/>
      <c r="AB35" s="707"/>
      <c r="AC35" s="782"/>
      <c r="AD35" s="782"/>
      <c r="AE35" s="778"/>
      <c r="AF35" s="814"/>
      <c r="AG35" s="695" t="s">
        <v>3813</v>
      </c>
      <c r="AH35" s="856"/>
      <c r="AI35" s="781" t="e">
        <f t="shared" si="0"/>
        <v>#DIV/0!</v>
      </c>
    </row>
    <row r="36" spans="1:35" s="784" customFormat="1" ht="18" customHeight="1" x14ac:dyDescent="0.25">
      <c r="A36" s="749">
        <v>29</v>
      </c>
      <c r="B36" s="745"/>
      <c r="C36" s="746">
        <v>2026</v>
      </c>
      <c r="D36" s="685" t="s">
        <v>3691</v>
      </c>
      <c r="E36" s="712" t="s">
        <v>2750</v>
      </c>
      <c r="F36" s="757"/>
      <c r="G36" s="757"/>
      <c r="H36" s="757"/>
      <c r="I36" s="757"/>
      <c r="J36" s="757"/>
      <c r="K36" s="757"/>
      <c r="L36" s="757"/>
      <c r="M36" s="757"/>
      <c r="N36" s="757"/>
      <c r="O36" s="757"/>
      <c r="P36" s="757"/>
      <c r="Q36" s="757"/>
      <c r="R36" s="757"/>
      <c r="S36" s="757"/>
      <c r="T36" s="757"/>
      <c r="U36" s="757"/>
      <c r="V36" s="757"/>
      <c r="W36" s="757"/>
      <c r="X36" s="757"/>
      <c r="Y36" s="782">
        <f t="shared" si="1"/>
        <v>0</v>
      </c>
      <c r="Z36" s="707"/>
      <c r="AA36" s="707"/>
      <c r="AB36" s="707"/>
      <c r="AC36" s="782"/>
      <c r="AD36" s="782"/>
      <c r="AE36" s="778"/>
      <c r="AF36" s="814"/>
      <c r="AG36" s="695" t="s">
        <v>3216</v>
      </c>
      <c r="AH36" s="856"/>
      <c r="AI36" s="781" t="e">
        <f t="shared" si="0"/>
        <v>#DIV/0!</v>
      </c>
    </row>
    <row r="37" spans="1:35" s="784" customFormat="1" ht="18" customHeight="1" x14ac:dyDescent="0.25">
      <c r="A37" s="749">
        <v>30</v>
      </c>
      <c r="B37" s="745"/>
      <c r="C37" s="746">
        <v>2026</v>
      </c>
      <c r="D37" s="685" t="s">
        <v>3692</v>
      </c>
      <c r="E37" s="712" t="s">
        <v>3693</v>
      </c>
      <c r="F37" s="757"/>
      <c r="G37" s="757"/>
      <c r="H37" s="757"/>
      <c r="I37" s="757"/>
      <c r="J37" s="757"/>
      <c r="K37" s="757"/>
      <c r="L37" s="757"/>
      <c r="M37" s="757"/>
      <c r="N37" s="757"/>
      <c r="O37" s="757"/>
      <c r="P37" s="757"/>
      <c r="Q37" s="757"/>
      <c r="R37" s="757"/>
      <c r="S37" s="757"/>
      <c r="T37" s="757"/>
      <c r="U37" s="757"/>
      <c r="V37" s="757"/>
      <c r="W37" s="757"/>
      <c r="X37" s="757"/>
      <c r="Y37" s="782">
        <f t="shared" si="1"/>
        <v>0</v>
      </c>
      <c r="Z37" s="707"/>
      <c r="AA37" s="707"/>
      <c r="AB37" s="707"/>
      <c r="AC37" s="782"/>
      <c r="AD37" s="782"/>
      <c r="AE37" s="778"/>
      <c r="AF37" s="814"/>
      <c r="AG37" s="695" t="s">
        <v>3209</v>
      </c>
      <c r="AH37" s="856"/>
      <c r="AI37" s="781" t="e">
        <f t="shared" si="0"/>
        <v>#DIV/0!</v>
      </c>
    </row>
    <row r="38" spans="1:35" s="784" customFormat="1" ht="18" customHeight="1" x14ac:dyDescent="0.25">
      <c r="A38" s="749">
        <v>31</v>
      </c>
      <c r="B38" s="745"/>
      <c r="C38" s="746">
        <v>2026</v>
      </c>
      <c r="D38" s="685" t="s">
        <v>3694</v>
      </c>
      <c r="E38" s="712" t="s">
        <v>2378</v>
      </c>
      <c r="F38" s="757"/>
      <c r="G38" s="757"/>
      <c r="H38" s="757"/>
      <c r="I38" s="757"/>
      <c r="J38" s="757"/>
      <c r="K38" s="757"/>
      <c r="L38" s="757"/>
      <c r="M38" s="757"/>
      <c r="N38" s="757"/>
      <c r="O38" s="757"/>
      <c r="P38" s="757"/>
      <c r="Q38" s="757"/>
      <c r="R38" s="757"/>
      <c r="S38" s="757"/>
      <c r="T38" s="757"/>
      <c r="U38" s="757"/>
      <c r="V38" s="757"/>
      <c r="W38" s="757"/>
      <c r="X38" s="757"/>
      <c r="Y38" s="782">
        <f t="shared" si="1"/>
        <v>0</v>
      </c>
      <c r="Z38" s="707"/>
      <c r="AA38" s="707"/>
      <c r="AB38" s="707"/>
      <c r="AC38" s="782"/>
      <c r="AD38" s="782"/>
      <c r="AE38" s="778"/>
      <c r="AF38" s="814"/>
      <c r="AG38" s="695" t="s">
        <v>3224</v>
      </c>
      <c r="AH38" s="856"/>
      <c r="AI38" s="781" t="e">
        <f t="shared" si="0"/>
        <v>#DIV/0!</v>
      </c>
    </row>
    <row r="39" spans="1:35" s="784" customFormat="1" ht="18" customHeight="1" x14ac:dyDescent="0.25">
      <c r="A39" s="749">
        <v>32</v>
      </c>
      <c r="B39" s="745"/>
      <c r="C39" s="746">
        <v>2026</v>
      </c>
      <c r="D39" s="685" t="s">
        <v>3695</v>
      </c>
      <c r="E39" s="712" t="s">
        <v>3696</v>
      </c>
      <c r="F39" s="757"/>
      <c r="G39" s="757"/>
      <c r="H39" s="757"/>
      <c r="I39" s="757"/>
      <c r="J39" s="757"/>
      <c r="K39" s="757"/>
      <c r="L39" s="757"/>
      <c r="M39" s="757"/>
      <c r="N39" s="757"/>
      <c r="O39" s="757"/>
      <c r="P39" s="757"/>
      <c r="Q39" s="757"/>
      <c r="R39" s="757"/>
      <c r="S39" s="757"/>
      <c r="T39" s="757"/>
      <c r="U39" s="757"/>
      <c r="V39" s="757"/>
      <c r="W39" s="757"/>
      <c r="X39" s="757"/>
      <c r="Y39" s="782">
        <f t="shared" si="1"/>
        <v>0</v>
      </c>
      <c r="Z39" s="707"/>
      <c r="AA39" s="707"/>
      <c r="AB39" s="707"/>
      <c r="AC39" s="782"/>
      <c r="AD39" s="782"/>
      <c r="AE39" s="778"/>
      <c r="AF39" s="814"/>
      <c r="AG39" s="695" t="s">
        <v>3806</v>
      </c>
      <c r="AH39" s="856"/>
      <c r="AI39" s="781" t="e">
        <f t="shared" si="0"/>
        <v>#DIV/0!</v>
      </c>
    </row>
    <row r="40" spans="1:35" s="784" customFormat="1" ht="18" customHeight="1" x14ac:dyDescent="0.25">
      <c r="A40" s="749">
        <v>33</v>
      </c>
      <c r="B40" s="745"/>
      <c r="C40" s="746">
        <v>2026</v>
      </c>
      <c r="D40" s="685" t="s">
        <v>3697</v>
      </c>
      <c r="E40" s="712" t="s">
        <v>3698</v>
      </c>
      <c r="F40" s="757"/>
      <c r="G40" s="757"/>
      <c r="H40" s="757"/>
      <c r="I40" s="757"/>
      <c r="J40" s="757"/>
      <c r="K40" s="757"/>
      <c r="L40" s="757"/>
      <c r="M40" s="757"/>
      <c r="N40" s="757"/>
      <c r="O40" s="757"/>
      <c r="P40" s="757"/>
      <c r="Q40" s="757"/>
      <c r="R40" s="757"/>
      <c r="S40" s="757"/>
      <c r="T40" s="757"/>
      <c r="U40" s="757"/>
      <c r="V40" s="757"/>
      <c r="W40" s="757"/>
      <c r="X40" s="757"/>
      <c r="Y40" s="782">
        <f t="shared" si="1"/>
        <v>0</v>
      </c>
      <c r="Z40" s="707"/>
      <c r="AA40" s="707"/>
      <c r="AB40" s="707"/>
      <c r="AC40" s="782"/>
      <c r="AD40" s="782"/>
      <c r="AE40" s="778"/>
      <c r="AF40" s="814"/>
      <c r="AG40" s="695" t="s">
        <v>2506</v>
      </c>
      <c r="AH40" s="856"/>
      <c r="AI40" s="781" t="e">
        <f t="shared" si="0"/>
        <v>#DIV/0!</v>
      </c>
    </row>
    <row r="41" spans="1:35" s="784" customFormat="1" ht="18" customHeight="1" x14ac:dyDescent="0.25">
      <c r="A41" s="749">
        <v>34</v>
      </c>
      <c r="B41" s="745"/>
      <c r="C41" s="746">
        <v>2026</v>
      </c>
      <c r="D41" s="685" t="s">
        <v>3699</v>
      </c>
      <c r="E41" s="712" t="s">
        <v>3700</v>
      </c>
      <c r="F41" s="757"/>
      <c r="G41" s="757"/>
      <c r="H41" s="757"/>
      <c r="I41" s="757"/>
      <c r="J41" s="757"/>
      <c r="K41" s="757"/>
      <c r="L41" s="757"/>
      <c r="M41" s="757"/>
      <c r="N41" s="757"/>
      <c r="O41" s="757"/>
      <c r="P41" s="757"/>
      <c r="Q41" s="757"/>
      <c r="R41" s="757"/>
      <c r="S41" s="757"/>
      <c r="T41" s="757"/>
      <c r="U41" s="757"/>
      <c r="V41" s="757"/>
      <c r="W41" s="757"/>
      <c r="X41" s="757"/>
      <c r="Y41" s="782">
        <f t="shared" si="1"/>
        <v>0</v>
      </c>
      <c r="Z41" s="707"/>
      <c r="AA41" s="707"/>
      <c r="AB41" s="707"/>
      <c r="AC41" s="782"/>
      <c r="AD41" s="782"/>
      <c r="AE41" s="778"/>
      <c r="AF41" s="814"/>
      <c r="AG41" s="695" t="s">
        <v>2506</v>
      </c>
      <c r="AH41" s="856"/>
      <c r="AI41" s="781" t="e">
        <f t="shared" si="0"/>
        <v>#DIV/0!</v>
      </c>
    </row>
    <row r="42" spans="1:35" s="784" customFormat="1" ht="18" customHeight="1" x14ac:dyDescent="0.25">
      <c r="A42" s="749">
        <v>35</v>
      </c>
      <c r="B42" s="745"/>
      <c r="C42" s="746">
        <v>2026</v>
      </c>
      <c r="D42" s="685" t="s">
        <v>3701</v>
      </c>
      <c r="E42" s="712" t="s">
        <v>3702</v>
      </c>
      <c r="F42" s="757"/>
      <c r="G42" s="757"/>
      <c r="H42" s="757"/>
      <c r="I42" s="757"/>
      <c r="J42" s="757"/>
      <c r="K42" s="757"/>
      <c r="L42" s="757"/>
      <c r="M42" s="757"/>
      <c r="N42" s="757"/>
      <c r="O42" s="757"/>
      <c r="P42" s="757"/>
      <c r="Q42" s="757"/>
      <c r="R42" s="757"/>
      <c r="S42" s="757"/>
      <c r="T42" s="757"/>
      <c r="U42" s="757"/>
      <c r="V42" s="757"/>
      <c r="W42" s="757"/>
      <c r="X42" s="757"/>
      <c r="Y42" s="782">
        <f t="shared" si="1"/>
        <v>0</v>
      </c>
      <c r="Z42" s="707"/>
      <c r="AA42" s="707"/>
      <c r="AB42" s="707"/>
      <c r="AC42" s="782"/>
      <c r="AD42" s="782"/>
      <c r="AE42" s="778"/>
      <c r="AF42" s="814"/>
      <c r="AG42" s="695" t="s">
        <v>3808</v>
      </c>
      <c r="AH42" s="856"/>
      <c r="AI42" s="781" t="e">
        <f t="shared" si="0"/>
        <v>#DIV/0!</v>
      </c>
    </row>
    <row r="43" spans="1:35" s="784" customFormat="1" ht="18" customHeight="1" x14ac:dyDescent="0.25">
      <c r="A43" s="749">
        <v>36</v>
      </c>
      <c r="B43" s="745"/>
      <c r="C43" s="746">
        <v>2026</v>
      </c>
      <c r="D43" s="685" t="s">
        <v>3703</v>
      </c>
      <c r="E43" s="712" t="s">
        <v>2398</v>
      </c>
      <c r="F43" s="757"/>
      <c r="G43" s="757"/>
      <c r="H43" s="757"/>
      <c r="I43" s="757"/>
      <c r="J43" s="757"/>
      <c r="K43" s="757"/>
      <c r="L43" s="757"/>
      <c r="M43" s="757"/>
      <c r="N43" s="757"/>
      <c r="O43" s="757"/>
      <c r="P43" s="757"/>
      <c r="Q43" s="757"/>
      <c r="R43" s="757"/>
      <c r="S43" s="757"/>
      <c r="T43" s="757"/>
      <c r="U43" s="757"/>
      <c r="V43" s="757"/>
      <c r="W43" s="757"/>
      <c r="X43" s="757"/>
      <c r="Y43" s="782">
        <f t="shared" si="1"/>
        <v>0</v>
      </c>
      <c r="Z43" s="707"/>
      <c r="AA43" s="707"/>
      <c r="AB43" s="707"/>
      <c r="AC43" s="782"/>
      <c r="AD43" s="782"/>
      <c r="AE43" s="778"/>
      <c r="AF43" s="814"/>
      <c r="AG43" s="695" t="s">
        <v>3814</v>
      </c>
      <c r="AH43" s="856"/>
      <c r="AI43" s="781" t="e">
        <f t="shared" si="0"/>
        <v>#DIV/0!</v>
      </c>
    </row>
    <row r="44" spans="1:35" s="784" customFormat="1" ht="18" customHeight="1" x14ac:dyDescent="0.25">
      <c r="A44" s="749">
        <v>37</v>
      </c>
      <c r="B44" s="745"/>
      <c r="C44" s="746">
        <v>2026</v>
      </c>
      <c r="D44" s="685" t="s">
        <v>3704</v>
      </c>
      <c r="E44" s="712" t="s">
        <v>3572</v>
      </c>
      <c r="F44" s="757"/>
      <c r="G44" s="757"/>
      <c r="H44" s="757"/>
      <c r="I44" s="757"/>
      <c r="J44" s="757"/>
      <c r="K44" s="757"/>
      <c r="L44" s="757"/>
      <c r="M44" s="757"/>
      <c r="N44" s="757"/>
      <c r="O44" s="757"/>
      <c r="P44" s="757"/>
      <c r="Q44" s="757"/>
      <c r="R44" s="757"/>
      <c r="S44" s="757"/>
      <c r="T44" s="757"/>
      <c r="U44" s="757"/>
      <c r="V44" s="757"/>
      <c r="W44" s="757"/>
      <c r="X44" s="757"/>
      <c r="Y44" s="782">
        <f t="shared" si="1"/>
        <v>0</v>
      </c>
      <c r="Z44" s="707"/>
      <c r="AA44" s="707"/>
      <c r="AB44" s="707"/>
      <c r="AC44" s="782"/>
      <c r="AD44" s="782"/>
      <c r="AE44" s="778"/>
      <c r="AF44" s="814"/>
      <c r="AG44" s="695" t="s">
        <v>3815</v>
      </c>
      <c r="AH44" s="856"/>
      <c r="AI44" s="787" t="e">
        <f t="shared" si="0"/>
        <v>#DIV/0!</v>
      </c>
    </row>
    <row r="45" spans="1:35" s="784" customFormat="1" ht="18" customHeight="1" x14ac:dyDescent="0.25">
      <c r="A45" s="749">
        <v>38</v>
      </c>
      <c r="B45" s="745"/>
      <c r="C45" s="746">
        <v>2026</v>
      </c>
      <c r="D45" s="685" t="s">
        <v>3705</v>
      </c>
      <c r="E45" s="712" t="s">
        <v>3706</v>
      </c>
      <c r="F45" s="757"/>
      <c r="G45" s="757"/>
      <c r="H45" s="757"/>
      <c r="I45" s="757"/>
      <c r="J45" s="757"/>
      <c r="K45" s="757"/>
      <c r="L45" s="757"/>
      <c r="M45" s="757"/>
      <c r="N45" s="757"/>
      <c r="O45" s="757"/>
      <c r="P45" s="757"/>
      <c r="Q45" s="757"/>
      <c r="R45" s="757"/>
      <c r="S45" s="757"/>
      <c r="T45" s="757"/>
      <c r="U45" s="757"/>
      <c r="V45" s="757"/>
      <c r="W45" s="757"/>
      <c r="X45" s="757"/>
      <c r="Y45" s="782">
        <f t="shared" si="1"/>
        <v>0</v>
      </c>
      <c r="Z45" s="707"/>
      <c r="AA45" s="707"/>
      <c r="AB45" s="707"/>
      <c r="AC45" s="782">
        <f t="shared" ref="AC45:AC57" si="2">SUM(Z45:AB45)/3</f>
        <v>0</v>
      </c>
      <c r="AD45" s="782">
        <f t="shared" ref="AD45:AD57" si="3">SUM(Y45+AC45)/2</f>
        <v>0</v>
      </c>
      <c r="AE45" s="778"/>
      <c r="AF45" s="814"/>
      <c r="AG45" s="695" t="s">
        <v>3816</v>
      </c>
      <c r="AH45" s="856"/>
      <c r="AI45" s="781" t="e">
        <f t="shared" si="0"/>
        <v>#DIV/0!</v>
      </c>
    </row>
    <row r="46" spans="1:35" s="784" customFormat="1" ht="18" customHeight="1" x14ac:dyDescent="0.25">
      <c r="A46" s="749">
        <v>39</v>
      </c>
      <c r="B46" s="745"/>
      <c r="C46" s="746">
        <v>2026</v>
      </c>
      <c r="D46" s="685" t="s">
        <v>3707</v>
      </c>
      <c r="E46" s="712" t="s">
        <v>3708</v>
      </c>
      <c r="F46" s="757"/>
      <c r="G46" s="757"/>
      <c r="H46" s="757"/>
      <c r="I46" s="757"/>
      <c r="J46" s="757"/>
      <c r="K46" s="757"/>
      <c r="L46" s="757"/>
      <c r="M46" s="757"/>
      <c r="N46" s="757"/>
      <c r="O46" s="757"/>
      <c r="P46" s="757"/>
      <c r="Q46" s="757"/>
      <c r="R46" s="757"/>
      <c r="S46" s="757"/>
      <c r="T46" s="757"/>
      <c r="U46" s="757"/>
      <c r="V46" s="757"/>
      <c r="W46" s="757"/>
      <c r="X46" s="757"/>
      <c r="Y46" s="782">
        <f t="shared" si="1"/>
        <v>0</v>
      </c>
      <c r="Z46" s="707"/>
      <c r="AA46" s="707"/>
      <c r="AB46" s="707"/>
      <c r="AC46" s="782">
        <f t="shared" si="2"/>
        <v>0</v>
      </c>
      <c r="AD46" s="782">
        <f t="shared" si="3"/>
        <v>0</v>
      </c>
      <c r="AE46" s="778"/>
      <c r="AF46" s="814"/>
      <c r="AG46" s="695" t="s">
        <v>3817</v>
      </c>
      <c r="AH46" s="856"/>
      <c r="AI46" s="781" t="e">
        <f t="shared" si="0"/>
        <v>#DIV/0!</v>
      </c>
    </row>
    <row r="47" spans="1:35" s="784" customFormat="1" ht="18" customHeight="1" x14ac:dyDescent="0.25">
      <c r="A47" s="749">
        <v>40</v>
      </c>
      <c r="B47" s="745"/>
      <c r="C47" s="746">
        <v>2026</v>
      </c>
      <c r="D47" s="685" t="s">
        <v>3709</v>
      </c>
      <c r="E47" s="712" t="s">
        <v>3322</v>
      </c>
      <c r="F47" s="757"/>
      <c r="G47" s="757"/>
      <c r="H47" s="757"/>
      <c r="I47" s="757"/>
      <c r="J47" s="757"/>
      <c r="K47" s="757"/>
      <c r="L47" s="757"/>
      <c r="M47" s="757"/>
      <c r="N47" s="757"/>
      <c r="O47" s="757"/>
      <c r="P47" s="757"/>
      <c r="Q47" s="757"/>
      <c r="R47" s="757"/>
      <c r="S47" s="757"/>
      <c r="T47" s="757"/>
      <c r="U47" s="757"/>
      <c r="V47" s="757"/>
      <c r="W47" s="757"/>
      <c r="X47" s="757"/>
      <c r="Y47" s="782">
        <f t="shared" si="1"/>
        <v>0</v>
      </c>
      <c r="Z47" s="707"/>
      <c r="AA47" s="707"/>
      <c r="AB47" s="707"/>
      <c r="AC47" s="782">
        <f t="shared" si="2"/>
        <v>0</v>
      </c>
      <c r="AD47" s="782">
        <f t="shared" si="3"/>
        <v>0</v>
      </c>
      <c r="AE47" s="778"/>
      <c r="AF47" s="814"/>
      <c r="AG47" s="695" t="s">
        <v>2530</v>
      </c>
      <c r="AH47" s="856"/>
      <c r="AI47" s="781" t="e">
        <f t="shared" si="0"/>
        <v>#DIV/0!</v>
      </c>
    </row>
    <row r="48" spans="1:35" s="784" customFormat="1" ht="18" customHeight="1" x14ac:dyDescent="0.25">
      <c r="A48" s="749">
        <v>41</v>
      </c>
      <c r="B48" s="745"/>
      <c r="C48" s="746">
        <v>2026</v>
      </c>
      <c r="D48" s="685" t="s">
        <v>3710</v>
      </c>
      <c r="E48" s="712" t="s">
        <v>3253</v>
      </c>
      <c r="F48" s="757"/>
      <c r="G48" s="757"/>
      <c r="H48" s="757"/>
      <c r="I48" s="757"/>
      <c r="J48" s="757"/>
      <c r="K48" s="757"/>
      <c r="L48" s="757"/>
      <c r="M48" s="757"/>
      <c r="N48" s="757"/>
      <c r="O48" s="757"/>
      <c r="P48" s="757"/>
      <c r="Q48" s="757"/>
      <c r="R48" s="757"/>
      <c r="S48" s="757"/>
      <c r="T48" s="757"/>
      <c r="U48" s="757"/>
      <c r="V48" s="757"/>
      <c r="W48" s="757"/>
      <c r="X48" s="757"/>
      <c r="Y48" s="782">
        <f t="shared" si="1"/>
        <v>0</v>
      </c>
      <c r="Z48" s="707"/>
      <c r="AA48" s="707"/>
      <c r="AB48" s="707"/>
      <c r="AC48" s="782">
        <f t="shared" si="2"/>
        <v>0</v>
      </c>
      <c r="AD48" s="782">
        <f t="shared" si="3"/>
        <v>0</v>
      </c>
      <c r="AE48" s="778"/>
      <c r="AF48" s="814"/>
      <c r="AG48" s="695" t="s">
        <v>3818</v>
      </c>
      <c r="AH48" s="856"/>
      <c r="AI48" s="781" t="e">
        <f t="shared" si="0"/>
        <v>#DIV/0!</v>
      </c>
    </row>
    <row r="49" spans="1:35" s="784" customFormat="1" ht="18" customHeight="1" x14ac:dyDescent="0.25">
      <c r="A49" s="749">
        <v>42</v>
      </c>
      <c r="B49" s="745"/>
      <c r="C49" s="746">
        <v>2026</v>
      </c>
      <c r="D49" s="685" t="s">
        <v>3711</v>
      </c>
      <c r="E49" s="712" t="s">
        <v>3712</v>
      </c>
      <c r="F49" s="757"/>
      <c r="G49" s="757"/>
      <c r="H49" s="757"/>
      <c r="I49" s="757"/>
      <c r="J49" s="757"/>
      <c r="K49" s="757"/>
      <c r="L49" s="757"/>
      <c r="M49" s="757"/>
      <c r="N49" s="757"/>
      <c r="O49" s="757"/>
      <c r="P49" s="757"/>
      <c r="Q49" s="757"/>
      <c r="R49" s="757"/>
      <c r="S49" s="757"/>
      <c r="T49" s="757"/>
      <c r="U49" s="757"/>
      <c r="V49" s="757"/>
      <c r="W49" s="757"/>
      <c r="X49" s="757"/>
      <c r="Y49" s="782">
        <f t="shared" si="1"/>
        <v>0</v>
      </c>
      <c r="Z49" s="707"/>
      <c r="AA49" s="707"/>
      <c r="AB49" s="707"/>
      <c r="AC49" s="782">
        <f>SUM(Z49:AB49)/3</f>
        <v>0</v>
      </c>
      <c r="AD49" s="782">
        <f>SUM(Y49+AC49)/2</f>
        <v>0</v>
      </c>
      <c r="AE49" s="778"/>
      <c r="AF49" s="814"/>
      <c r="AG49" s="695" t="s">
        <v>2498</v>
      </c>
      <c r="AH49" s="856"/>
      <c r="AI49" s="781" t="e">
        <f t="shared" si="0"/>
        <v>#DIV/0!</v>
      </c>
    </row>
    <row r="50" spans="1:35" s="784" customFormat="1" ht="18" customHeight="1" x14ac:dyDescent="0.25">
      <c r="A50" s="749">
        <v>43</v>
      </c>
      <c r="B50" s="745"/>
      <c r="C50" s="746">
        <v>2026</v>
      </c>
      <c r="D50" s="685" t="s">
        <v>3713</v>
      </c>
      <c r="E50" s="712" t="s">
        <v>3714</v>
      </c>
      <c r="F50" s="757"/>
      <c r="G50" s="757"/>
      <c r="H50" s="757"/>
      <c r="I50" s="757"/>
      <c r="J50" s="757"/>
      <c r="K50" s="757"/>
      <c r="L50" s="757"/>
      <c r="M50" s="757"/>
      <c r="N50" s="757"/>
      <c r="O50" s="757"/>
      <c r="P50" s="757"/>
      <c r="Q50" s="757"/>
      <c r="R50" s="757"/>
      <c r="S50" s="757"/>
      <c r="T50" s="757"/>
      <c r="U50" s="757"/>
      <c r="V50" s="757"/>
      <c r="W50" s="757"/>
      <c r="X50" s="757"/>
      <c r="Y50" s="782">
        <f t="shared" si="1"/>
        <v>0</v>
      </c>
      <c r="Z50" s="707"/>
      <c r="AA50" s="707"/>
      <c r="AB50" s="707"/>
      <c r="AC50" s="782">
        <f t="shared" si="2"/>
        <v>0</v>
      </c>
      <c r="AD50" s="782">
        <f t="shared" si="3"/>
        <v>0</v>
      </c>
      <c r="AE50" s="778"/>
      <c r="AF50" s="814"/>
      <c r="AG50" s="695" t="s">
        <v>3819</v>
      </c>
      <c r="AH50" s="856"/>
      <c r="AI50" s="781" t="e">
        <f t="shared" si="0"/>
        <v>#DIV/0!</v>
      </c>
    </row>
    <row r="51" spans="1:35" s="784" customFormat="1" ht="18" customHeight="1" x14ac:dyDescent="0.25">
      <c r="A51" s="749">
        <v>44</v>
      </c>
      <c r="B51" s="745"/>
      <c r="C51" s="746">
        <v>2026</v>
      </c>
      <c r="D51" s="685" t="s">
        <v>3715</v>
      </c>
      <c r="E51" s="712" t="s">
        <v>534</v>
      </c>
      <c r="F51" s="757"/>
      <c r="G51" s="757"/>
      <c r="H51" s="757"/>
      <c r="I51" s="757"/>
      <c r="J51" s="757"/>
      <c r="K51" s="757"/>
      <c r="L51" s="757"/>
      <c r="M51" s="757"/>
      <c r="N51" s="757"/>
      <c r="O51" s="757"/>
      <c r="P51" s="757"/>
      <c r="Q51" s="757"/>
      <c r="R51" s="757"/>
      <c r="S51" s="757"/>
      <c r="T51" s="757"/>
      <c r="U51" s="757"/>
      <c r="V51" s="757"/>
      <c r="W51" s="757"/>
      <c r="X51" s="757"/>
      <c r="Y51" s="782">
        <f t="shared" si="1"/>
        <v>0</v>
      </c>
      <c r="Z51" s="707"/>
      <c r="AA51" s="707"/>
      <c r="AB51" s="707"/>
      <c r="AC51" s="782">
        <f t="shared" si="2"/>
        <v>0</v>
      </c>
      <c r="AD51" s="782">
        <f t="shared" si="3"/>
        <v>0</v>
      </c>
      <c r="AE51" s="778"/>
      <c r="AF51" s="814"/>
      <c r="AG51" s="695" t="s">
        <v>3820</v>
      </c>
      <c r="AH51" s="856"/>
      <c r="AI51" s="781" t="e">
        <f t="shared" si="0"/>
        <v>#DIV/0!</v>
      </c>
    </row>
    <row r="52" spans="1:35" s="784" customFormat="1" ht="18" customHeight="1" x14ac:dyDescent="0.25">
      <c r="A52" s="749">
        <v>45</v>
      </c>
      <c r="B52" s="745"/>
      <c r="C52" s="746">
        <v>2026</v>
      </c>
      <c r="D52" s="685" t="s">
        <v>3494</v>
      </c>
      <c r="E52" s="712" t="s">
        <v>3716</v>
      </c>
      <c r="F52" s="757"/>
      <c r="G52" s="757"/>
      <c r="H52" s="757"/>
      <c r="I52" s="757"/>
      <c r="J52" s="757"/>
      <c r="K52" s="757"/>
      <c r="L52" s="757"/>
      <c r="M52" s="757"/>
      <c r="N52" s="757"/>
      <c r="O52" s="757"/>
      <c r="P52" s="757"/>
      <c r="Q52" s="757"/>
      <c r="R52" s="757"/>
      <c r="S52" s="757"/>
      <c r="T52" s="757"/>
      <c r="U52" s="757"/>
      <c r="V52" s="757"/>
      <c r="W52" s="757"/>
      <c r="X52" s="757"/>
      <c r="Y52" s="782">
        <f t="shared" si="1"/>
        <v>0</v>
      </c>
      <c r="Z52" s="707"/>
      <c r="AA52" s="707"/>
      <c r="AB52" s="707"/>
      <c r="AC52" s="782">
        <f t="shared" si="2"/>
        <v>0</v>
      </c>
      <c r="AD52" s="782">
        <f t="shared" si="3"/>
        <v>0</v>
      </c>
      <c r="AE52" s="778"/>
      <c r="AF52" s="814"/>
      <c r="AG52" s="695" t="s">
        <v>3227</v>
      </c>
      <c r="AH52" s="856"/>
      <c r="AI52" s="781" t="e">
        <f t="shared" si="0"/>
        <v>#DIV/0!</v>
      </c>
    </row>
    <row r="53" spans="1:35" s="784" customFormat="1" ht="18" customHeight="1" x14ac:dyDescent="0.25">
      <c r="A53" s="749">
        <v>46</v>
      </c>
      <c r="B53" s="745"/>
      <c r="C53" s="746">
        <v>2026</v>
      </c>
      <c r="D53" s="685" t="s">
        <v>3717</v>
      </c>
      <c r="E53" s="712" t="s">
        <v>2587</v>
      </c>
      <c r="F53" s="757"/>
      <c r="G53" s="757"/>
      <c r="H53" s="757"/>
      <c r="I53" s="757"/>
      <c r="J53" s="757"/>
      <c r="K53" s="757"/>
      <c r="L53" s="757"/>
      <c r="M53" s="757"/>
      <c r="N53" s="757"/>
      <c r="O53" s="757"/>
      <c r="P53" s="757"/>
      <c r="Q53" s="757"/>
      <c r="R53" s="757"/>
      <c r="S53" s="757"/>
      <c r="T53" s="757"/>
      <c r="U53" s="757"/>
      <c r="V53" s="757"/>
      <c r="W53" s="757"/>
      <c r="X53" s="757"/>
      <c r="Y53" s="782">
        <f t="shared" si="1"/>
        <v>0</v>
      </c>
      <c r="Z53" s="707"/>
      <c r="AA53" s="707"/>
      <c r="AB53" s="707"/>
      <c r="AC53" s="782">
        <f t="shared" si="2"/>
        <v>0</v>
      </c>
      <c r="AD53" s="782">
        <f t="shared" si="3"/>
        <v>0</v>
      </c>
      <c r="AE53" s="778"/>
      <c r="AF53" s="814"/>
      <c r="AG53" s="695" t="s">
        <v>2506</v>
      </c>
      <c r="AH53" s="856"/>
      <c r="AI53" s="781" t="e">
        <f t="shared" si="0"/>
        <v>#DIV/0!</v>
      </c>
    </row>
    <row r="54" spans="1:35" s="784" customFormat="1" ht="18" customHeight="1" x14ac:dyDescent="0.25">
      <c r="A54" s="749">
        <v>47</v>
      </c>
      <c r="B54" s="745"/>
      <c r="C54" s="746">
        <v>2026</v>
      </c>
      <c r="D54" s="685" t="s">
        <v>3718</v>
      </c>
      <c r="E54" s="712" t="s">
        <v>3719</v>
      </c>
      <c r="F54" s="757"/>
      <c r="G54" s="757"/>
      <c r="H54" s="757"/>
      <c r="I54" s="757"/>
      <c r="J54" s="757"/>
      <c r="K54" s="757"/>
      <c r="L54" s="757"/>
      <c r="M54" s="757"/>
      <c r="N54" s="757"/>
      <c r="O54" s="757"/>
      <c r="P54" s="757"/>
      <c r="Q54" s="757"/>
      <c r="R54" s="757"/>
      <c r="S54" s="757"/>
      <c r="T54" s="757"/>
      <c r="U54" s="757"/>
      <c r="V54" s="757"/>
      <c r="W54" s="757"/>
      <c r="X54" s="757"/>
      <c r="Y54" s="782">
        <f t="shared" si="1"/>
        <v>0</v>
      </c>
      <c r="Z54" s="707"/>
      <c r="AA54" s="707"/>
      <c r="AB54" s="707"/>
      <c r="AC54" s="782">
        <f t="shared" si="2"/>
        <v>0</v>
      </c>
      <c r="AD54" s="782">
        <f t="shared" si="3"/>
        <v>0</v>
      </c>
      <c r="AE54" s="778"/>
      <c r="AF54" s="814"/>
      <c r="AG54" s="695" t="s">
        <v>3821</v>
      </c>
      <c r="AH54" s="856"/>
      <c r="AI54" s="787" t="e">
        <f t="shared" si="0"/>
        <v>#DIV/0!</v>
      </c>
    </row>
    <row r="55" spans="1:35" s="784" customFormat="1" ht="18" customHeight="1" x14ac:dyDescent="0.25">
      <c r="A55" s="749">
        <v>48</v>
      </c>
      <c r="B55" s="745"/>
      <c r="C55" s="746">
        <v>2026</v>
      </c>
      <c r="D55" s="685" t="s">
        <v>3720</v>
      </c>
      <c r="E55" s="712" t="s">
        <v>3721</v>
      </c>
      <c r="F55" s="757"/>
      <c r="G55" s="757"/>
      <c r="H55" s="757"/>
      <c r="I55" s="757"/>
      <c r="J55" s="757"/>
      <c r="K55" s="757"/>
      <c r="L55" s="757"/>
      <c r="M55" s="757"/>
      <c r="N55" s="757"/>
      <c r="O55" s="757"/>
      <c r="P55" s="757"/>
      <c r="Q55" s="757"/>
      <c r="R55" s="757"/>
      <c r="S55" s="757"/>
      <c r="T55" s="757"/>
      <c r="U55" s="757"/>
      <c r="V55" s="757"/>
      <c r="W55" s="757"/>
      <c r="X55" s="757"/>
      <c r="Y55" s="782">
        <f t="shared" si="1"/>
        <v>0</v>
      </c>
      <c r="Z55" s="707"/>
      <c r="AA55" s="707"/>
      <c r="AB55" s="707"/>
      <c r="AC55" s="782">
        <f t="shared" si="2"/>
        <v>0</v>
      </c>
      <c r="AD55" s="782">
        <f t="shared" si="3"/>
        <v>0</v>
      </c>
      <c r="AE55" s="778"/>
      <c r="AF55" s="814"/>
      <c r="AG55" s="695" t="s">
        <v>3822</v>
      </c>
      <c r="AH55" s="856"/>
      <c r="AI55" s="781" t="e">
        <f t="shared" ref="AI55:AI96" si="4">AVERAGE(F55:X55)</f>
        <v>#DIV/0!</v>
      </c>
    </row>
    <row r="56" spans="1:35" s="784" customFormat="1" ht="18" customHeight="1" x14ac:dyDescent="0.25">
      <c r="A56" s="749">
        <v>49</v>
      </c>
      <c r="B56" s="745"/>
      <c r="C56" s="746">
        <v>2026</v>
      </c>
      <c r="D56" s="685" t="s">
        <v>3722</v>
      </c>
      <c r="E56" s="712" t="s">
        <v>3723</v>
      </c>
      <c r="F56" s="757"/>
      <c r="G56" s="757"/>
      <c r="H56" s="757"/>
      <c r="I56" s="757"/>
      <c r="J56" s="757"/>
      <c r="K56" s="757"/>
      <c r="L56" s="757"/>
      <c r="M56" s="757"/>
      <c r="N56" s="757"/>
      <c r="O56" s="757"/>
      <c r="P56" s="757"/>
      <c r="Q56" s="757"/>
      <c r="R56" s="757"/>
      <c r="S56" s="757"/>
      <c r="T56" s="757"/>
      <c r="U56" s="757"/>
      <c r="V56" s="757"/>
      <c r="W56" s="757"/>
      <c r="X56" s="757"/>
      <c r="Y56" s="782">
        <f t="shared" si="1"/>
        <v>0</v>
      </c>
      <c r="Z56" s="707"/>
      <c r="AA56" s="707"/>
      <c r="AB56" s="707"/>
      <c r="AC56" s="782">
        <f t="shared" si="2"/>
        <v>0</v>
      </c>
      <c r="AD56" s="782">
        <f t="shared" si="3"/>
        <v>0</v>
      </c>
      <c r="AE56" s="778"/>
      <c r="AF56" s="814"/>
      <c r="AG56" s="695" t="s">
        <v>3198</v>
      </c>
      <c r="AH56" s="856"/>
      <c r="AI56" s="781" t="e">
        <f t="shared" si="4"/>
        <v>#DIV/0!</v>
      </c>
    </row>
    <row r="57" spans="1:35" s="784" customFormat="1" ht="18" customHeight="1" x14ac:dyDescent="0.25">
      <c r="A57" s="749">
        <v>50</v>
      </c>
      <c r="B57" s="745"/>
      <c r="C57" s="746">
        <v>2026</v>
      </c>
      <c r="D57" s="685" t="s">
        <v>3724</v>
      </c>
      <c r="E57" s="712" t="s">
        <v>3725</v>
      </c>
      <c r="F57" s="757"/>
      <c r="G57" s="757"/>
      <c r="H57" s="757"/>
      <c r="I57" s="757"/>
      <c r="J57" s="757"/>
      <c r="K57" s="757"/>
      <c r="L57" s="757"/>
      <c r="M57" s="757"/>
      <c r="N57" s="757"/>
      <c r="O57" s="757"/>
      <c r="P57" s="757"/>
      <c r="Q57" s="757"/>
      <c r="R57" s="757"/>
      <c r="S57" s="757"/>
      <c r="T57" s="757"/>
      <c r="U57" s="757"/>
      <c r="V57" s="757"/>
      <c r="W57" s="757"/>
      <c r="X57" s="757"/>
      <c r="Y57" s="782">
        <f t="shared" si="1"/>
        <v>0</v>
      </c>
      <c r="Z57" s="707"/>
      <c r="AA57" s="707"/>
      <c r="AB57" s="707"/>
      <c r="AC57" s="782">
        <f t="shared" si="2"/>
        <v>0</v>
      </c>
      <c r="AD57" s="782">
        <f t="shared" si="3"/>
        <v>0</v>
      </c>
      <c r="AE57" s="778"/>
      <c r="AF57" s="814"/>
      <c r="AG57" s="695" t="s">
        <v>2521</v>
      </c>
      <c r="AH57" s="856"/>
      <c r="AI57" s="781" t="e">
        <f t="shared" si="4"/>
        <v>#DIV/0!</v>
      </c>
    </row>
    <row r="58" spans="1:35" s="784" customFormat="1" ht="18" customHeight="1" x14ac:dyDescent="0.25">
      <c r="A58" s="749">
        <v>51</v>
      </c>
      <c r="B58" s="745"/>
      <c r="C58" s="746">
        <v>2026</v>
      </c>
      <c r="D58" s="685" t="s">
        <v>3726</v>
      </c>
      <c r="E58" s="712" t="s">
        <v>3727</v>
      </c>
      <c r="F58" s="757"/>
      <c r="G58" s="757"/>
      <c r="H58" s="757"/>
      <c r="I58" s="757"/>
      <c r="J58" s="757"/>
      <c r="K58" s="757"/>
      <c r="L58" s="757"/>
      <c r="M58" s="757"/>
      <c r="N58" s="757"/>
      <c r="O58" s="757"/>
      <c r="P58" s="757"/>
      <c r="Q58" s="757"/>
      <c r="R58" s="757"/>
      <c r="S58" s="757"/>
      <c r="T58" s="757"/>
      <c r="U58" s="757"/>
      <c r="V58" s="757"/>
      <c r="W58" s="757"/>
      <c r="X58" s="757"/>
      <c r="Y58" s="782">
        <f t="shared" si="1"/>
        <v>0</v>
      </c>
      <c r="Z58" s="707"/>
      <c r="AA58" s="707"/>
      <c r="AB58" s="707"/>
      <c r="AC58" s="782"/>
      <c r="AD58" s="782"/>
      <c r="AE58" s="778"/>
      <c r="AF58" s="814"/>
      <c r="AG58" s="695" t="s">
        <v>2741</v>
      </c>
      <c r="AH58" s="856"/>
      <c r="AI58" s="781" t="e">
        <f t="shared" si="4"/>
        <v>#DIV/0!</v>
      </c>
    </row>
    <row r="59" spans="1:35" s="784" customFormat="1" ht="18" customHeight="1" x14ac:dyDescent="0.25">
      <c r="A59" s="749">
        <v>52</v>
      </c>
      <c r="B59" s="745"/>
      <c r="C59" s="746">
        <v>2026</v>
      </c>
      <c r="D59" s="685" t="s">
        <v>3728</v>
      </c>
      <c r="E59" s="712" t="s">
        <v>3729</v>
      </c>
      <c r="F59" s="757"/>
      <c r="G59" s="757"/>
      <c r="H59" s="757"/>
      <c r="I59" s="757"/>
      <c r="J59" s="757"/>
      <c r="K59" s="757"/>
      <c r="L59" s="757"/>
      <c r="M59" s="757"/>
      <c r="N59" s="757"/>
      <c r="O59" s="757"/>
      <c r="P59" s="757"/>
      <c r="Q59" s="757"/>
      <c r="R59" s="757"/>
      <c r="S59" s="757"/>
      <c r="T59" s="757"/>
      <c r="U59" s="757"/>
      <c r="V59" s="757"/>
      <c r="W59" s="757"/>
      <c r="X59" s="757"/>
      <c r="Y59" s="782">
        <f t="shared" si="1"/>
        <v>0</v>
      </c>
      <c r="Z59" s="707"/>
      <c r="AA59" s="707"/>
      <c r="AB59" s="707"/>
      <c r="AC59" s="782">
        <f t="shared" ref="AC59:AC61" si="5">SUM(Z59:AB59)/3</f>
        <v>0</v>
      </c>
      <c r="AD59" s="782">
        <f t="shared" ref="AD59:AD61" si="6">SUM(Y59+AC59)/2</f>
        <v>0</v>
      </c>
      <c r="AE59" s="778"/>
      <c r="AF59" s="814"/>
      <c r="AG59" s="695" t="s">
        <v>3823</v>
      </c>
      <c r="AH59" s="856"/>
      <c r="AI59" s="781" t="e">
        <f t="shared" si="4"/>
        <v>#DIV/0!</v>
      </c>
    </row>
    <row r="60" spans="1:35" s="784" customFormat="1" ht="18" customHeight="1" x14ac:dyDescent="0.25">
      <c r="A60" s="749">
        <v>53</v>
      </c>
      <c r="B60" s="745"/>
      <c r="C60" s="746">
        <v>2026</v>
      </c>
      <c r="D60" s="685" t="s">
        <v>3730</v>
      </c>
      <c r="E60" s="712" t="s">
        <v>3731</v>
      </c>
      <c r="F60" s="757"/>
      <c r="G60" s="757"/>
      <c r="H60" s="757"/>
      <c r="I60" s="757"/>
      <c r="J60" s="757"/>
      <c r="K60" s="757"/>
      <c r="L60" s="757"/>
      <c r="M60" s="757"/>
      <c r="N60" s="757"/>
      <c r="O60" s="757"/>
      <c r="P60" s="757"/>
      <c r="Q60" s="757"/>
      <c r="R60" s="757"/>
      <c r="S60" s="757"/>
      <c r="T60" s="757"/>
      <c r="U60" s="757"/>
      <c r="V60" s="757"/>
      <c r="W60" s="757"/>
      <c r="X60" s="757"/>
      <c r="Y60" s="782">
        <f t="shared" si="1"/>
        <v>0</v>
      </c>
      <c r="Z60" s="707"/>
      <c r="AA60" s="707"/>
      <c r="AB60" s="707"/>
      <c r="AC60" s="782">
        <f t="shared" si="5"/>
        <v>0</v>
      </c>
      <c r="AD60" s="782">
        <f t="shared" si="6"/>
        <v>0</v>
      </c>
      <c r="AE60" s="778"/>
      <c r="AF60" s="814"/>
      <c r="AG60" s="695" t="s">
        <v>3813</v>
      </c>
      <c r="AH60" s="856"/>
      <c r="AI60" s="781" t="e">
        <f t="shared" si="4"/>
        <v>#DIV/0!</v>
      </c>
    </row>
    <row r="61" spans="1:35" s="784" customFormat="1" ht="18" customHeight="1" x14ac:dyDescent="0.25">
      <c r="A61" s="749">
        <v>54</v>
      </c>
      <c r="B61" s="745"/>
      <c r="C61" s="746">
        <v>2026</v>
      </c>
      <c r="D61" s="685" t="s">
        <v>3732</v>
      </c>
      <c r="E61" s="712" t="s">
        <v>2415</v>
      </c>
      <c r="F61" s="757"/>
      <c r="G61" s="757"/>
      <c r="H61" s="757"/>
      <c r="I61" s="757"/>
      <c r="J61" s="757"/>
      <c r="K61" s="757"/>
      <c r="L61" s="757"/>
      <c r="M61" s="757"/>
      <c r="N61" s="757"/>
      <c r="O61" s="757"/>
      <c r="P61" s="757"/>
      <c r="Q61" s="757"/>
      <c r="R61" s="757"/>
      <c r="S61" s="757"/>
      <c r="T61" s="757"/>
      <c r="U61" s="757"/>
      <c r="V61" s="757"/>
      <c r="W61" s="757"/>
      <c r="X61" s="757"/>
      <c r="Y61" s="782">
        <f t="shared" si="1"/>
        <v>0</v>
      </c>
      <c r="Z61" s="707"/>
      <c r="AA61" s="707"/>
      <c r="AB61" s="707"/>
      <c r="AC61" s="782">
        <f t="shared" si="5"/>
        <v>0</v>
      </c>
      <c r="AD61" s="782">
        <f t="shared" si="6"/>
        <v>0</v>
      </c>
      <c r="AE61" s="778"/>
      <c r="AF61" s="814"/>
      <c r="AG61" s="695" t="s">
        <v>3196</v>
      </c>
      <c r="AH61" s="856"/>
      <c r="AI61" s="781" t="e">
        <f t="shared" si="4"/>
        <v>#DIV/0!</v>
      </c>
    </row>
    <row r="62" spans="1:35" s="784" customFormat="1" ht="18" customHeight="1" x14ac:dyDescent="0.25">
      <c r="A62" s="749">
        <v>55</v>
      </c>
      <c r="B62" s="745"/>
      <c r="C62" s="746">
        <v>2026</v>
      </c>
      <c r="D62" s="685" t="s">
        <v>3733</v>
      </c>
      <c r="E62" s="712" t="s">
        <v>3734</v>
      </c>
      <c r="F62" s="757"/>
      <c r="G62" s="757"/>
      <c r="H62" s="757"/>
      <c r="I62" s="757"/>
      <c r="J62" s="757"/>
      <c r="K62" s="757"/>
      <c r="L62" s="757"/>
      <c r="M62" s="757"/>
      <c r="N62" s="757"/>
      <c r="O62" s="757"/>
      <c r="P62" s="757"/>
      <c r="Q62" s="757"/>
      <c r="R62" s="757"/>
      <c r="S62" s="757"/>
      <c r="T62" s="757"/>
      <c r="U62" s="757"/>
      <c r="V62" s="757"/>
      <c r="W62" s="757"/>
      <c r="X62" s="757"/>
      <c r="Y62" s="782">
        <f t="shared" si="1"/>
        <v>0</v>
      </c>
      <c r="Z62" s="707"/>
      <c r="AA62" s="707"/>
      <c r="AB62" s="707"/>
      <c r="AC62" s="782">
        <f>SUM(Z62:AB62)/3</f>
        <v>0</v>
      </c>
      <c r="AD62" s="782">
        <f>SUM(Y62+AC62)/2</f>
        <v>0</v>
      </c>
      <c r="AE62" s="778"/>
      <c r="AF62" s="814"/>
      <c r="AG62" s="695" t="s">
        <v>3643</v>
      </c>
      <c r="AH62" s="856"/>
      <c r="AI62" s="781" t="e">
        <f t="shared" si="4"/>
        <v>#DIV/0!</v>
      </c>
    </row>
    <row r="63" spans="1:35" s="784" customFormat="1" ht="18" customHeight="1" x14ac:dyDescent="0.25">
      <c r="A63" s="749">
        <v>56</v>
      </c>
      <c r="B63" s="745"/>
      <c r="C63" s="746">
        <v>2026</v>
      </c>
      <c r="D63" s="685" t="s">
        <v>3735</v>
      </c>
      <c r="E63" s="712" t="s">
        <v>3178</v>
      </c>
      <c r="F63" s="757"/>
      <c r="G63" s="757"/>
      <c r="H63" s="757"/>
      <c r="I63" s="757"/>
      <c r="J63" s="757"/>
      <c r="K63" s="757"/>
      <c r="L63" s="757"/>
      <c r="M63" s="757"/>
      <c r="N63" s="757"/>
      <c r="O63" s="757"/>
      <c r="P63" s="757"/>
      <c r="Q63" s="757"/>
      <c r="R63" s="757"/>
      <c r="S63" s="757"/>
      <c r="T63" s="757"/>
      <c r="U63" s="757"/>
      <c r="V63" s="757"/>
      <c r="W63" s="757"/>
      <c r="X63" s="757"/>
      <c r="Y63" s="782">
        <f t="shared" si="1"/>
        <v>0</v>
      </c>
      <c r="Z63" s="707"/>
      <c r="AA63" s="707"/>
      <c r="AB63" s="707"/>
      <c r="AC63" s="782"/>
      <c r="AD63" s="782"/>
      <c r="AE63" s="778"/>
      <c r="AF63" s="814"/>
      <c r="AG63" s="695" t="s">
        <v>3354</v>
      </c>
      <c r="AH63" s="856"/>
      <c r="AI63" s="781" t="e">
        <f t="shared" si="4"/>
        <v>#DIV/0!</v>
      </c>
    </row>
    <row r="64" spans="1:35" s="784" customFormat="1" ht="18" customHeight="1" x14ac:dyDescent="0.25">
      <c r="A64" s="749">
        <v>57</v>
      </c>
      <c r="B64" s="745"/>
      <c r="C64" s="746">
        <v>2026</v>
      </c>
      <c r="D64" s="685" t="s">
        <v>3736</v>
      </c>
      <c r="E64" s="712" t="s">
        <v>3737</v>
      </c>
      <c r="F64" s="757"/>
      <c r="G64" s="757"/>
      <c r="H64" s="757"/>
      <c r="I64" s="757"/>
      <c r="J64" s="757"/>
      <c r="K64" s="757"/>
      <c r="L64" s="757"/>
      <c r="M64" s="757"/>
      <c r="N64" s="757"/>
      <c r="O64" s="757"/>
      <c r="P64" s="757"/>
      <c r="Q64" s="757"/>
      <c r="R64" s="757"/>
      <c r="S64" s="757"/>
      <c r="T64" s="757"/>
      <c r="U64" s="757"/>
      <c r="V64" s="757"/>
      <c r="W64" s="757"/>
      <c r="X64" s="757"/>
      <c r="Y64" s="782">
        <f t="shared" si="1"/>
        <v>0</v>
      </c>
      <c r="Z64" s="707"/>
      <c r="AA64" s="707"/>
      <c r="AB64" s="707"/>
      <c r="AC64" s="782"/>
      <c r="AD64" s="782"/>
      <c r="AE64" s="778"/>
      <c r="AF64" s="814"/>
      <c r="AG64" s="695" t="s">
        <v>3824</v>
      </c>
      <c r="AH64" s="856"/>
      <c r="AI64" s="781" t="e">
        <f t="shared" si="4"/>
        <v>#DIV/0!</v>
      </c>
    </row>
    <row r="65" spans="1:35" s="784" customFormat="1" ht="18" customHeight="1" x14ac:dyDescent="0.25">
      <c r="A65" s="749">
        <v>58</v>
      </c>
      <c r="B65" s="745"/>
      <c r="C65" s="746">
        <v>2026</v>
      </c>
      <c r="D65" s="685" t="s">
        <v>3738</v>
      </c>
      <c r="E65" s="712" t="s">
        <v>3739</v>
      </c>
      <c r="F65" s="757"/>
      <c r="G65" s="757"/>
      <c r="H65" s="757"/>
      <c r="I65" s="757"/>
      <c r="J65" s="757"/>
      <c r="K65" s="757"/>
      <c r="L65" s="757"/>
      <c r="M65" s="757"/>
      <c r="N65" s="757"/>
      <c r="O65" s="757"/>
      <c r="P65" s="757"/>
      <c r="Q65" s="757"/>
      <c r="R65" s="757"/>
      <c r="S65" s="757"/>
      <c r="T65" s="757"/>
      <c r="U65" s="757"/>
      <c r="V65" s="757"/>
      <c r="W65" s="757"/>
      <c r="X65" s="757"/>
      <c r="Y65" s="782">
        <f t="shared" si="1"/>
        <v>0</v>
      </c>
      <c r="Z65" s="707"/>
      <c r="AA65" s="707"/>
      <c r="AB65" s="707"/>
      <c r="AC65" s="782"/>
      <c r="AD65" s="782"/>
      <c r="AE65" s="778"/>
      <c r="AF65" s="814"/>
      <c r="AG65" s="695" t="s">
        <v>3825</v>
      </c>
      <c r="AH65" s="856"/>
      <c r="AI65" s="781" t="e">
        <f t="shared" si="4"/>
        <v>#DIV/0!</v>
      </c>
    </row>
    <row r="66" spans="1:35" s="784" customFormat="1" ht="18" customHeight="1" x14ac:dyDescent="0.25">
      <c r="A66" s="749">
        <v>59</v>
      </c>
      <c r="B66" s="745"/>
      <c r="C66" s="746">
        <v>2026</v>
      </c>
      <c r="D66" s="685" t="s">
        <v>3740</v>
      </c>
      <c r="E66" s="712" t="s">
        <v>3741</v>
      </c>
      <c r="F66" s="757"/>
      <c r="G66" s="757"/>
      <c r="H66" s="757"/>
      <c r="I66" s="757"/>
      <c r="J66" s="757"/>
      <c r="K66" s="757"/>
      <c r="L66" s="757"/>
      <c r="M66" s="757"/>
      <c r="N66" s="757"/>
      <c r="O66" s="757"/>
      <c r="P66" s="757"/>
      <c r="Q66" s="757"/>
      <c r="R66" s="757"/>
      <c r="S66" s="757"/>
      <c r="T66" s="757"/>
      <c r="U66" s="757"/>
      <c r="V66" s="757"/>
      <c r="W66" s="757"/>
      <c r="X66" s="757"/>
      <c r="Y66" s="782">
        <f t="shared" si="1"/>
        <v>0</v>
      </c>
      <c r="Z66" s="707"/>
      <c r="AA66" s="707"/>
      <c r="AB66" s="707"/>
      <c r="AC66" s="782"/>
      <c r="AD66" s="782"/>
      <c r="AE66" s="778"/>
      <c r="AF66" s="814"/>
      <c r="AG66" s="695" t="s">
        <v>3826</v>
      </c>
      <c r="AH66" s="856"/>
      <c r="AI66" s="781" t="e">
        <f t="shared" si="4"/>
        <v>#DIV/0!</v>
      </c>
    </row>
    <row r="67" spans="1:35" s="784" customFormat="1" ht="18" customHeight="1" x14ac:dyDescent="0.25">
      <c r="A67" s="749">
        <v>60</v>
      </c>
      <c r="B67" s="745"/>
      <c r="C67" s="746">
        <v>2026</v>
      </c>
      <c r="D67" s="685" t="s">
        <v>2432</v>
      </c>
      <c r="E67" s="712" t="s">
        <v>3742</v>
      </c>
      <c r="F67" s="757"/>
      <c r="G67" s="757"/>
      <c r="H67" s="757"/>
      <c r="I67" s="757"/>
      <c r="J67" s="757"/>
      <c r="K67" s="757"/>
      <c r="L67" s="757"/>
      <c r="M67" s="757"/>
      <c r="N67" s="757"/>
      <c r="O67" s="757"/>
      <c r="P67" s="757"/>
      <c r="Q67" s="757"/>
      <c r="R67" s="757"/>
      <c r="S67" s="757"/>
      <c r="T67" s="757"/>
      <c r="U67" s="757"/>
      <c r="V67" s="757"/>
      <c r="W67" s="757"/>
      <c r="X67" s="757"/>
      <c r="Y67" s="782">
        <f t="shared" si="1"/>
        <v>0</v>
      </c>
      <c r="Z67" s="707"/>
      <c r="AA67" s="707"/>
      <c r="AB67" s="707"/>
      <c r="AC67" s="782"/>
      <c r="AD67" s="782"/>
      <c r="AE67" s="778"/>
      <c r="AF67" s="814"/>
      <c r="AG67" s="695" t="s">
        <v>3457</v>
      </c>
      <c r="AH67" s="856"/>
      <c r="AI67" s="781" t="e">
        <f t="shared" si="4"/>
        <v>#DIV/0!</v>
      </c>
    </row>
    <row r="68" spans="1:35" s="784" customFormat="1" ht="18" customHeight="1" x14ac:dyDescent="0.25">
      <c r="A68" s="749">
        <v>61</v>
      </c>
      <c r="B68" s="745"/>
      <c r="C68" s="746">
        <v>2026</v>
      </c>
      <c r="D68" s="685" t="s">
        <v>3743</v>
      </c>
      <c r="E68" s="712" t="s">
        <v>3744</v>
      </c>
      <c r="F68" s="757"/>
      <c r="G68" s="757"/>
      <c r="H68" s="757"/>
      <c r="I68" s="757"/>
      <c r="J68" s="757"/>
      <c r="K68" s="757"/>
      <c r="L68" s="757"/>
      <c r="M68" s="757"/>
      <c r="N68" s="757"/>
      <c r="O68" s="757"/>
      <c r="P68" s="757"/>
      <c r="Q68" s="757"/>
      <c r="R68" s="757"/>
      <c r="S68" s="757"/>
      <c r="T68" s="757"/>
      <c r="U68" s="757"/>
      <c r="V68" s="757"/>
      <c r="W68" s="757"/>
      <c r="X68" s="757"/>
      <c r="Y68" s="782">
        <f t="shared" si="1"/>
        <v>0</v>
      </c>
      <c r="Z68" s="707"/>
      <c r="AA68" s="707"/>
      <c r="AB68" s="707"/>
      <c r="AC68" s="782"/>
      <c r="AD68" s="782"/>
      <c r="AE68" s="778"/>
      <c r="AF68" s="814"/>
      <c r="AG68" s="695" t="s">
        <v>3827</v>
      </c>
      <c r="AH68" s="856"/>
      <c r="AI68" s="787" t="e">
        <f t="shared" si="4"/>
        <v>#DIV/0!</v>
      </c>
    </row>
    <row r="69" spans="1:35" s="784" customFormat="1" ht="18" customHeight="1" x14ac:dyDescent="0.25">
      <c r="A69" s="749">
        <v>62</v>
      </c>
      <c r="B69" s="745"/>
      <c r="C69" s="746">
        <v>2026</v>
      </c>
      <c r="D69" s="685" t="s">
        <v>3745</v>
      </c>
      <c r="E69" s="712" t="s">
        <v>500</v>
      </c>
      <c r="F69" s="757"/>
      <c r="G69" s="757"/>
      <c r="H69" s="757"/>
      <c r="I69" s="757"/>
      <c r="J69" s="757"/>
      <c r="K69" s="757"/>
      <c r="L69" s="757"/>
      <c r="M69" s="757"/>
      <c r="N69" s="757"/>
      <c r="O69" s="757"/>
      <c r="P69" s="757"/>
      <c r="Q69" s="757"/>
      <c r="R69" s="757"/>
      <c r="S69" s="757"/>
      <c r="T69" s="757"/>
      <c r="U69" s="757"/>
      <c r="V69" s="757"/>
      <c r="W69" s="757"/>
      <c r="X69" s="757"/>
      <c r="Y69" s="782">
        <f t="shared" si="1"/>
        <v>0</v>
      </c>
      <c r="Z69" s="707"/>
      <c r="AA69" s="707"/>
      <c r="AB69" s="707"/>
      <c r="AC69" s="782"/>
      <c r="AD69" s="782"/>
      <c r="AE69" s="778"/>
      <c r="AF69" s="814"/>
      <c r="AG69" s="695" t="s">
        <v>3828</v>
      </c>
      <c r="AH69" s="856"/>
      <c r="AI69" s="781" t="e">
        <f t="shared" si="4"/>
        <v>#DIV/0!</v>
      </c>
    </row>
    <row r="70" spans="1:35" s="784" customFormat="1" ht="18" customHeight="1" x14ac:dyDescent="0.25">
      <c r="A70" s="749">
        <v>63</v>
      </c>
      <c r="B70" s="745"/>
      <c r="C70" s="746">
        <v>2026</v>
      </c>
      <c r="D70" s="685" t="s">
        <v>3746</v>
      </c>
      <c r="E70" s="712" t="s">
        <v>3747</v>
      </c>
      <c r="F70" s="757"/>
      <c r="G70" s="757"/>
      <c r="H70" s="757"/>
      <c r="I70" s="757"/>
      <c r="J70" s="757"/>
      <c r="K70" s="757"/>
      <c r="L70" s="757"/>
      <c r="M70" s="757"/>
      <c r="N70" s="757"/>
      <c r="O70" s="757"/>
      <c r="P70" s="757"/>
      <c r="Q70" s="757"/>
      <c r="R70" s="757"/>
      <c r="S70" s="757"/>
      <c r="T70" s="757"/>
      <c r="U70" s="757"/>
      <c r="V70" s="757"/>
      <c r="W70" s="757"/>
      <c r="X70" s="757"/>
      <c r="Y70" s="782">
        <f t="shared" si="1"/>
        <v>0</v>
      </c>
      <c r="Z70" s="707"/>
      <c r="AA70" s="707"/>
      <c r="AB70" s="707"/>
      <c r="AC70" s="782"/>
      <c r="AD70" s="782"/>
      <c r="AE70" s="778"/>
      <c r="AF70" s="814"/>
      <c r="AG70" s="695" t="s">
        <v>3207</v>
      </c>
      <c r="AH70" s="856"/>
      <c r="AI70" s="781" t="e">
        <f t="shared" si="4"/>
        <v>#DIV/0!</v>
      </c>
    </row>
    <row r="71" spans="1:35" s="784" customFormat="1" ht="18" customHeight="1" x14ac:dyDescent="0.25">
      <c r="A71" s="749">
        <v>64</v>
      </c>
      <c r="B71" s="745"/>
      <c r="C71" s="746">
        <v>2026</v>
      </c>
      <c r="D71" s="685" t="s">
        <v>3748</v>
      </c>
      <c r="E71" s="712" t="s">
        <v>3566</v>
      </c>
      <c r="F71" s="757"/>
      <c r="G71" s="757"/>
      <c r="H71" s="757"/>
      <c r="I71" s="757"/>
      <c r="J71" s="757"/>
      <c r="K71" s="757"/>
      <c r="L71" s="757"/>
      <c r="M71" s="757"/>
      <c r="N71" s="757"/>
      <c r="O71" s="757"/>
      <c r="P71" s="757"/>
      <c r="Q71" s="757"/>
      <c r="R71" s="757"/>
      <c r="S71" s="757"/>
      <c r="T71" s="757"/>
      <c r="U71" s="757"/>
      <c r="V71" s="757"/>
      <c r="W71" s="757"/>
      <c r="X71" s="757"/>
      <c r="Y71" s="782">
        <f t="shared" si="1"/>
        <v>0</v>
      </c>
      <c r="Z71" s="707"/>
      <c r="AA71" s="707"/>
      <c r="AB71" s="707"/>
      <c r="AC71" s="782"/>
      <c r="AD71" s="782"/>
      <c r="AE71" s="778"/>
      <c r="AF71" s="814"/>
      <c r="AG71" s="695" t="s">
        <v>3213</v>
      </c>
      <c r="AH71" s="856"/>
      <c r="AI71" s="781" t="e">
        <f t="shared" si="4"/>
        <v>#DIV/0!</v>
      </c>
    </row>
    <row r="72" spans="1:35" s="784" customFormat="1" ht="18" customHeight="1" x14ac:dyDescent="0.25">
      <c r="A72" s="749">
        <v>65</v>
      </c>
      <c r="B72" s="745"/>
      <c r="C72" s="746">
        <v>2026</v>
      </c>
      <c r="D72" s="685" t="s">
        <v>3749</v>
      </c>
      <c r="E72" s="712" t="s">
        <v>3750</v>
      </c>
      <c r="F72" s="757"/>
      <c r="G72" s="757"/>
      <c r="H72" s="757"/>
      <c r="I72" s="757"/>
      <c r="J72" s="757"/>
      <c r="K72" s="757"/>
      <c r="L72" s="757"/>
      <c r="M72" s="757"/>
      <c r="N72" s="757"/>
      <c r="O72" s="757"/>
      <c r="P72" s="757"/>
      <c r="Q72" s="757"/>
      <c r="R72" s="757"/>
      <c r="S72" s="757"/>
      <c r="T72" s="757"/>
      <c r="U72" s="757"/>
      <c r="V72" s="757"/>
      <c r="W72" s="757"/>
      <c r="X72" s="757"/>
      <c r="Y72" s="782">
        <f t="shared" si="1"/>
        <v>0</v>
      </c>
      <c r="Z72" s="707"/>
      <c r="AA72" s="707"/>
      <c r="AB72" s="707"/>
      <c r="AC72" s="782"/>
      <c r="AD72" s="782"/>
      <c r="AE72" s="778"/>
      <c r="AF72" s="814"/>
      <c r="AG72" s="695" t="s">
        <v>3829</v>
      </c>
      <c r="AH72" s="856"/>
      <c r="AI72" s="781" t="e">
        <f t="shared" si="4"/>
        <v>#DIV/0!</v>
      </c>
    </row>
    <row r="73" spans="1:35" s="784" customFormat="1" ht="18" customHeight="1" x14ac:dyDescent="0.25">
      <c r="A73" s="749">
        <v>66</v>
      </c>
      <c r="B73" s="745"/>
      <c r="C73" s="746">
        <v>2026</v>
      </c>
      <c r="D73" s="685" t="s">
        <v>3751</v>
      </c>
      <c r="E73" s="712" t="s">
        <v>3752</v>
      </c>
      <c r="F73" s="757"/>
      <c r="G73" s="757"/>
      <c r="H73" s="757"/>
      <c r="I73" s="757"/>
      <c r="J73" s="757"/>
      <c r="K73" s="757"/>
      <c r="L73" s="757"/>
      <c r="M73" s="757"/>
      <c r="N73" s="757"/>
      <c r="O73" s="757"/>
      <c r="P73" s="757"/>
      <c r="Q73" s="757"/>
      <c r="R73" s="757"/>
      <c r="S73" s="757"/>
      <c r="T73" s="757"/>
      <c r="U73" s="757"/>
      <c r="V73" s="757"/>
      <c r="W73" s="757"/>
      <c r="X73" s="757"/>
      <c r="Y73" s="782">
        <f t="shared" si="1"/>
        <v>0</v>
      </c>
      <c r="Z73" s="707"/>
      <c r="AA73" s="707"/>
      <c r="AB73" s="707"/>
      <c r="AC73" s="782"/>
      <c r="AD73" s="782"/>
      <c r="AE73" s="778"/>
      <c r="AF73" s="814"/>
      <c r="AG73" s="695" t="s">
        <v>3830</v>
      </c>
      <c r="AH73" s="856"/>
      <c r="AI73" s="781" t="e">
        <f t="shared" si="4"/>
        <v>#DIV/0!</v>
      </c>
    </row>
    <row r="74" spans="1:35" s="784" customFormat="1" ht="18" customHeight="1" x14ac:dyDescent="0.25">
      <c r="A74" s="749">
        <v>67</v>
      </c>
      <c r="B74" s="745"/>
      <c r="C74" s="746">
        <v>2026</v>
      </c>
      <c r="D74" s="685" t="s">
        <v>3753</v>
      </c>
      <c r="E74" s="712" t="s">
        <v>3754</v>
      </c>
      <c r="F74" s="757"/>
      <c r="G74" s="757"/>
      <c r="H74" s="757"/>
      <c r="I74" s="757"/>
      <c r="J74" s="757"/>
      <c r="K74" s="757"/>
      <c r="L74" s="757"/>
      <c r="M74" s="757"/>
      <c r="N74" s="757"/>
      <c r="O74" s="757"/>
      <c r="P74" s="757"/>
      <c r="Q74" s="757"/>
      <c r="R74" s="757"/>
      <c r="S74" s="757"/>
      <c r="T74" s="757"/>
      <c r="U74" s="757"/>
      <c r="V74" s="757"/>
      <c r="W74" s="757"/>
      <c r="X74" s="757"/>
      <c r="Y74" s="782">
        <f t="shared" si="1"/>
        <v>0</v>
      </c>
      <c r="Z74" s="707"/>
      <c r="AA74" s="707"/>
      <c r="AB74" s="707"/>
      <c r="AC74" s="782"/>
      <c r="AD74" s="782"/>
      <c r="AE74" s="778"/>
      <c r="AF74" s="814"/>
      <c r="AG74" s="695" t="s">
        <v>2478</v>
      </c>
      <c r="AH74" s="856"/>
      <c r="AI74" s="781" t="e">
        <f t="shared" si="4"/>
        <v>#DIV/0!</v>
      </c>
    </row>
    <row r="75" spans="1:35" s="784" customFormat="1" ht="18" customHeight="1" x14ac:dyDescent="0.25">
      <c r="A75" s="749">
        <v>68</v>
      </c>
      <c r="B75" s="745"/>
      <c r="C75" s="746">
        <v>2026</v>
      </c>
      <c r="D75" s="685" t="s">
        <v>3755</v>
      </c>
      <c r="E75" s="712" t="s">
        <v>3756</v>
      </c>
      <c r="F75" s="757"/>
      <c r="G75" s="757"/>
      <c r="H75" s="757"/>
      <c r="I75" s="757"/>
      <c r="J75" s="757"/>
      <c r="K75" s="757"/>
      <c r="L75" s="757"/>
      <c r="M75" s="757"/>
      <c r="N75" s="757"/>
      <c r="O75" s="757"/>
      <c r="P75" s="757"/>
      <c r="Q75" s="757"/>
      <c r="R75" s="757"/>
      <c r="S75" s="757"/>
      <c r="T75" s="757"/>
      <c r="U75" s="757"/>
      <c r="V75" s="757"/>
      <c r="W75" s="757"/>
      <c r="X75" s="757"/>
      <c r="Y75" s="782">
        <f t="shared" si="1"/>
        <v>0</v>
      </c>
      <c r="Z75" s="707"/>
      <c r="AA75" s="707"/>
      <c r="AB75" s="707"/>
      <c r="AC75" s="782"/>
      <c r="AD75" s="782"/>
      <c r="AE75" s="778"/>
      <c r="AF75" s="814"/>
      <c r="AG75" s="695" t="s">
        <v>3831</v>
      </c>
      <c r="AH75" s="856"/>
      <c r="AI75" s="781" t="e">
        <f t="shared" si="4"/>
        <v>#DIV/0!</v>
      </c>
    </row>
    <row r="76" spans="1:35" s="784" customFormat="1" ht="18" customHeight="1" x14ac:dyDescent="0.25">
      <c r="A76" s="749">
        <v>69</v>
      </c>
      <c r="B76" s="745"/>
      <c r="C76" s="746">
        <v>2026</v>
      </c>
      <c r="D76" s="685" t="s">
        <v>3757</v>
      </c>
      <c r="E76" s="712" t="s">
        <v>2422</v>
      </c>
      <c r="F76" s="757"/>
      <c r="G76" s="757"/>
      <c r="H76" s="757"/>
      <c r="I76" s="757"/>
      <c r="J76" s="757"/>
      <c r="K76" s="757"/>
      <c r="L76" s="757"/>
      <c r="M76" s="757"/>
      <c r="N76" s="757"/>
      <c r="O76" s="757"/>
      <c r="P76" s="757"/>
      <c r="Q76" s="757"/>
      <c r="R76" s="757"/>
      <c r="S76" s="757"/>
      <c r="T76" s="757"/>
      <c r="U76" s="757"/>
      <c r="V76" s="757"/>
      <c r="W76" s="757"/>
      <c r="X76" s="757"/>
      <c r="Y76" s="782">
        <f t="shared" si="1"/>
        <v>0</v>
      </c>
      <c r="Z76" s="707"/>
      <c r="AA76" s="707"/>
      <c r="AB76" s="707"/>
      <c r="AC76" s="782"/>
      <c r="AD76" s="782"/>
      <c r="AE76" s="778"/>
      <c r="AF76" s="814"/>
      <c r="AG76" s="695" t="s">
        <v>3246</v>
      </c>
      <c r="AH76" s="856"/>
      <c r="AI76" s="781" t="e">
        <f t="shared" si="4"/>
        <v>#DIV/0!</v>
      </c>
    </row>
    <row r="77" spans="1:35" s="784" customFormat="1" ht="18" customHeight="1" x14ac:dyDescent="0.25">
      <c r="A77" s="749">
        <v>70</v>
      </c>
      <c r="B77" s="745"/>
      <c r="C77" s="746">
        <v>2026</v>
      </c>
      <c r="D77" s="685" t="s">
        <v>3758</v>
      </c>
      <c r="E77" s="712" t="s">
        <v>2614</v>
      </c>
      <c r="F77" s="757"/>
      <c r="G77" s="757"/>
      <c r="H77" s="757"/>
      <c r="I77" s="757"/>
      <c r="J77" s="757"/>
      <c r="K77" s="757"/>
      <c r="L77" s="757"/>
      <c r="M77" s="757"/>
      <c r="N77" s="757"/>
      <c r="O77" s="757"/>
      <c r="P77" s="757"/>
      <c r="Q77" s="757"/>
      <c r="R77" s="757"/>
      <c r="S77" s="757"/>
      <c r="T77" s="757"/>
      <c r="U77" s="757"/>
      <c r="V77" s="757"/>
      <c r="W77" s="757"/>
      <c r="X77" s="757"/>
      <c r="Y77" s="782">
        <f t="shared" si="1"/>
        <v>0</v>
      </c>
      <c r="Z77" s="707"/>
      <c r="AA77" s="707"/>
      <c r="AB77" s="707"/>
      <c r="AC77" s="782"/>
      <c r="AD77" s="782"/>
      <c r="AE77" s="778"/>
      <c r="AF77" s="814"/>
      <c r="AG77" s="695" t="s">
        <v>2506</v>
      </c>
      <c r="AH77" s="856"/>
      <c r="AI77" s="781" t="e">
        <f t="shared" si="4"/>
        <v>#DIV/0!</v>
      </c>
    </row>
    <row r="78" spans="1:35" s="784" customFormat="1" ht="18" customHeight="1" x14ac:dyDescent="0.25">
      <c r="A78" s="749">
        <v>71</v>
      </c>
      <c r="B78" s="745"/>
      <c r="C78" s="746">
        <v>2026</v>
      </c>
      <c r="D78" s="685" t="s">
        <v>3759</v>
      </c>
      <c r="E78" s="712" t="s">
        <v>3760</v>
      </c>
      <c r="F78" s="757"/>
      <c r="G78" s="757"/>
      <c r="H78" s="757"/>
      <c r="I78" s="757"/>
      <c r="J78" s="757"/>
      <c r="K78" s="757"/>
      <c r="L78" s="757"/>
      <c r="M78" s="757"/>
      <c r="N78" s="757"/>
      <c r="O78" s="757"/>
      <c r="P78" s="757"/>
      <c r="Q78" s="757"/>
      <c r="R78" s="757"/>
      <c r="S78" s="757"/>
      <c r="T78" s="757"/>
      <c r="U78" s="757"/>
      <c r="V78" s="757"/>
      <c r="W78" s="757"/>
      <c r="X78" s="757"/>
      <c r="Y78" s="782">
        <f t="shared" si="1"/>
        <v>0</v>
      </c>
      <c r="Z78" s="707"/>
      <c r="AA78" s="707"/>
      <c r="AB78" s="707"/>
      <c r="AC78" s="782"/>
      <c r="AD78" s="782"/>
      <c r="AE78" s="778"/>
      <c r="AF78" s="814"/>
      <c r="AG78" s="695" t="s">
        <v>3832</v>
      </c>
      <c r="AH78" s="856"/>
      <c r="AI78" s="781" t="e">
        <f t="shared" si="4"/>
        <v>#DIV/0!</v>
      </c>
    </row>
    <row r="79" spans="1:35" s="784" customFormat="1" ht="18" customHeight="1" x14ac:dyDescent="0.25">
      <c r="A79" s="749">
        <v>72</v>
      </c>
      <c r="B79" s="745"/>
      <c r="C79" s="746">
        <v>2026</v>
      </c>
      <c r="D79" s="685" t="s">
        <v>3618</v>
      </c>
      <c r="E79" s="712" t="s">
        <v>3283</v>
      </c>
      <c r="F79" s="757"/>
      <c r="G79" s="757"/>
      <c r="H79" s="757"/>
      <c r="I79" s="757"/>
      <c r="J79" s="757"/>
      <c r="K79" s="757"/>
      <c r="L79" s="757"/>
      <c r="M79" s="757"/>
      <c r="N79" s="757"/>
      <c r="O79" s="757"/>
      <c r="P79" s="757"/>
      <c r="Q79" s="757"/>
      <c r="R79" s="757"/>
      <c r="S79" s="757"/>
      <c r="T79" s="757"/>
      <c r="U79" s="757"/>
      <c r="V79" s="757"/>
      <c r="W79" s="757"/>
      <c r="X79" s="757"/>
      <c r="Y79" s="782">
        <f t="shared" si="1"/>
        <v>0</v>
      </c>
      <c r="Z79" s="707"/>
      <c r="AA79" s="707"/>
      <c r="AB79" s="707"/>
      <c r="AC79" s="782"/>
      <c r="AD79" s="782"/>
      <c r="AE79" s="778"/>
      <c r="AF79" s="814"/>
      <c r="AG79" s="695" t="s">
        <v>3833</v>
      </c>
      <c r="AH79" s="856"/>
      <c r="AI79" s="781" t="e">
        <f t="shared" si="4"/>
        <v>#DIV/0!</v>
      </c>
    </row>
    <row r="80" spans="1:35" s="784" customFormat="1" ht="18" customHeight="1" x14ac:dyDescent="0.25">
      <c r="A80" s="749">
        <v>73</v>
      </c>
      <c r="B80" s="745"/>
      <c r="C80" s="746">
        <v>2026</v>
      </c>
      <c r="D80" s="685" t="s">
        <v>3761</v>
      </c>
      <c r="E80" s="712" t="s">
        <v>3762</v>
      </c>
      <c r="F80" s="757"/>
      <c r="G80" s="757"/>
      <c r="H80" s="757"/>
      <c r="I80" s="757"/>
      <c r="J80" s="757"/>
      <c r="K80" s="757"/>
      <c r="L80" s="757"/>
      <c r="M80" s="757"/>
      <c r="N80" s="757"/>
      <c r="O80" s="757"/>
      <c r="P80" s="757"/>
      <c r="Q80" s="757"/>
      <c r="R80" s="757"/>
      <c r="S80" s="757"/>
      <c r="T80" s="757"/>
      <c r="U80" s="757"/>
      <c r="V80" s="757"/>
      <c r="W80" s="757"/>
      <c r="X80" s="757"/>
      <c r="Y80" s="782">
        <f t="shared" ref="Y80:Y87" si="7">SUM(F80:X80)/19</f>
        <v>0</v>
      </c>
      <c r="Z80" s="707"/>
      <c r="AA80" s="707"/>
      <c r="AB80" s="707"/>
      <c r="AC80" s="782"/>
      <c r="AD80" s="782"/>
      <c r="AE80" s="778"/>
      <c r="AF80" s="814"/>
      <c r="AG80" s="695" t="s">
        <v>3225</v>
      </c>
      <c r="AH80" s="856"/>
      <c r="AI80" s="781" t="e">
        <f t="shared" ref="AI80:AI90" si="8">AVERAGE(F80:X80)</f>
        <v>#DIV/0!</v>
      </c>
    </row>
    <row r="81" spans="1:35" s="784" customFormat="1" ht="18" customHeight="1" x14ac:dyDescent="0.25">
      <c r="A81" s="749">
        <v>74</v>
      </c>
      <c r="B81" s="745"/>
      <c r="C81" s="746">
        <v>2026</v>
      </c>
      <c r="D81" s="685" t="s">
        <v>3763</v>
      </c>
      <c r="E81" s="712" t="s">
        <v>3764</v>
      </c>
      <c r="F81" s="757"/>
      <c r="G81" s="757"/>
      <c r="H81" s="757"/>
      <c r="I81" s="757"/>
      <c r="J81" s="757"/>
      <c r="K81" s="757"/>
      <c r="L81" s="757"/>
      <c r="M81" s="757"/>
      <c r="N81" s="757"/>
      <c r="O81" s="757"/>
      <c r="P81" s="757"/>
      <c r="Q81" s="757"/>
      <c r="R81" s="757"/>
      <c r="S81" s="757"/>
      <c r="T81" s="757"/>
      <c r="U81" s="757"/>
      <c r="V81" s="757"/>
      <c r="W81" s="757"/>
      <c r="X81" s="757"/>
      <c r="Y81" s="782">
        <f t="shared" si="7"/>
        <v>0</v>
      </c>
      <c r="Z81" s="707"/>
      <c r="AA81" s="707"/>
      <c r="AB81" s="707"/>
      <c r="AC81" s="782"/>
      <c r="AD81" s="782"/>
      <c r="AE81" s="778"/>
      <c r="AF81" s="814"/>
      <c r="AG81" s="695" t="s">
        <v>3821</v>
      </c>
      <c r="AH81" s="856"/>
      <c r="AI81" s="781" t="e">
        <f t="shared" si="8"/>
        <v>#DIV/0!</v>
      </c>
    </row>
    <row r="82" spans="1:35" s="784" customFormat="1" ht="18" customHeight="1" x14ac:dyDescent="0.25">
      <c r="A82" s="749">
        <v>75</v>
      </c>
      <c r="B82" s="745"/>
      <c r="C82" s="746">
        <v>2026</v>
      </c>
      <c r="D82" s="685" t="s">
        <v>3765</v>
      </c>
      <c r="E82" s="712" t="s">
        <v>3766</v>
      </c>
      <c r="F82" s="757"/>
      <c r="G82" s="757"/>
      <c r="H82" s="757"/>
      <c r="I82" s="757"/>
      <c r="J82" s="757"/>
      <c r="K82" s="757"/>
      <c r="L82" s="757"/>
      <c r="M82" s="757"/>
      <c r="N82" s="757"/>
      <c r="O82" s="757"/>
      <c r="P82" s="757"/>
      <c r="Q82" s="757"/>
      <c r="R82" s="757"/>
      <c r="S82" s="757"/>
      <c r="T82" s="757"/>
      <c r="U82" s="757"/>
      <c r="V82" s="757"/>
      <c r="W82" s="757"/>
      <c r="X82" s="757"/>
      <c r="Y82" s="782">
        <f t="shared" si="7"/>
        <v>0</v>
      </c>
      <c r="Z82" s="707"/>
      <c r="AA82" s="707"/>
      <c r="AB82" s="707"/>
      <c r="AC82" s="782"/>
      <c r="AD82" s="782"/>
      <c r="AE82" s="778"/>
      <c r="AF82" s="814"/>
      <c r="AG82" s="695" t="s">
        <v>3834</v>
      </c>
      <c r="AH82" s="856"/>
      <c r="AI82" s="787" t="e">
        <f t="shared" si="8"/>
        <v>#DIV/0!</v>
      </c>
    </row>
    <row r="83" spans="1:35" s="784" customFormat="1" ht="18" customHeight="1" x14ac:dyDescent="0.25">
      <c r="A83" s="749">
        <v>76</v>
      </c>
      <c r="B83" s="745"/>
      <c r="C83" s="746">
        <v>2026</v>
      </c>
      <c r="D83" s="685" t="s">
        <v>3767</v>
      </c>
      <c r="E83" s="712" t="s">
        <v>3768</v>
      </c>
      <c r="F83" s="757"/>
      <c r="G83" s="757"/>
      <c r="H83" s="757"/>
      <c r="I83" s="757"/>
      <c r="J83" s="757"/>
      <c r="K83" s="757"/>
      <c r="L83" s="757"/>
      <c r="M83" s="757"/>
      <c r="N83" s="757"/>
      <c r="O83" s="757"/>
      <c r="P83" s="757"/>
      <c r="Q83" s="757"/>
      <c r="R83" s="757"/>
      <c r="S83" s="757"/>
      <c r="T83" s="757"/>
      <c r="U83" s="757"/>
      <c r="V83" s="757"/>
      <c r="W83" s="757"/>
      <c r="X83" s="757"/>
      <c r="Y83" s="782">
        <f t="shared" si="7"/>
        <v>0</v>
      </c>
      <c r="Z83" s="707"/>
      <c r="AA83" s="707"/>
      <c r="AB83" s="707"/>
      <c r="AC83" s="782"/>
      <c r="AD83" s="782"/>
      <c r="AE83" s="778"/>
      <c r="AF83" s="814"/>
      <c r="AG83" s="695" t="s">
        <v>2506</v>
      </c>
      <c r="AH83" s="856"/>
      <c r="AI83" s="781" t="e">
        <f t="shared" si="8"/>
        <v>#DIV/0!</v>
      </c>
    </row>
    <row r="84" spans="1:35" s="784" customFormat="1" ht="18" customHeight="1" x14ac:dyDescent="0.25">
      <c r="A84" s="749">
        <v>77</v>
      </c>
      <c r="B84" s="745"/>
      <c r="C84" s="746">
        <v>2026</v>
      </c>
      <c r="D84" s="685" t="s">
        <v>3769</v>
      </c>
      <c r="E84" s="712" t="s">
        <v>3770</v>
      </c>
      <c r="F84" s="757"/>
      <c r="G84" s="757"/>
      <c r="H84" s="757"/>
      <c r="I84" s="757"/>
      <c r="J84" s="757"/>
      <c r="K84" s="757"/>
      <c r="L84" s="757"/>
      <c r="M84" s="757"/>
      <c r="N84" s="757"/>
      <c r="O84" s="757"/>
      <c r="P84" s="757"/>
      <c r="Q84" s="757"/>
      <c r="R84" s="757"/>
      <c r="S84" s="757"/>
      <c r="T84" s="757"/>
      <c r="U84" s="757"/>
      <c r="V84" s="757"/>
      <c r="W84" s="757"/>
      <c r="X84" s="757"/>
      <c r="Y84" s="782">
        <f t="shared" si="7"/>
        <v>0</v>
      </c>
      <c r="Z84" s="707"/>
      <c r="AA84" s="707"/>
      <c r="AB84" s="707"/>
      <c r="AC84" s="782"/>
      <c r="AD84" s="782"/>
      <c r="AE84" s="778"/>
      <c r="AF84" s="814"/>
      <c r="AG84" s="695" t="s">
        <v>2506</v>
      </c>
      <c r="AH84" s="856"/>
      <c r="AI84" s="781" t="e">
        <f t="shared" si="8"/>
        <v>#DIV/0!</v>
      </c>
    </row>
    <row r="85" spans="1:35" s="784" customFormat="1" ht="18" customHeight="1" x14ac:dyDescent="0.25">
      <c r="A85" s="749">
        <v>78</v>
      </c>
      <c r="B85" s="745"/>
      <c r="C85" s="746">
        <v>2026</v>
      </c>
      <c r="D85" s="685" t="s">
        <v>3771</v>
      </c>
      <c r="E85" s="712" t="s">
        <v>3772</v>
      </c>
      <c r="F85" s="757"/>
      <c r="G85" s="757"/>
      <c r="H85" s="757"/>
      <c r="I85" s="757"/>
      <c r="J85" s="757"/>
      <c r="K85" s="757"/>
      <c r="L85" s="757"/>
      <c r="M85" s="757"/>
      <c r="N85" s="757"/>
      <c r="O85" s="757"/>
      <c r="P85" s="757"/>
      <c r="Q85" s="757"/>
      <c r="R85" s="757"/>
      <c r="S85" s="757"/>
      <c r="T85" s="757"/>
      <c r="U85" s="757"/>
      <c r="V85" s="757"/>
      <c r="W85" s="757"/>
      <c r="X85" s="757"/>
      <c r="Y85" s="782">
        <f t="shared" si="7"/>
        <v>0</v>
      </c>
      <c r="Z85" s="707"/>
      <c r="AA85" s="707"/>
      <c r="AB85" s="707"/>
      <c r="AC85" s="782"/>
      <c r="AD85" s="782"/>
      <c r="AE85" s="778"/>
      <c r="AF85" s="814"/>
      <c r="AG85" s="695" t="s">
        <v>3827</v>
      </c>
      <c r="AH85" s="856"/>
      <c r="AI85" s="781" t="e">
        <f t="shared" si="8"/>
        <v>#DIV/0!</v>
      </c>
    </row>
    <row r="86" spans="1:35" s="784" customFormat="1" ht="18" customHeight="1" x14ac:dyDescent="0.25">
      <c r="A86" s="749">
        <v>79</v>
      </c>
      <c r="B86" s="745"/>
      <c r="C86" s="746">
        <v>2026</v>
      </c>
      <c r="D86" s="685" t="s">
        <v>3773</v>
      </c>
      <c r="E86" s="712" t="s">
        <v>3774</v>
      </c>
      <c r="F86" s="757"/>
      <c r="G86" s="757"/>
      <c r="H86" s="757"/>
      <c r="I86" s="757"/>
      <c r="J86" s="757"/>
      <c r="K86" s="757"/>
      <c r="L86" s="757"/>
      <c r="M86" s="757"/>
      <c r="N86" s="757"/>
      <c r="O86" s="757"/>
      <c r="P86" s="757"/>
      <c r="Q86" s="757"/>
      <c r="R86" s="757"/>
      <c r="S86" s="757"/>
      <c r="T86" s="757"/>
      <c r="U86" s="757"/>
      <c r="V86" s="757"/>
      <c r="W86" s="757"/>
      <c r="X86" s="757"/>
      <c r="Y86" s="782">
        <f t="shared" si="7"/>
        <v>0</v>
      </c>
      <c r="Z86" s="707"/>
      <c r="AA86" s="707"/>
      <c r="AB86" s="707"/>
      <c r="AC86" s="782"/>
      <c r="AD86" s="782"/>
      <c r="AE86" s="778"/>
      <c r="AF86" s="814"/>
      <c r="AG86" s="695" t="s">
        <v>3835</v>
      </c>
      <c r="AH86" s="856"/>
      <c r="AI86" s="781" t="e">
        <f t="shared" si="8"/>
        <v>#DIV/0!</v>
      </c>
    </row>
    <row r="87" spans="1:35" s="784" customFormat="1" ht="18" customHeight="1" x14ac:dyDescent="0.25">
      <c r="A87" s="749">
        <v>80</v>
      </c>
      <c r="B87" s="745"/>
      <c r="C87" s="746">
        <v>2026</v>
      </c>
      <c r="D87" s="685" t="s">
        <v>3775</v>
      </c>
      <c r="E87" s="712" t="s">
        <v>3776</v>
      </c>
      <c r="F87" s="757"/>
      <c r="G87" s="757"/>
      <c r="H87" s="757"/>
      <c r="I87" s="757"/>
      <c r="J87" s="757"/>
      <c r="K87" s="757"/>
      <c r="L87" s="757"/>
      <c r="M87" s="757"/>
      <c r="N87" s="757"/>
      <c r="O87" s="757"/>
      <c r="P87" s="757"/>
      <c r="Q87" s="757"/>
      <c r="R87" s="757"/>
      <c r="S87" s="757"/>
      <c r="T87" s="757"/>
      <c r="U87" s="757"/>
      <c r="V87" s="757"/>
      <c r="W87" s="757"/>
      <c r="X87" s="757"/>
      <c r="Y87" s="782">
        <f t="shared" si="7"/>
        <v>0</v>
      </c>
      <c r="Z87" s="707"/>
      <c r="AA87" s="707"/>
      <c r="AB87" s="707"/>
      <c r="AC87" s="782"/>
      <c r="AD87" s="782"/>
      <c r="AE87" s="778"/>
      <c r="AF87" s="814"/>
      <c r="AG87" s="695" t="s">
        <v>3816</v>
      </c>
      <c r="AH87" s="856"/>
      <c r="AI87" s="781" t="e">
        <f t="shared" si="8"/>
        <v>#DIV/0!</v>
      </c>
    </row>
    <row r="88" spans="1:35" s="784" customFormat="1" ht="18" customHeight="1" x14ac:dyDescent="0.25">
      <c r="A88" s="749">
        <v>81</v>
      </c>
      <c r="B88" s="745"/>
      <c r="C88" s="746">
        <v>2026</v>
      </c>
      <c r="D88" s="685" t="s">
        <v>3777</v>
      </c>
      <c r="E88" s="712" t="s">
        <v>3778</v>
      </c>
      <c r="F88" s="757"/>
      <c r="G88" s="757"/>
      <c r="H88" s="757"/>
      <c r="I88" s="757"/>
      <c r="J88" s="757"/>
      <c r="K88" s="757"/>
      <c r="L88" s="757"/>
      <c r="M88" s="757"/>
      <c r="N88" s="757"/>
      <c r="O88" s="757"/>
      <c r="P88" s="757"/>
      <c r="Q88" s="757"/>
      <c r="R88" s="757"/>
      <c r="S88" s="757"/>
      <c r="T88" s="757"/>
      <c r="U88" s="757"/>
      <c r="V88" s="757"/>
      <c r="W88" s="757"/>
      <c r="X88" s="757"/>
      <c r="Y88" s="782">
        <f t="shared" ref="Y88:Y90" si="9">SUM(F88:X88)/19</f>
        <v>0</v>
      </c>
      <c r="Z88" s="707"/>
      <c r="AA88" s="707"/>
      <c r="AB88" s="707"/>
      <c r="AC88" s="782"/>
      <c r="AD88" s="782"/>
      <c r="AE88" s="778"/>
      <c r="AF88" s="814"/>
      <c r="AG88" s="695" t="s">
        <v>2968</v>
      </c>
      <c r="AH88" s="856"/>
      <c r="AI88" s="781" t="e">
        <f t="shared" si="8"/>
        <v>#DIV/0!</v>
      </c>
    </row>
    <row r="89" spans="1:35" s="784" customFormat="1" ht="18" customHeight="1" x14ac:dyDescent="0.25">
      <c r="A89" s="749">
        <v>82</v>
      </c>
      <c r="B89" s="745"/>
      <c r="C89" s="746">
        <v>2026</v>
      </c>
      <c r="D89" s="685" t="s">
        <v>3779</v>
      </c>
      <c r="E89" s="712" t="s">
        <v>3312</v>
      </c>
      <c r="F89" s="757"/>
      <c r="G89" s="757"/>
      <c r="H89" s="757"/>
      <c r="I89" s="757"/>
      <c r="J89" s="757"/>
      <c r="K89" s="757"/>
      <c r="L89" s="757"/>
      <c r="M89" s="757"/>
      <c r="N89" s="757"/>
      <c r="O89" s="757"/>
      <c r="P89" s="757"/>
      <c r="Q89" s="757"/>
      <c r="R89" s="757"/>
      <c r="S89" s="757"/>
      <c r="T89" s="757"/>
      <c r="U89" s="757"/>
      <c r="V89" s="757"/>
      <c r="W89" s="757"/>
      <c r="X89" s="757"/>
      <c r="Y89" s="782">
        <f t="shared" si="9"/>
        <v>0</v>
      </c>
      <c r="Z89" s="707"/>
      <c r="AA89" s="707"/>
      <c r="AB89" s="707"/>
      <c r="AC89" s="782"/>
      <c r="AD89" s="782"/>
      <c r="AE89" s="778"/>
      <c r="AF89" s="814"/>
      <c r="AG89" s="695" t="s">
        <v>3207</v>
      </c>
      <c r="AH89" s="856"/>
      <c r="AI89" s="781" t="e">
        <f t="shared" si="8"/>
        <v>#DIV/0!</v>
      </c>
    </row>
    <row r="90" spans="1:35" s="784" customFormat="1" ht="18" customHeight="1" x14ac:dyDescent="0.25">
      <c r="A90" s="749">
        <v>83</v>
      </c>
      <c r="B90" s="745"/>
      <c r="C90" s="746">
        <v>2026</v>
      </c>
      <c r="D90" s="685" t="s">
        <v>3780</v>
      </c>
      <c r="E90" s="712" t="s">
        <v>3781</v>
      </c>
      <c r="F90" s="757"/>
      <c r="G90" s="757"/>
      <c r="H90" s="757"/>
      <c r="I90" s="757"/>
      <c r="J90" s="757"/>
      <c r="K90" s="757"/>
      <c r="L90" s="757"/>
      <c r="M90" s="757"/>
      <c r="N90" s="757"/>
      <c r="O90" s="757"/>
      <c r="P90" s="757"/>
      <c r="Q90" s="757"/>
      <c r="R90" s="757"/>
      <c r="S90" s="757"/>
      <c r="T90" s="757"/>
      <c r="U90" s="757"/>
      <c r="V90" s="757"/>
      <c r="W90" s="757"/>
      <c r="X90" s="757"/>
      <c r="Y90" s="782">
        <f t="shared" si="9"/>
        <v>0</v>
      </c>
      <c r="Z90" s="707"/>
      <c r="AA90" s="707"/>
      <c r="AB90" s="707"/>
      <c r="AC90" s="782"/>
      <c r="AD90" s="782"/>
      <c r="AE90" s="778"/>
      <c r="AF90" s="814"/>
      <c r="AG90" s="695" t="s">
        <v>3820</v>
      </c>
      <c r="AH90" s="856"/>
      <c r="AI90" s="781" t="e">
        <f t="shared" si="8"/>
        <v>#DIV/0!</v>
      </c>
    </row>
    <row r="91" spans="1:35" s="784" customFormat="1" ht="18" customHeight="1" x14ac:dyDescent="0.25">
      <c r="A91" s="749">
        <v>84</v>
      </c>
      <c r="B91" s="745"/>
      <c r="C91" s="746">
        <v>2026</v>
      </c>
      <c r="D91" s="685" t="s">
        <v>3782</v>
      </c>
      <c r="E91" s="712" t="s">
        <v>3783</v>
      </c>
      <c r="F91" s="757"/>
      <c r="G91" s="757"/>
      <c r="H91" s="757"/>
      <c r="I91" s="757"/>
      <c r="J91" s="757"/>
      <c r="K91" s="757"/>
      <c r="L91" s="757"/>
      <c r="M91" s="757"/>
      <c r="N91" s="757"/>
      <c r="O91" s="757"/>
      <c r="P91" s="757"/>
      <c r="Q91" s="757"/>
      <c r="R91" s="757"/>
      <c r="S91" s="757"/>
      <c r="T91" s="757"/>
      <c r="U91" s="757"/>
      <c r="V91" s="757"/>
      <c r="W91" s="757"/>
      <c r="X91" s="757"/>
      <c r="Y91" s="782">
        <f t="shared" si="1"/>
        <v>0</v>
      </c>
      <c r="Z91" s="707"/>
      <c r="AA91" s="707"/>
      <c r="AB91" s="707"/>
      <c r="AC91" s="782"/>
      <c r="AD91" s="782"/>
      <c r="AE91" s="778"/>
      <c r="AF91" s="814"/>
      <c r="AG91" s="695" t="s">
        <v>3836</v>
      </c>
      <c r="AH91" s="856"/>
      <c r="AI91" s="781" t="e">
        <f t="shared" si="4"/>
        <v>#DIV/0!</v>
      </c>
    </row>
    <row r="92" spans="1:35" s="784" customFormat="1" ht="18" customHeight="1" x14ac:dyDescent="0.25">
      <c r="A92" s="749">
        <v>85</v>
      </c>
      <c r="B92" s="745"/>
      <c r="C92" s="746">
        <v>2026</v>
      </c>
      <c r="D92" s="685" t="s">
        <v>3784</v>
      </c>
      <c r="E92" s="712" t="s">
        <v>616</v>
      </c>
      <c r="F92" s="757"/>
      <c r="G92" s="757"/>
      <c r="H92" s="757"/>
      <c r="I92" s="757"/>
      <c r="J92" s="757"/>
      <c r="K92" s="757"/>
      <c r="L92" s="757"/>
      <c r="M92" s="757"/>
      <c r="N92" s="757"/>
      <c r="O92" s="757"/>
      <c r="P92" s="757"/>
      <c r="Q92" s="757"/>
      <c r="R92" s="757"/>
      <c r="S92" s="757"/>
      <c r="T92" s="757"/>
      <c r="U92" s="757"/>
      <c r="V92" s="757"/>
      <c r="W92" s="757"/>
      <c r="X92" s="757"/>
      <c r="Y92" s="782">
        <f t="shared" si="1"/>
        <v>0</v>
      </c>
      <c r="Z92" s="707"/>
      <c r="AA92" s="707"/>
      <c r="AB92" s="707"/>
      <c r="AC92" s="782"/>
      <c r="AD92" s="782"/>
      <c r="AE92" s="778"/>
      <c r="AF92" s="814"/>
      <c r="AG92" s="695" t="s">
        <v>3837</v>
      </c>
      <c r="AH92" s="856"/>
      <c r="AI92" s="781" t="e">
        <f t="shared" si="4"/>
        <v>#DIV/0!</v>
      </c>
    </row>
    <row r="93" spans="1:35" s="784" customFormat="1" ht="18" customHeight="1" x14ac:dyDescent="0.25">
      <c r="A93" s="749">
        <v>86</v>
      </c>
      <c r="B93" s="745"/>
      <c r="C93" s="746">
        <v>2026</v>
      </c>
      <c r="D93" s="685" t="s">
        <v>3785</v>
      </c>
      <c r="E93" s="712" t="s">
        <v>3786</v>
      </c>
      <c r="F93" s="757"/>
      <c r="G93" s="757"/>
      <c r="H93" s="757"/>
      <c r="I93" s="757"/>
      <c r="J93" s="757"/>
      <c r="K93" s="757"/>
      <c r="L93" s="757"/>
      <c r="M93" s="757"/>
      <c r="N93" s="757"/>
      <c r="O93" s="757"/>
      <c r="P93" s="757"/>
      <c r="Q93" s="757"/>
      <c r="R93" s="757"/>
      <c r="S93" s="757"/>
      <c r="T93" s="757"/>
      <c r="U93" s="757"/>
      <c r="V93" s="757"/>
      <c r="W93" s="757"/>
      <c r="X93" s="757"/>
      <c r="Y93" s="782">
        <f t="shared" si="1"/>
        <v>0</v>
      </c>
      <c r="Z93" s="707"/>
      <c r="AA93" s="707"/>
      <c r="AB93" s="707"/>
      <c r="AC93" s="782"/>
      <c r="AD93" s="782"/>
      <c r="AE93" s="778"/>
      <c r="AF93" s="814"/>
      <c r="AG93" s="695" t="s">
        <v>3806</v>
      </c>
      <c r="AH93" s="856"/>
      <c r="AI93" s="781" t="e">
        <f t="shared" si="4"/>
        <v>#DIV/0!</v>
      </c>
    </row>
    <row r="94" spans="1:35" s="784" customFormat="1" ht="18" customHeight="1" x14ac:dyDescent="0.25">
      <c r="A94" s="749">
        <v>87</v>
      </c>
      <c r="B94" s="745"/>
      <c r="C94" s="746">
        <v>2026</v>
      </c>
      <c r="D94" s="685" t="s">
        <v>3787</v>
      </c>
      <c r="E94" s="712" t="s">
        <v>3788</v>
      </c>
      <c r="F94" s="757"/>
      <c r="G94" s="757"/>
      <c r="H94" s="757"/>
      <c r="I94" s="757"/>
      <c r="J94" s="757"/>
      <c r="K94" s="757"/>
      <c r="L94" s="757"/>
      <c r="M94" s="757"/>
      <c r="N94" s="757"/>
      <c r="O94" s="757"/>
      <c r="P94" s="757"/>
      <c r="Q94" s="757"/>
      <c r="R94" s="757"/>
      <c r="S94" s="757"/>
      <c r="T94" s="757"/>
      <c r="U94" s="757"/>
      <c r="V94" s="757"/>
      <c r="W94" s="757"/>
      <c r="X94" s="757"/>
      <c r="Y94" s="782">
        <f t="shared" si="1"/>
        <v>0</v>
      </c>
      <c r="Z94" s="707"/>
      <c r="AA94" s="707"/>
      <c r="AB94" s="707"/>
      <c r="AC94" s="782"/>
      <c r="AD94" s="782"/>
      <c r="AE94" s="778"/>
      <c r="AF94" s="814"/>
      <c r="AG94" s="695" t="s">
        <v>2506</v>
      </c>
      <c r="AH94" s="856"/>
      <c r="AI94" s="781" t="e">
        <f t="shared" si="4"/>
        <v>#DIV/0!</v>
      </c>
    </row>
    <row r="95" spans="1:35" s="784" customFormat="1" ht="18" customHeight="1" x14ac:dyDescent="0.25">
      <c r="A95" s="749">
        <v>88</v>
      </c>
      <c r="B95" s="745"/>
      <c r="C95" s="746">
        <v>2026</v>
      </c>
      <c r="D95" s="685" t="s">
        <v>3789</v>
      </c>
      <c r="E95" s="712" t="s">
        <v>3790</v>
      </c>
      <c r="F95" s="757"/>
      <c r="G95" s="757"/>
      <c r="H95" s="757"/>
      <c r="I95" s="757"/>
      <c r="J95" s="757"/>
      <c r="K95" s="757"/>
      <c r="L95" s="757"/>
      <c r="M95" s="757"/>
      <c r="N95" s="757"/>
      <c r="O95" s="757"/>
      <c r="P95" s="757"/>
      <c r="Q95" s="757"/>
      <c r="R95" s="757"/>
      <c r="S95" s="757"/>
      <c r="T95" s="757"/>
      <c r="U95" s="757"/>
      <c r="V95" s="757"/>
      <c r="W95" s="757"/>
      <c r="X95" s="757"/>
      <c r="Y95" s="782">
        <f t="shared" si="1"/>
        <v>0</v>
      </c>
      <c r="Z95" s="707"/>
      <c r="AA95" s="707"/>
      <c r="AB95" s="707"/>
      <c r="AC95" s="782"/>
      <c r="AD95" s="782"/>
      <c r="AE95" s="778"/>
      <c r="AF95" s="814"/>
      <c r="AG95" s="695" t="s">
        <v>3838</v>
      </c>
      <c r="AH95" s="856"/>
      <c r="AI95" s="781" t="e">
        <f t="shared" si="4"/>
        <v>#DIV/0!</v>
      </c>
    </row>
    <row r="96" spans="1:35" s="784" customFormat="1" ht="18" customHeight="1" x14ac:dyDescent="0.25">
      <c r="A96" s="749">
        <v>89</v>
      </c>
      <c r="B96" s="745"/>
      <c r="C96" s="746">
        <v>2026</v>
      </c>
      <c r="D96" s="685" t="s">
        <v>3791</v>
      </c>
      <c r="E96" s="712" t="s">
        <v>3792</v>
      </c>
      <c r="F96" s="757"/>
      <c r="G96" s="757"/>
      <c r="H96" s="757"/>
      <c r="I96" s="757"/>
      <c r="J96" s="757"/>
      <c r="K96" s="757"/>
      <c r="L96" s="757"/>
      <c r="M96" s="757"/>
      <c r="N96" s="757"/>
      <c r="O96" s="757"/>
      <c r="P96" s="757"/>
      <c r="Q96" s="757"/>
      <c r="R96" s="757"/>
      <c r="S96" s="757"/>
      <c r="T96" s="757"/>
      <c r="U96" s="757"/>
      <c r="V96" s="757"/>
      <c r="W96" s="757"/>
      <c r="X96" s="757"/>
      <c r="Y96" s="782">
        <f t="shared" si="1"/>
        <v>0</v>
      </c>
      <c r="Z96" s="707"/>
      <c r="AA96" s="707"/>
      <c r="AB96" s="707"/>
      <c r="AC96" s="782"/>
      <c r="AD96" s="782"/>
      <c r="AE96" s="778"/>
      <c r="AF96" s="814"/>
      <c r="AG96" s="695" t="s">
        <v>3839</v>
      </c>
      <c r="AH96" s="856"/>
      <c r="AI96" s="781" t="e">
        <f t="shared" si="4"/>
        <v>#DIV/0!</v>
      </c>
    </row>
    <row r="97" spans="1:35" s="784" customFormat="1" ht="18" customHeight="1" x14ac:dyDescent="0.25">
      <c r="A97" s="749">
        <v>90</v>
      </c>
      <c r="B97" s="745"/>
      <c r="C97" s="746">
        <v>2026</v>
      </c>
      <c r="D97" s="685" t="s">
        <v>3793</v>
      </c>
      <c r="E97" s="712" t="s">
        <v>3794</v>
      </c>
      <c r="F97" s="757"/>
      <c r="G97" s="757"/>
      <c r="H97" s="757"/>
      <c r="I97" s="757"/>
      <c r="J97" s="757"/>
      <c r="K97" s="757"/>
      <c r="L97" s="757"/>
      <c r="M97" s="757"/>
      <c r="N97" s="757"/>
      <c r="O97" s="757"/>
      <c r="P97" s="757"/>
      <c r="Q97" s="757"/>
      <c r="R97" s="757"/>
      <c r="S97" s="757"/>
      <c r="T97" s="757"/>
      <c r="U97" s="757"/>
      <c r="V97" s="757"/>
      <c r="W97" s="757"/>
      <c r="X97" s="757"/>
      <c r="Y97" s="782">
        <f t="shared" si="1"/>
        <v>0</v>
      </c>
      <c r="Z97" s="707"/>
      <c r="AA97" s="707"/>
      <c r="AB97" s="707"/>
      <c r="AC97" s="782"/>
      <c r="AD97" s="782"/>
      <c r="AE97" s="778"/>
      <c r="AF97" s="814"/>
      <c r="AG97" s="695" t="s">
        <v>3222</v>
      </c>
      <c r="AH97" s="856"/>
      <c r="AI97" s="781" t="e">
        <f t="shared" ref="AI97:AI102" si="10">AVERAGE(F97:X97)</f>
        <v>#DIV/0!</v>
      </c>
    </row>
    <row r="98" spans="1:35" s="784" customFormat="1" ht="18" customHeight="1" x14ac:dyDescent="0.25">
      <c r="A98" s="749">
        <v>91</v>
      </c>
      <c r="B98" s="745"/>
      <c r="C98" s="746">
        <v>2026</v>
      </c>
      <c r="D98" s="685" t="s">
        <v>3795</v>
      </c>
      <c r="E98" s="712" t="s">
        <v>3796</v>
      </c>
      <c r="F98" s="757"/>
      <c r="G98" s="757"/>
      <c r="H98" s="757"/>
      <c r="I98" s="757"/>
      <c r="J98" s="757"/>
      <c r="K98" s="757"/>
      <c r="L98" s="757"/>
      <c r="M98" s="757"/>
      <c r="N98" s="757"/>
      <c r="O98" s="757"/>
      <c r="P98" s="757"/>
      <c r="Q98" s="757"/>
      <c r="R98" s="757"/>
      <c r="S98" s="757"/>
      <c r="T98" s="757"/>
      <c r="U98" s="757"/>
      <c r="V98" s="757"/>
      <c r="W98" s="757"/>
      <c r="X98" s="757"/>
      <c r="Y98" s="782">
        <f t="shared" si="1"/>
        <v>0</v>
      </c>
      <c r="Z98" s="707"/>
      <c r="AA98" s="707"/>
      <c r="AB98" s="707"/>
      <c r="AC98" s="782"/>
      <c r="AD98" s="782"/>
      <c r="AE98" s="778"/>
      <c r="AF98" s="814"/>
      <c r="AG98" s="695" t="s">
        <v>3840</v>
      </c>
      <c r="AH98" s="856"/>
      <c r="AI98" s="781" t="e">
        <f t="shared" si="10"/>
        <v>#DIV/0!</v>
      </c>
    </row>
    <row r="99" spans="1:35" s="784" customFormat="1" ht="18" customHeight="1" x14ac:dyDescent="0.25">
      <c r="A99" s="749">
        <v>92</v>
      </c>
      <c r="B99" s="745"/>
      <c r="C99" s="746">
        <v>2026</v>
      </c>
      <c r="D99" s="685" t="s">
        <v>3797</v>
      </c>
      <c r="E99" s="712" t="s">
        <v>3798</v>
      </c>
      <c r="F99" s="757"/>
      <c r="G99" s="757"/>
      <c r="H99" s="757"/>
      <c r="I99" s="757"/>
      <c r="J99" s="757"/>
      <c r="K99" s="757"/>
      <c r="L99" s="757"/>
      <c r="M99" s="757"/>
      <c r="N99" s="757"/>
      <c r="O99" s="757"/>
      <c r="P99" s="757"/>
      <c r="Q99" s="757"/>
      <c r="R99" s="757"/>
      <c r="S99" s="757"/>
      <c r="T99" s="757"/>
      <c r="U99" s="757"/>
      <c r="V99" s="757"/>
      <c r="W99" s="757"/>
      <c r="X99" s="757"/>
      <c r="Y99" s="782">
        <f t="shared" ref="Y99:Y102" si="11">SUM(F99:X99)/19</f>
        <v>0</v>
      </c>
      <c r="Z99" s="707"/>
      <c r="AA99" s="707"/>
      <c r="AB99" s="707"/>
      <c r="AC99" s="782"/>
      <c r="AD99" s="782"/>
      <c r="AE99" s="778"/>
      <c r="AF99" s="814"/>
      <c r="AG99" s="695" t="s">
        <v>2506</v>
      </c>
      <c r="AH99" s="856"/>
      <c r="AI99" s="781" t="e">
        <f t="shared" si="10"/>
        <v>#DIV/0!</v>
      </c>
    </row>
    <row r="100" spans="1:35" s="784" customFormat="1" ht="18" customHeight="1" x14ac:dyDescent="0.25">
      <c r="A100" s="749">
        <v>93</v>
      </c>
      <c r="B100" s="745"/>
      <c r="C100" s="746">
        <v>2026</v>
      </c>
      <c r="D100" s="685" t="s">
        <v>3799</v>
      </c>
      <c r="E100" s="712" t="s">
        <v>3663</v>
      </c>
      <c r="F100" s="757"/>
      <c r="G100" s="757"/>
      <c r="H100" s="757"/>
      <c r="I100" s="757"/>
      <c r="J100" s="757"/>
      <c r="K100" s="757"/>
      <c r="L100" s="757"/>
      <c r="M100" s="757"/>
      <c r="N100" s="757"/>
      <c r="O100" s="757"/>
      <c r="P100" s="757"/>
      <c r="Q100" s="757"/>
      <c r="R100" s="757"/>
      <c r="S100" s="757"/>
      <c r="T100" s="757"/>
      <c r="U100" s="757"/>
      <c r="V100" s="757"/>
      <c r="W100" s="757"/>
      <c r="X100" s="757"/>
      <c r="Y100" s="782">
        <f t="shared" si="11"/>
        <v>0</v>
      </c>
      <c r="Z100" s="707"/>
      <c r="AA100" s="707"/>
      <c r="AB100" s="707"/>
      <c r="AC100" s="782"/>
      <c r="AD100" s="782"/>
      <c r="AE100" s="778"/>
      <c r="AF100" s="814"/>
      <c r="AG100" s="695" t="s">
        <v>3841</v>
      </c>
      <c r="AH100" s="856"/>
      <c r="AI100" s="781" t="e">
        <f t="shared" si="10"/>
        <v>#DIV/0!</v>
      </c>
    </row>
    <row r="101" spans="1:35" s="784" customFormat="1" ht="18" customHeight="1" x14ac:dyDescent="0.25">
      <c r="A101" s="749">
        <v>94</v>
      </c>
      <c r="B101" s="745"/>
      <c r="C101" s="746">
        <v>2026</v>
      </c>
      <c r="D101" s="685" t="s">
        <v>3800</v>
      </c>
      <c r="E101" s="712" t="s">
        <v>3801</v>
      </c>
      <c r="F101" s="757"/>
      <c r="G101" s="757"/>
      <c r="H101" s="757"/>
      <c r="I101" s="757"/>
      <c r="J101" s="757"/>
      <c r="K101" s="757"/>
      <c r="L101" s="757"/>
      <c r="M101" s="757"/>
      <c r="N101" s="757"/>
      <c r="O101" s="757"/>
      <c r="P101" s="757"/>
      <c r="Q101" s="757"/>
      <c r="R101" s="757"/>
      <c r="S101" s="757"/>
      <c r="T101" s="757"/>
      <c r="U101" s="757"/>
      <c r="V101" s="757"/>
      <c r="W101" s="757"/>
      <c r="X101" s="757"/>
      <c r="Y101" s="782">
        <f t="shared" si="11"/>
        <v>0</v>
      </c>
      <c r="Z101" s="707"/>
      <c r="AA101" s="707"/>
      <c r="AB101" s="707"/>
      <c r="AC101" s="782"/>
      <c r="AD101" s="782"/>
      <c r="AE101" s="778"/>
      <c r="AF101" s="814"/>
      <c r="AG101" s="695" t="s">
        <v>2989</v>
      </c>
      <c r="AH101" s="856"/>
      <c r="AI101" s="781" t="e">
        <f t="shared" si="10"/>
        <v>#DIV/0!</v>
      </c>
    </row>
    <row r="102" spans="1:35" s="784" customFormat="1" ht="18" customHeight="1" x14ac:dyDescent="0.25">
      <c r="A102" s="749">
        <v>95</v>
      </c>
      <c r="B102" s="745"/>
      <c r="C102" s="746">
        <v>2026</v>
      </c>
      <c r="D102" s="685" t="s">
        <v>3802</v>
      </c>
      <c r="E102" s="712" t="s">
        <v>3803</v>
      </c>
      <c r="F102" s="757"/>
      <c r="G102" s="757"/>
      <c r="H102" s="757"/>
      <c r="I102" s="757"/>
      <c r="J102" s="757"/>
      <c r="K102" s="757"/>
      <c r="L102" s="757"/>
      <c r="M102" s="757"/>
      <c r="N102" s="757"/>
      <c r="O102" s="757"/>
      <c r="P102" s="757"/>
      <c r="Q102" s="757"/>
      <c r="R102" s="757"/>
      <c r="S102" s="757"/>
      <c r="T102" s="757"/>
      <c r="U102" s="757"/>
      <c r="V102" s="757"/>
      <c r="W102" s="757"/>
      <c r="X102" s="757"/>
      <c r="Y102" s="782">
        <f t="shared" si="11"/>
        <v>0</v>
      </c>
      <c r="Z102" s="707"/>
      <c r="AA102" s="707"/>
      <c r="AB102" s="707"/>
      <c r="AC102" s="782"/>
      <c r="AD102" s="782"/>
      <c r="AE102" s="778"/>
      <c r="AF102" s="814"/>
      <c r="AG102" s="695" t="s">
        <v>3227</v>
      </c>
      <c r="AH102" s="856"/>
      <c r="AI102" s="781" t="e">
        <f t="shared" si="10"/>
        <v>#DIV/0!</v>
      </c>
    </row>
    <row r="103" spans="1:35" s="806" customFormat="1" ht="18" customHeight="1" thickBot="1" x14ac:dyDescent="0.35">
      <c r="A103" s="857"/>
      <c r="B103" s="858"/>
      <c r="C103" s="858"/>
      <c r="D103" s="859"/>
      <c r="E103" s="858"/>
      <c r="F103" s="858"/>
      <c r="G103" s="858"/>
      <c r="H103" s="858"/>
      <c r="I103" s="858"/>
      <c r="J103" s="858"/>
      <c r="K103" s="858"/>
      <c r="L103" s="858"/>
      <c r="M103" s="858"/>
      <c r="N103" s="858"/>
      <c r="O103" s="858"/>
      <c r="P103" s="858"/>
      <c r="Q103" s="858"/>
      <c r="R103" s="858"/>
      <c r="S103" s="858"/>
      <c r="T103" s="858"/>
      <c r="U103" s="858"/>
      <c r="V103" s="858"/>
      <c r="W103" s="860"/>
      <c r="X103" s="860"/>
      <c r="Y103" s="861"/>
      <c r="Z103" s="862"/>
      <c r="AA103" s="862"/>
      <c r="AB103" s="862"/>
      <c r="AC103" s="862"/>
      <c r="AD103" s="862"/>
      <c r="AE103" s="862"/>
      <c r="AF103" s="863"/>
      <c r="AG103" s="864"/>
      <c r="AH103" s="865"/>
      <c r="AI103" s="866"/>
    </row>
    <row r="104" spans="1:35" s="806" customFormat="1" ht="18" customHeight="1" thickTop="1" x14ac:dyDescent="0.3">
      <c r="A104" s="867"/>
      <c r="B104" s="867"/>
      <c r="C104" s="867"/>
      <c r="D104" s="868"/>
      <c r="E104" s="867"/>
      <c r="F104" s="867"/>
      <c r="G104" s="867"/>
      <c r="H104" s="867"/>
      <c r="I104" s="867"/>
      <c r="J104" s="867"/>
      <c r="K104" s="867"/>
      <c r="L104" s="867"/>
      <c r="M104" s="867"/>
      <c r="N104" s="867"/>
      <c r="O104" s="867"/>
      <c r="P104" s="867"/>
      <c r="Q104" s="867"/>
      <c r="R104" s="867"/>
      <c r="S104" s="867"/>
      <c r="T104" s="867"/>
      <c r="U104" s="867"/>
      <c r="V104" s="867"/>
      <c r="W104" s="869"/>
      <c r="X104" s="869"/>
      <c r="Y104" s="870"/>
      <c r="Z104" s="871"/>
      <c r="AA104" s="871"/>
      <c r="AB104" s="871"/>
      <c r="AC104" s="871"/>
      <c r="AD104" s="871"/>
      <c r="AE104" s="871"/>
      <c r="AF104" s="872"/>
      <c r="AG104" s="872"/>
      <c r="AH104" s="865"/>
      <c r="AI104" s="866"/>
    </row>
    <row r="105" spans="1:35" s="806" customFormat="1" x14ac:dyDescent="0.3">
      <c r="A105" s="807"/>
      <c r="B105" s="807"/>
      <c r="C105" s="807"/>
      <c r="E105" s="807"/>
      <c r="F105" s="873"/>
      <c r="G105" s="873"/>
      <c r="H105" s="873"/>
      <c r="I105" s="873"/>
      <c r="J105" s="873"/>
      <c r="K105" s="873"/>
      <c r="L105" s="873"/>
      <c r="M105" s="873"/>
      <c r="N105" s="873"/>
      <c r="O105" s="873"/>
      <c r="P105" s="873"/>
      <c r="Q105" s="873"/>
      <c r="R105" s="873"/>
      <c r="S105" s="873"/>
      <c r="T105" s="873"/>
      <c r="U105" s="873"/>
      <c r="V105" s="873"/>
      <c r="W105" s="873"/>
      <c r="X105" s="873"/>
      <c r="Y105" s="827"/>
      <c r="Z105" s="801"/>
      <c r="AA105" s="801"/>
      <c r="AB105" s="801"/>
      <c r="AC105" s="801"/>
      <c r="AD105" s="801"/>
      <c r="AE105" s="801"/>
      <c r="AF105" s="805"/>
      <c r="AG105" s="801"/>
      <c r="AH105" s="801"/>
    </row>
    <row r="106" spans="1:35" s="806" customFormat="1" x14ac:dyDescent="0.3">
      <c r="A106" s="807"/>
      <c r="B106" s="807"/>
      <c r="C106" s="807"/>
      <c r="E106" s="807"/>
      <c r="F106" s="873"/>
      <c r="G106" s="873"/>
      <c r="H106" s="873"/>
      <c r="I106" s="873"/>
      <c r="J106" s="873"/>
      <c r="K106" s="873"/>
      <c r="L106" s="873"/>
      <c r="M106" s="873"/>
      <c r="N106" s="873"/>
      <c r="O106" s="873"/>
      <c r="P106" s="873"/>
      <c r="Q106" s="873"/>
      <c r="R106" s="873"/>
      <c r="S106" s="873"/>
      <c r="T106" s="873"/>
      <c r="U106" s="873"/>
      <c r="V106" s="873"/>
      <c r="W106" s="873"/>
      <c r="X106" s="873"/>
      <c r="Y106" s="827"/>
      <c r="Z106" s="801"/>
      <c r="AA106" s="801"/>
      <c r="AB106" s="801"/>
      <c r="AC106" s="801"/>
      <c r="AD106" s="801"/>
      <c r="AE106" s="801"/>
      <c r="AF106" s="805"/>
      <c r="AG106" s="801"/>
      <c r="AH106" s="801"/>
    </row>
    <row r="107" spans="1:35" s="806" customFormat="1" x14ac:dyDescent="0.3">
      <c r="A107" s="807"/>
      <c r="B107" s="807"/>
      <c r="C107" s="807"/>
      <c r="E107" s="807"/>
      <c r="F107" s="873"/>
      <c r="G107" s="873"/>
      <c r="H107" s="873"/>
      <c r="I107" s="873"/>
      <c r="J107" s="873"/>
      <c r="K107" s="873"/>
      <c r="L107" s="873"/>
      <c r="M107" s="873"/>
      <c r="N107" s="873"/>
      <c r="O107" s="873"/>
      <c r="P107" s="873"/>
      <c r="Q107" s="873"/>
      <c r="R107" s="873"/>
      <c r="S107" s="873"/>
      <c r="T107" s="873"/>
      <c r="U107" s="873"/>
      <c r="V107" s="873"/>
      <c r="W107" s="873"/>
      <c r="X107" s="873"/>
      <c r="Y107" s="827"/>
      <c r="Z107" s="801"/>
      <c r="AA107" s="801"/>
      <c r="AB107" s="801"/>
      <c r="AC107" s="801"/>
      <c r="AD107" s="801"/>
      <c r="AE107" s="801"/>
      <c r="AF107" s="805"/>
      <c r="AG107" s="801"/>
      <c r="AH107" s="801"/>
    </row>
    <row r="108" spans="1:35" s="806" customFormat="1" x14ac:dyDescent="0.3">
      <c r="A108" s="807"/>
      <c r="B108" s="807"/>
      <c r="C108" s="807"/>
      <c r="E108" s="807"/>
      <c r="F108" s="873"/>
      <c r="G108" s="873"/>
      <c r="H108" s="873"/>
      <c r="I108" s="873"/>
      <c r="J108" s="873"/>
      <c r="K108" s="873"/>
      <c r="L108" s="873"/>
      <c r="M108" s="873"/>
      <c r="N108" s="873"/>
      <c r="O108" s="873"/>
      <c r="P108" s="873"/>
      <c r="Q108" s="873"/>
      <c r="R108" s="873"/>
      <c r="S108" s="873"/>
      <c r="T108" s="873"/>
      <c r="U108" s="873"/>
      <c r="V108" s="873"/>
      <c r="W108" s="873"/>
      <c r="X108" s="873"/>
      <c r="Y108" s="827"/>
      <c r="Z108" s="801"/>
      <c r="AA108" s="801"/>
      <c r="AB108" s="801"/>
      <c r="AC108" s="801"/>
      <c r="AD108" s="801"/>
      <c r="AE108" s="801"/>
      <c r="AF108" s="805"/>
      <c r="AG108" s="801"/>
      <c r="AH108" s="801"/>
    </row>
    <row r="109" spans="1:35" s="806" customFormat="1" x14ac:dyDescent="0.3">
      <c r="A109" s="807"/>
      <c r="B109" s="807"/>
      <c r="C109" s="807"/>
      <c r="E109" s="807"/>
      <c r="F109" s="873"/>
      <c r="G109" s="873"/>
      <c r="H109" s="873"/>
      <c r="I109" s="873"/>
      <c r="J109" s="873"/>
      <c r="K109" s="873"/>
      <c r="L109" s="873"/>
      <c r="M109" s="873"/>
      <c r="N109" s="873"/>
      <c r="O109" s="873"/>
      <c r="P109" s="873"/>
      <c r="Q109" s="873"/>
      <c r="R109" s="873"/>
      <c r="S109" s="873"/>
      <c r="T109" s="873"/>
      <c r="U109" s="873"/>
      <c r="V109" s="873"/>
      <c r="W109" s="873"/>
      <c r="X109" s="873"/>
      <c r="Y109" s="827"/>
      <c r="Z109" s="801"/>
      <c r="AA109" s="801"/>
      <c r="AB109" s="801"/>
      <c r="AC109" s="801"/>
      <c r="AD109" s="801"/>
      <c r="AE109" s="801"/>
      <c r="AF109" s="805"/>
      <c r="AG109" s="801"/>
      <c r="AH109" s="801"/>
    </row>
    <row r="110" spans="1:35" s="806" customFormat="1" x14ac:dyDescent="0.3">
      <c r="A110" s="807"/>
      <c r="B110" s="807"/>
      <c r="C110" s="807"/>
      <c r="E110" s="807"/>
      <c r="F110" s="873"/>
      <c r="G110" s="873"/>
      <c r="H110" s="873"/>
      <c r="I110" s="873"/>
      <c r="J110" s="873"/>
      <c r="K110" s="873"/>
      <c r="L110" s="873"/>
      <c r="M110" s="873"/>
      <c r="N110" s="873"/>
      <c r="O110" s="873"/>
      <c r="P110" s="873"/>
      <c r="Q110" s="873"/>
      <c r="R110" s="873"/>
      <c r="S110" s="873"/>
      <c r="T110" s="873"/>
      <c r="U110" s="873"/>
      <c r="V110" s="873"/>
      <c r="W110" s="873"/>
      <c r="X110" s="873"/>
      <c r="Y110" s="827"/>
      <c r="Z110" s="801"/>
      <c r="AA110" s="801"/>
      <c r="AB110" s="801"/>
      <c r="AC110" s="801"/>
      <c r="AD110" s="801"/>
      <c r="AE110" s="801"/>
      <c r="AF110" s="805"/>
      <c r="AG110" s="801"/>
      <c r="AH110" s="801"/>
    </row>
    <row r="111" spans="1:35" s="806" customFormat="1" x14ac:dyDescent="0.3">
      <c r="A111" s="807"/>
      <c r="B111" s="807"/>
      <c r="C111" s="807"/>
      <c r="E111" s="807"/>
      <c r="F111" s="873"/>
      <c r="G111" s="873"/>
      <c r="H111" s="873"/>
      <c r="I111" s="873"/>
      <c r="J111" s="873"/>
      <c r="K111" s="873"/>
      <c r="L111" s="873"/>
      <c r="M111" s="873"/>
      <c r="N111" s="873"/>
      <c r="O111" s="873"/>
      <c r="P111" s="873"/>
      <c r="Q111" s="873"/>
      <c r="R111" s="873"/>
      <c r="S111" s="873"/>
      <c r="T111" s="873"/>
      <c r="U111" s="873"/>
      <c r="V111" s="873"/>
      <c r="W111" s="873"/>
      <c r="X111" s="873"/>
      <c r="Y111" s="827"/>
      <c r="Z111" s="801"/>
      <c r="AA111" s="801"/>
      <c r="AB111" s="801"/>
      <c r="AC111" s="801"/>
      <c r="AD111" s="801"/>
      <c r="AE111" s="801"/>
      <c r="AF111" s="805"/>
      <c r="AG111" s="801"/>
      <c r="AH111" s="801"/>
    </row>
    <row r="112" spans="1:35" s="806" customFormat="1" x14ac:dyDescent="0.3">
      <c r="A112" s="807"/>
      <c r="B112" s="807"/>
      <c r="C112" s="807"/>
      <c r="E112" s="807"/>
      <c r="F112" s="873"/>
      <c r="G112" s="873"/>
      <c r="H112" s="873"/>
      <c r="I112" s="873"/>
      <c r="J112" s="873"/>
      <c r="K112" s="873"/>
      <c r="L112" s="873"/>
      <c r="M112" s="873"/>
      <c r="N112" s="873"/>
      <c r="O112" s="873"/>
      <c r="P112" s="873"/>
      <c r="Q112" s="873"/>
      <c r="R112" s="873"/>
      <c r="S112" s="873"/>
      <c r="T112" s="873"/>
      <c r="U112" s="873"/>
      <c r="V112" s="873"/>
      <c r="W112" s="873"/>
      <c r="X112" s="873"/>
      <c r="Y112" s="827"/>
      <c r="Z112" s="801"/>
      <c r="AA112" s="801"/>
      <c r="AB112" s="801"/>
      <c r="AC112" s="801"/>
      <c r="AD112" s="801"/>
      <c r="AE112" s="801"/>
      <c r="AF112" s="805"/>
      <c r="AG112" s="801"/>
      <c r="AH112" s="801"/>
    </row>
    <row r="113" spans="1:34" s="806" customFormat="1" x14ac:dyDescent="0.3">
      <c r="A113" s="807"/>
      <c r="B113" s="807"/>
      <c r="C113" s="807"/>
      <c r="E113" s="807"/>
      <c r="F113" s="873"/>
      <c r="G113" s="873"/>
      <c r="H113" s="873"/>
      <c r="I113" s="873"/>
      <c r="J113" s="873"/>
      <c r="K113" s="873"/>
      <c r="L113" s="873"/>
      <c r="M113" s="873"/>
      <c r="N113" s="873"/>
      <c r="O113" s="873"/>
      <c r="P113" s="873"/>
      <c r="Q113" s="873"/>
      <c r="R113" s="873"/>
      <c r="S113" s="873"/>
      <c r="T113" s="873"/>
      <c r="U113" s="873"/>
      <c r="V113" s="873"/>
      <c r="W113" s="873"/>
      <c r="X113" s="873"/>
      <c r="Y113" s="827"/>
      <c r="Z113" s="801"/>
      <c r="AA113" s="801"/>
      <c r="AB113" s="801"/>
      <c r="AC113" s="801"/>
      <c r="AD113" s="801"/>
      <c r="AE113" s="801"/>
      <c r="AF113" s="805"/>
      <c r="AG113" s="801"/>
      <c r="AH113" s="801"/>
    </row>
    <row r="114" spans="1:34" s="806" customFormat="1" x14ac:dyDescent="0.3">
      <c r="A114" s="807"/>
      <c r="B114" s="807"/>
      <c r="C114" s="807"/>
      <c r="E114" s="807"/>
      <c r="F114" s="873"/>
      <c r="G114" s="873"/>
      <c r="H114" s="873"/>
      <c r="I114" s="873"/>
      <c r="J114" s="873"/>
      <c r="K114" s="873"/>
      <c r="L114" s="873"/>
      <c r="M114" s="873"/>
      <c r="N114" s="873"/>
      <c r="O114" s="873"/>
      <c r="P114" s="873"/>
      <c r="Q114" s="873"/>
      <c r="R114" s="873"/>
      <c r="S114" s="873"/>
      <c r="T114" s="873"/>
      <c r="U114" s="873"/>
      <c r="V114" s="873"/>
      <c r="W114" s="873"/>
      <c r="X114" s="873"/>
      <c r="Y114" s="827"/>
      <c r="Z114" s="801"/>
      <c r="AA114" s="801"/>
      <c r="AB114" s="801"/>
      <c r="AC114" s="801"/>
      <c r="AD114" s="801"/>
      <c r="AE114" s="801"/>
      <c r="AF114" s="805"/>
      <c r="AG114" s="801"/>
      <c r="AH114" s="801"/>
    </row>
    <row r="115" spans="1:34" s="806" customFormat="1" x14ac:dyDescent="0.3">
      <c r="A115" s="807"/>
      <c r="B115" s="807"/>
      <c r="C115" s="807"/>
      <c r="E115" s="807"/>
      <c r="F115" s="873"/>
      <c r="G115" s="873"/>
      <c r="H115" s="873"/>
      <c r="I115" s="873"/>
      <c r="J115" s="873"/>
      <c r="K115" s="873"/>
      <c r="L115" s="873"/>
      <c r="M115" s="873"/>
      <c r="N115" s="873"/>
      <c r="O115" s="873"/>
      <c r="P115" s="873"/>
      <c r="Q115" s="873"/>
      <c r="R115" s="873"/>
      <c r="S115" s="873"/>
      <c r="T115" s="873"/>
      <c r="U115" s="873"/>
      <c r="V115" s="873"/>
      <c r="W115" s="873"/>
      <c r="X115" s="873"/>
      <c r="Y115" s="827"/>
      <c r="Z115" s="801"/>
      <c r="AA115" s="801"/>
      <c r="AB115" s="801"/>
      <c r="AC115" s="801"/>
      <c r="AD115" s="801"/>
      <c r="AE115" s="801"/>
      <c r="AF115" s="805"/>
      <c r="AG115" s="801"/>
      <c r="AH115" s="801"/>
    </row>
    <row r="116" spans="1:34" s="806" customFormat="1" x14ac:dyDescent="0.3">
      <c r="A116" s="807"/>
      <c r="B116" s="807"/>
      <c r="C116" s="807"/>
      <c r="E116" s="807"/>
      <c r="F116" s="873"/>
      <c r="G116" s="873"/>
      <c r="H116" s="873"/>
      <c r="I116" s="873"/>
      <c r="J116" s="873"/>
      <c r="K116" s="873"/>
      <c r="L116" s="873"/>
      <c r="M116" s="873"/>
      <c r="N116" s="873"/>
      <c r="O116" s="873"/>
      <c r="P116" s="873"/>
      <c r="Q116" s="873"/>
      <c r="R116" s="873"/>
      <c r="S116" s="873"/>
      <c r="T116" s="873"/>
      <c r="U116" s="873"/>
      <c r="V116" s="873"/>
      <c r="W116" s="873"/>
      <c r="X116" s="873"/>
      <c r="Y116" s="827"/>
      <c r="Z116" s="801"/>
      <c r="AA116" s="801"/>
      <c r="AB116" s="801"/>
      <c r="AC116" s="801"/>
      <c r="AD116" s="801"/>
      <c r="AE116" s="801"/>
      <c r="AF116" s="805"/>
      <c r="AG116" s="801"/>
      <c r="AH116" s="801"/>
    </row>
    <row r="117" spans="1:34" s="806" customFormat="1" x14ac:dyDescent="0.3">
      <c r="A117" s="807"/>
      <c r="B117" s="807"/>
      <c r="C117" s="807"/>
      <c r="E117" s="807"/>
      <c r="F117" s="873"/>
      <c r="G117" s="873"/>
      <c r="H117" s="873"/>
      <c r="I117" s="873"/>
      <c r="J117" s="873"/>
      <c r="K117" s="873"/>
      <c r="L117" s="873"/>
      <c r="M117" s="873"/>
      <c r="N117" s="873"/>
      <c r="O117" s="873"/>
      <c r="P117" s="873"/>
      <c r="Q117" s="873"/>
      <c r="R117" s="873"/>
      <c r="S117" s="873"/>
      <c r="T117" s="873"/>
      <c r="U117" s="873"/>
      <c r="V117" s="873"/>
      <c r="W117" s="873"/>
      <c r="X117" s="873"/>
      <c r="Y117" s="827"/>
      <c r="Z117" s="801"/>
      <c r="AA117" s="801"/>
      <c r="AB117" s="801"/>
      <c r="AC117" s="801"/>
      <c r="AD117" s="801"/>
      <c r="AE117" s="801"/>
      <c r="AF117" s="805"/>
      <c r="AG117" s="801"/>
      <c r="AH117" s="801"/>
    </row>
    <row r="118" spans="1:34" s="806" customFormat="1" x14ac:dyDescent="0.3">
      <c r="A118" s="807"/>
      <c r="B118" s="807"/>
      <c r="C118" s="807"/>
      <c r="E118" s="807"/>
      <c r="F118" s="873"/>
      <c r="G118" s="873"/>
      <c r="H118" s="873"/>
      <c r="I118" s="873"/>
      <c r="J118" s="873"/>
      <c r="K118" s="873"/>
      <c r="L118" s="873"/>
      <c r="M118" s="873"/>
      <c r="N118" s="873"/>
      <c r="O118" s="873"/>
      <c r="P118" s="873"/>
      <c r="Q118" s="873"/>
      <c r="R118" s="873"/>
      <c r="S118" s="873"/>
      <c r="T118" s="873"/>
      <c r="U118" s="873"/>
      <c r="V118" s="873"/>
      <c r="W118" s="873"/>
      <c r="X118" s="873"/>
      <c r="Y118" s="827"/>
      <c r="Z118" s="801"/>
      <c r="AA118" s="801"/>
      <c r="AB118" s="801"/>
      <c r="AC118" s="801"/>
      <c r="AD118" s="801"/>
      <c r="AE118" s="801"/>
      <c r="AF118" s="805"/>
      <c r="AG118" s="801"/>
      <c r="AH118" s="801"/>
    </row>
    <row r="119" spans="1:34" s="806" customFormat="1" x14ac:dyDescent="0.3">
      <c r="A119" s="807"/>
      <c r="B119" s="807"/>
      <c r="C119" s="807"/>
      <c r="E119" s="807"/>
      <c r="F119" s="873"/>
      <c r="G119" s="873"/>
      <c r="H119" s="873"/>
      <c r="I119" s="873"/>
      <c r="J119" s="873"/>
      <c r="K119" s="873"/>
      <c r="L119" s="873"/>
      <c r="M119" s="873"/>
      <c r="N119" s="873"/>
      <c r="O119" s="873"/>
      <c r="P119" s="873"/>
      <c r="Q119" s="873"/>
      <c r="R119" s="873"/>
      <c r="S119" s="873"/>
      <c r="T119" s="873"/>
      <c r="U119" s="873"/>
      <c r="V119" s="873"/>
      <c r="W119" s="873"/>
      <c r="X119" s="873"/>
      <c r="Y119" s="827"/>
      <c r="Z119" s="801"/>
      <c r="AA119" s="801"/>
      <c r="AB119" s="801"/>
      <c r="AC119" s="801"/>
      <c r="AD119" s="801"/>
      <c r="AE119" s="801"/>
      <c r="AF119" s="805"/>
      <c r="AG119" s="801"/>
      <c r="AH119" s="801"/>
    </row>
    <row r="120" spans="1:34" s="806" customFormat="1" x14ac:dyDescent="0.3">
      <c r="A120" s="807"/>
      <c r="B120" s="807"/>
      <c r="C120" s="807"/>
      <c r="E120" s="807"/>
      <c r="F120" s="873"/>
      <c r="G120" s="873"/>
      <c r="H120" s="873"/>
      <c r="I120" s="873"/>
      <c r="J120" s="873"/>
      <c r="K120" s="873"/>
      <c r="L120" s="873"/>
      <c r="M120" s="873"/>
      <c r="N120" s="873"/>
      <c r="O120" s="873"/>
      <c r="P120" s="873"/>
      <c r="Q120" s="873"/>
      <c r="R120" s="873"/>
      <c r="S120" s="873"/>
      <c r="T120" s="873"/>
      <c r="U120" s="873"/>
      <c r="V120" s="873"/>
      <c r="W120" s="873"/>
      <c r="X120" s="873"/>
      <c r="Y120" s="827"/>
      <c r="Z120" s="801"/>
      <c r="AA120" s="801"/>
      <c r="AB120" s="801"/>
      <c r="AC120" s="801"/>
      <c r="AD120" s="801"/>
      <c r="AE120" s="801"/>
      <c r="AF120" s="805"/>
      <c r="AG120" s="801"/>
      <c r="AH120" s="801"/>
    </row>
    <row r="121" spans="1:34" s="806" customFormat="1" x14ac:dyDescent="0.3">
      <c r="A121" s="807"/>
      <c r="B121" s="807"/>
      <c r="C121" s="807"/>
      <c r="E121" s="807"/>
      <c r="F121" s="873"/>
      <c r="G121" s="873"/>
      <c r="H121" s="873"/>
      <c r="I121" s="873"/>
      <c r="J121" s="873"/>
      <c r="K121" s="873"/>
      <c r="L121" s="873"/>
      <c r="M121" s="873"/>
      <c r="N121" s="873"/>
      <c r="O121" s="873"/>
      <c r="P121" s="873"/>
      <c r="Q121" s="873"/>
      <c r="R121" s="873"/>
      <c r="S121" s="873"/>
      <c r="T121" s="873"/>
      <c r="U121" s="873"/>
      <c r="V121" s="873"/>
      <c r="W121" s="873"/>
      <c r="X121" s="873"/>
      <c r="Y121" s="827"/>
      <c r="Z121" s="801"/>
      <c r="AA121" s="801"/>
      <c r="AB121" s="801"/>
      <c r="AC121" s="801"/>
      <c r="AD121" s="801"/>
      <c r="AE121" s="801"/>
      <c r="AF121" s="805"/>
      <c r="AG121" s="801"/>
      <c r="AH121" s="801"/>
    </row>
    <row r="122" spans="1:34" s="806" customFormat="1" x14ac:dyDescent="0.3">
      <c r="A122" s="807"/>
      <c r="B122" s="807"/>
      <c r="C122" s="807"/>
      <c r="E122" s="807"/>
      <c r="F122" s="873"/>
      <c r="G122" s="873"/>
      <c r="H122" s="873"/>
      <c r="I122" s="873"/>
      <c r="J122" s="873"/>
      <c r="K122" s="873"/>
      <c r="L122" s="873"/>
      <c r="M122" s="873"/>
      <c r="N122" s="873"/>
      <c r="O122" s="873"/>
      <c r="P122" s="873"/>
      <c r="Q122" s="873"/>
      <c r="R122" s="873"/>
      <c r="S122" s="873"/>
      <c r="T122" s="873"/>
      <c r="U122" s="873"/>
      <c r="V122" s="873"/>
      <c r="W122" s="873"/>
      <c r="X122" s="873"/>
      <c r="Y122" s="827"/>
      <c r="Z122" s="801"/>
      <c r="AA122" s="801"/>
      <c r="AB122" s="801"/>
      <c r="AC122" s="801"/>
      <c r="AD122" s="801"/>
      <c r="AE122" s="801"/>
      <c r="AF122" s="805"/>
      <c r="AG122" s="801"/>
      <c r="AH122" s="801"/>
    </row>
    <row r="123" spans="1:34" s="806" customFormat="1" x14ac:dyDescent="0.3">
      <c r="A123" s="807"/>
      <c r="B123" s="807"/>
      <c r="C123" s="807"/>
      <c r="E123" s="807"/>
      <c r="F123" s="873"/>
      <c r="G123" s="873"/>
      <c r="H123" s="873"/>
      <c r="I123" s="873"/>
      <c r="J123" s="873"/>
      <c r="K123" s="873"/>
      <c r="L123" s="873"/>
      <c r="M123" s="873"/>
      <c r="N123" s="873"/>
      <c r="O123" s="873"/>
      <c r="P123" s="873"/>
      <c r="Q123" s="873"/>
      <c r="R123" s="873"/>
      <c r="S123" s="873"/>
      <c r="T123" s="873"/>
      <c r="U123" s="873"/>
      <c r="V123" s="873"/>
      <c r="W123" s="873"/>
      <c r="X123" s="873"/>
      <c r="Y123" s="827"/>
      <c r="Z123" s="801"/>
      <c r="AA123" s="801"/>
      <c r="AB123" s="801"/>
      <c r="AC123" s="801"/>
      <c r="AD123" s="801"/>
      <c r="AE123" s="801"/>
      <c r="AF123" s="805"/>
      <c r="AG123" s="801"/>
      <c r="AH123" s="801"/>
    </row>
    <row r="124" spans="1:34" s="806" customFormat="1" x14ac:dyDescent="0.3">
      <c r="A124" s="807"/>
      <c r="B124" s="807"/>
      <c r="C124" s="807"/>
      <c r="E124" s="807"/>
      <c r="F124" s="873"/>
      <c r="G124" s="873"/>
      <c r="H124" s="873"/>
      <c r="I124" s="873"/>
      <c r="J124" s="873"/>
      <c r="K124" s="873"/>
      <c r="L124" s="873"/>
      <c r="M124" s="873"/>
      <c r="N124" s="873"/>
      <c r="O124" s="873"/>
      <c r="P124" s="873"/>
      <c r="Q124" s="873"/>
      <c r="R124" s="873"/>
      <c r="S124" s="873"/>
      <c r="T124" s="873"/>
      <c r="U124" s="873"/>
      <c r="V124" s="873"/>
      <c r="W124" s="873"/>
      <c r="X124" s="873"/>
      <c r="Y124" s="827"/>
      <c r="Z124" s="801"/>
      <c r="AA124" s="801"/>
      <c r="AB124" s="801"/>
      <c r="AC124" s="801"/>
      <c r="AD124" s="801"/>
      <c r="AE124" s="801"/>
      <c r="AF124" s="805"/>
      <c r="AG124" s="801"/>
      <c r="AH124" s="801"/>
    </row>
    <row r="125" spans="1:34" s="806" customFormat="1" x14ac:dyDescent="0.3">
      <c r="A125" s="807"/>
      <c r="B125" s="807"/>
      <c r="C125" s="807"/>
      <c r="E125" s="807"/>
      <c r="F125" s="873"/>
      <c r="G125" s="873"/>
      <c r="H125" s="873"/>
      <c r="I125" s="873"/>
      <c r="J125" s="873"/>
      <c r="K125" s="873"/>
      <c r="L125" s="873"/>
      <c r="M125" s="873"/>
      <c r="N125" s="873"/>
      <c r="O125" s="873"/>
      <c r="P125" s="873"/>
      <c r="Q125" s="873"/>
      <c r="R125" s="873"/>
      <c r="S125" s="873"/>
      <c r="T125" s="873"/>
      <c r="U125" s="873"/>
      <c r="V125" s="873"/>
      <c r="W125" s="873"/>
      <c r="X125" s="873"/>
      <c r="Y125" s="827"/>
      <c r="Z125" s="801"/>
      <c r="AA125" s="801"/>
      <c r="AB125" s="801"/>
      <c r="AC125" s="801"/>
      <c r="AD125" s="801"/>
      <c r="AE125" s="801"/>
      <c r="AF125" s="805"/>
      <c r="AG125" s="801"/>
      <c r="AH125" s="801"/>
    </row>
    <row r="126" spans="1:34" s="806" customFormat="1" x14ac:dyDescent="0.3">
      <c r="A126" s="807"/>
      <c r="B126" s="807"/>
      <c r="C126" s="807"/>
      <c r="E126" s="807"/>
      <c r="F126" s="873"/>
      <c r="G126" s="873"/>
      <c r="H126" s="873"/>
      <c r="I126" s="873"/>
      <c r="J126" s="873"/>
      <c r="K126" s="873"/>
      <c r="L126" s="873"/>
      <c r="M126" s="873"/>
      <c r="N126" s="873"/>
      <c r="O126" s="873"/>
      <c r="P126" s="873"/>
      <c r="Q126" s="873"/>
      <c r="R126" s="873"/>
      <c r="S126" s="873"/>
      <c r="T126" s="873"/>
      <c r="U126" s="873"/>
      <c r="V126" s="873"/>
      <c r="W126" s="873"/>
      <c r="X126" s="873"/>
      <c r="Y126" s="827"/>
      <c r="Z126" s="801"/>
      <c r="AA126" s="801"/>
      <c r="AB126" s="801"/>
      <c r="AC126" s="801"/>
      <c r="AD126" s="801"/>
      <c r="AE126" s="801"/>
      <c r="AF126" s="805"/>
      <c r="AG126" s="801"/>
      <c r="AH126" s="801"/>
    </row>
    <row r="127" spans="1:34" s="806" customFormat="1" x14ac:dyDescent="0.3">
      <c r="A127" s="807"/>
      <c r="B127" s="807"/>
      <c r="C127" s="807"/>
      <c r="E127" s="807"/>
      <c r="F127" s="873"/>
      <c r="G127" s="873"/>
      <c r="H127" s="873"/>
      <c r="I127" s="873"/>
      <c r="J127" s="873"/>
      <c r="K127" s="873"/>
      <c r="L127" s="873"/>
      <c r="M127" s="873"/>
      <c r="N127" s="873"/>
      <c r="O127" s="873"/>
      <c r="P127" s="873"/>
      <c r="Q127" s="873"/>
      <c r="R127" s="873"/>
      <c r="S127" s="873"/>
      <c r="T127" s="873"/>
      <c r="U127" s="873"/>
      <c r="V127" s="873"/>
      <c r="W127" s="873"/>
      <c r="X127" s="873"/>
      <c r="Y127" s="827"/>
      <c r="Z127" s="801"/>
      <c r="AA127" s="801"/>
      <c r="AB127" s="801"/>
      <c r="AC127" s="801"/>
      <c r="AD127" s="801"/>
      <c r="AE127" s="801"/>
      <c r="AF127" s="805"/>
      <c r="AG127" s="801"/>
      <c r="AH127" s="801"/>
    </row>
    <row r="128" spans="1:34" s="806" customFormat="1" x14ac:dyDescent="0.3">
      <c r="A128" s="807"/>
      <c r="B128" s="807"/>
      <c r="C128" s="807"/>
      <c r="E128" s="807"/>
      <c r="F128" s="873"/>
      <c r="G128" s="873"/>
      <c r="H128" s="873"/>
      <c r="I128" s="873"/>
      <c r="J128" s="873"/>
      <c r="K128" s="873"/>
      <c r="L128" s="873"/>
      <c r="M128" s="873"/>
      <c r="N128" s="873"/>
      <c r="O128" s="873"/>
      <c r="P128" s="873"/>
      <c r="Q128" s="873"/>
      <c r="R128" s="873"/>
      <c r="S128" s="873"/>
      <c r="T128" s="873"/>
      <c r="U128" s="873"/>
      <c r="V128" s="873"/>
      <c r="W128" s="873"/>
      <c r="X128" s="873"/>
      <c r="Y128" s="827"/>
      <c r="Z128" s="801"/>
      <c r="AA128" s="801"/>
      <c r="AB128" s="801"/>
      <c r="AC128" s="801"/>
      <c r="AD128" s="801"/>
      <c r="AE128" s="801"/>
      <c r="AF128" s="805"/>
      <c r="AG128" s="801"/>
      <c r="AH128" s="801"/>
    </row>
    <row r="129" spans="1:35" s="806" customFormat="1" x14ac:dyDescent="0.3">
      <c r="A129" s="807"/>
      <c r="B129" s="807"/>
      <c r="C129" s="807"/>
      <c r="E129" s="807"/>
      <c r="F129" s="873"/>
      <c r="G129" s="873"/>
      <c r="H129" s="873"/>
      <c r="I129" s="873"/>
      <c r="J129" s="873"/>
      <c r="K129" s="873"/>
      <c r="L129" s="873"/>
      <c r="M129" s="873"/>
      <c r="N129" s="873"/>
      <c r="O129" s="873"/>
      <c r="P129" s="873"/>
      <c r="Q129" s="873"/>
      <c r="R129" s="873"/>
      <c r="S129" s="873"/>
      <c r="T129" s="873"/>
      <c r="U129" s="873"/>
      <c r="V129" s="873"/>
      <c r="W129" s="873"/>
      <c r="X129" s="873"/>
      <c r="Y129" s="827"/>
      <c r="Z129" s="801"/>
      <c r="AA129" s="801"/>
      <c r="AB129" s="801"/>
      <c r="AC129" s="801"/>
      <c r="AD129" s="801"/>
      <c r="AE129" s="801"/>
      <c r="AF129" s="805"/>
      <c r="AG129" s="801"/>
      <c r="AH129" s="801"/>
    </row>
    <row r="130" spans="1:35" s="784" customFormat="1" ht="18" customHeight="1" x14ac:dyDescent="0.25">
      <c r="A130" s="749">
        <v>12</v>
      </c>
      <c r="B130" s="745"/>
      <c r="C130" s="746">
        <v>2025</v>
      </c>
      <c r="D130" s="685" t="s">
        <v>2245</v>
      </c>
      <c r="E130" s="712" t="s">
        <v>2244</v>
      </c>
      <c r="F130" s="757"/>
      <c r="G130" s="757"/>
      <c r="H130" s="757"/>
      <c r="I130" s="767">
        <v>2</v>
      </c>
      <c r="J130" s="767">
        <v>2</v>
      </c>
      <c r="K130" s="757"/>
      <c r="L130" s="757"/>
      <c r="M130" s="757"/>
      <c r="N130" s="757"/>
      <c r="O130" s="757"/>
      <c r="P130" s="757"/>
      <c r="Q130" s="757"/>
      <c r="R130" s="757"/>
      <c r="S130" s="757"/>
      <c r="T130" s="757"/>
      <c r="U130" s="757"/>
      <c r="V130" s="757"/>
      <c r="W130" s="757"/>
      <c r="X130" s="757"/>
      <c r="Y130" s="782">
        <f>SUM(F130:X130)/19</f>
        <v>0.21052631578947367</v>
      </c>
      <c r="Z130" s="707"/>
      <c r="AA130" s="707"/>
      <c r="AB130" s="707"/>
      <c r="AC130" s="782"/>
      <c r="AD130" s="782"/>
      <c r="AE130" s="778"/>
      <c r="AF130" s="814"/>
      <c r="AG130" s="695" t="s">
        <v>2241</v>
      </c>
      <c r="AH130" s="856"/>
      <c r="AI130" s="781">
        <f>AVERAGE(F130:X130)</f>
        <v>2</v>
      </c>
    </row>
    <row r="131" spans="1:35" s="256" customFormat="1" ht="18" customHeight="1" x14ac:dyDescent="0.25">
      <c r="A131" s="749">
        <v>19</v>
      </c>
      <c r="B131" s="745"/>
      <c r="C131" s="746">
        <v>2025</v>
      </c>
      <c r="D131" s="685" t="s">
        <v>2246</v>
      </c>
      <c r="E131" s="712" t="s">
        <v>2250</v>
      </c>
      <c r="F131" s="757"/>
      <c r="G131" s="757"/>
      <c r="H131" s="757"/>
      <c r="I131" s="767">
        <v>1</v>
      </c>
      <c r="J131" s="767">
        <v>2</v>
      </c>
      <c r="K131" s="1100" t="s">
        <v>2254</v>
      </c>
      <c r="L131" s="1101"/>
      <c r="M131" s="1101"/>
      <c r="N131" s="1101"/>
      <c r="O131" s="1101"/>
      <c r="P131" s="1101"/>
      <c r="Q131" s="1101"/>
      <c r="R131" s="1101"/>
      <c r="S131" s="1101"/>
      <c r="T131" s="1101"/>
      <c r="U131" s="1101"/>
      <c r="V131" s="1101"/>
      <c r="W131" s="1102"/>
      <c r="X131" s="757"/>
      <c r="Y131" s="277">
        <f>SUM(F131:X131)/19</f>
        <v>0.15789473684210525</v>
      </c>
      <c r="Z131" s="242"/>
      <c r="AA131" s="242"/>
      <c r="AB131" s="242"/>
      <c r="AC131" s="277"/>
      <c r="AD131" s="277"/>
      <c r="AE131" s="379"/>
      <c r="AF131" s="273"/>
      <c r="AG131" s="695" t="s">
        <v>2252</v>
      </c>
      <c r="AH131" s="679"/>
      <c r="AI131" s="357">
        <f>AVERAGE(F131:X131)</f>
        <v>1.5</v>
      </c>
    </row>
    <row r="132" spans="1:35" s="256" customFormat="1" ht="18" customHeight="1" x14ac:dyDescent="0.25">
      <c r="A132" s="749">
        <v>48</v>
      </c>
      <c r="B132" s="745"/>
      <c r="C132" s="746">
        <v>2025</v>
      </c>
      <c r="D132" s="685" t="s">
        <v>2247</v>
      </c>
      <c r="E132" s="712" t="s">
        <v>2238</v>
      </c>
      <c r="F132" s="757"/>
      <c r="G132" s="757"/>
      <c r="H132" s="757"/>
      <c r="I132" s="767">
        <v>2</v>
      </c>
      <c r="J132" s="767">
        <v>1</v>
      </c>
      <c r="K132" s="757"/>
      <c r="L132" s="757"/>
      <c r="M132" s="757"/>
      <c r="N132" s="757"/>
      <c r="O132" s="757"/>
      <c r="P132" s="757"/>
      <c r="Q132" s="757"/>
      <c r="R132" s="757"/>
      <c r="S132" s="757"/>
      <c r="T132" s="757"/>
      <c r="U132" s="757"/>
      <c r="V132" s="757"/>
      <c r="W132" s="757"/>
      <c r="X132" s="757"/>
      <c r="Y132" s="277">
        <f>SUM(F132:X132)/19</f>
        <v>0.15789473684210525</v>
      </c>
      <c r="Z132" s="242"/>
      <c r="AA132" s="242"/>
      <c r="AB132" s="242"/>
      <c r="AC132" s="277"/>
      <c r="AD132" s="277"/>
      <c r="AE132" s="379"/>
      <c r="AF132" s="273"/>
      <c r="AG132" s="695" t="s">
        <v>2239</v>
      </c>
      <c r="AH132" s="679"/>
      <c r="AI132" s="357">
        <f>AVERAGE(F132:X132)</f>
        <v>1.5</v>
      </c>
    </row>
    <row r="133" spans="1:35" s="256" customFormat="1" ht="18" customHeight="1" x14ac:dyDescent="0.25">
      <c r="A133" s="749">
        <v>69</v>
      </c>
      <c r="B133" s="745"/>
      <c r="C133" s="746">
        <v>2025</v>
      </c>
      <c r="D133" s="685" t="s">
        <v>2248</v>
      </c>
      <c r="E133" s="712" t="s">
        <v>2243</v>
      </c>
      <c r="F133" s="757"/>
      <c r="G133" s="757"/>
      <c r="H133" s="757"/>
      <c r="I133" s="767">
        <v>2</v>
      </c>
      <c r="J133" s="767">
        <v>2</v>
      </c>
      <c r="K133" s="757"/>
      <c r="L133" s="757"/>
      <c r="M133" s="757"/>
      <c r="N133" s="757"/>
      <c r="O133" s="757"/>
      <c r="P133" s="757"/>
      <c r="Q133" s="757"/>
      <c r="R133" s="757"/>
      <c r="S133" s="757"/>
      <c r="T133" s="757"/>
      <c r="U133" s="757"/>
      <c r="V133" s="757"/>
      <c r="W133" s="757"/>
      <c r="X133" s="757"/>
      <c r="Y133" s="277">
        <f>SUM(F133:X133)/19</f>
        <v>0.21052631578947367</v>
      </c>
      <c r="Z133" s="242"/>
      <c r="AA133" s="242"/>
      <c r="AB133" s="242"/>
      <c r="AC133" s="277"/>
      <c r="AD133" s="277"/>
      <c r="AE133" s="379"/>
      <c r="AF133" s="273"/>
      <c r="AG133" s="695" t="s">
        <v>2242</v>
      </c>
      <c r="AH133" s="679"/>
      <c r="AI133" s="357">
        <f>AVERAGE(F133:X133)</f>
        <v>2</v>
      </c>
    </row>
    <row r="134" spans="1:35" s="256" customFormat="1" ht="18" customHeight="1" x14ac:dyDescent="0.25">
      <c r="A134" s="749">
        <v>79</v>
      </c>
      <c r="B134" s="745"/>
      <c r="C134" s="746">
        <v>2025</v>
      </c>
      <c r="D134" s="685" t="s">
        <v>2249</v>
      </c>
      <c r="E134" s="712" t="s">
        <v>2251</v>
      </c>
      <c r="F134" s="757"/>
      <c r="G134" s="757"/>
      <c r="H134" s="757"/>
      <c r="I134" s="767">
        <v>1</v>
      </c>
      <c r="J134" s="767">
        <v>1</v>
      </c>
      <c r="K134" s="757"/>
      <c r="L134" s="757"/>
      <c r="M134" s="757"/>
      <c r="N134" s="757"/>
      <c r="O134" s="757"/>
      <c r="P134" s="757"/>
      <c r="Q134" s="757"/>
      <c r="R134" s="757"/>
      <c r="S134" s="757"/>
      <c r="T134" s="757"/>
      <c r="U134" s="757"/>
      <c r="V134" s="757"/>
      <c r="W134" s="757"/>
      <c r="X134" s="757"/>
      <c r="Y134" s="277">
        <f>SUM(F134:X134)/19</f>
        <v>0.10526315789473684</v>
      </c>
      <c r="Z134" s="242"/>
      <c r="AA134" s="242"/>
      <c r="AB134" s="242"/>
      <c r="AC134" s="277"/>
      <c r="AD134" s="277"/>
      <c r="AE134" s="379"/>
      <c r="AF134" s="273"/>
      <c r="AG134" s="695" t="s">
        <v>2240</v>
      </c>
      <c r="AH134" s="679"/>
      <c r="AI134" s="357">
        <f>AVERAGE(F134:X134)</f>
        <v>1</v>
      </c>
    </row>
  </sheetData>
  <autoFilter ref="Y6:AI102">
    <filterColumn colId="1" showButton="0"/>
    <filterColumn colId="2" showButton="0"/>
    <filterColumn colId="3" showButton="0"/>
  </autoFilter>
  <mergeCells count="16">
    <mergeCell ref="A6:A7"/>
    <mergeCell ref="D6:D7"/>
    <mergeCell ref="B6:C7"/>
    <mergeCell ref="Z6:AC6"/>
    <mergeCell ref="E6:E7"/>
    <mergeCell ref="Y6:Y7"/>
    <mergeCell ref="F6:X6"/>
    <mergeCell ref="K131:W131"/>
    <mergeCell ref="E1:AA1"/>
    <mergeCell ref="E2:AA2"/>
    <mergeCell ref="E3:AA3"/>
    <mergeCell ref="E4:AI4"/>
    <mergeCell ref="AD6:AD7"/>
    <mergeCell ref="AG6:AG7"/>
    <mergeCell ref="AE6:AE7"/>
    <mergeCell ref="AF6:AF7"/>
  </mergeCells>
  <phoneticPr fontId="0" type="noConversion"/>
  <printOptions horizontalCentered="1"/>
  <pageMargins left="0.63" right="0.16" top="0.27" bottom="0.31" header="0.23" footer="0.27"/>
  <pageSetup scale="98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00FF00"/>
  </sheetPr>
  <dimension ref="A1:AI66"/>
  <sheetViews>
    <sheetView topLeftCell="A8" zoomScale="120" zoomScaleNormal="120" workbookViewId="0">
      <selection activeCell="Y9" sqref="Y9:Y53"/>
    </sheetView>
  </sheetViews>
  <sheetFormatPr defaultRowHeight="18.75" x14ac:dyDescent="0.3"/>
  <cols>
    <col min="1" max="1" width="2.796875" style="1" customWidth="1"/>
    <col min="2" max="2" width="4.09765625" style="1" customWidth="1"/>
    <col min="3" max="3" width="4.5" style="1" customWidth="1"/>
    <col min="4" max="4" width="15.8984375" customWidth="1"/>
    <col min="5" max="5" width="8.3984375" style="1" customWidth="1"/>
    <col min="6" max="8" width="2.8984375" style="1" customWidth="1"/>
    <col min="9" max="9" width="2.8984375" style="36" customWidth="1"/>
    <col min="10" max="12" width="2.8984375" style="1" customWidth="1"/>
    <col min="13" max="13" width="2.8984375" style="369" customWidth="1"/>
    <col min="14" max="16" width="2.8984375" style="1" customWidth="1"/>
    <col min="17" max="17" width="5.19921875" style="25" customWidth="1"/>
    <col min="18" max="20" width="2.19921875" style="22" hidden="1" customWidth="1"/>
    <col min="21" max="22" width="3.3984375" style="1" hidden="1" customWidth="1"/>
    <col min="23" max="23" width="4.796875" style="1" customWidth="1"/>
    <col min="24" max="24" width="4.3984375" style="15" hidden="1" customWidth="1"/>
    <col min="25" max="25" width="24.5" style="1" customWidth="1"/>
    <col min="26" max="26" width="2.59765625" customWidth="1"/>
    <col min="27" max="27" width="10.19921875" customWidth="1"/>
  </cols>
  <sheetData>
    <row r="1" spans="1:35" s="806" customFormat="1" x14ac:dyDescent="0.3">
      <c r="A1" s="807"/>
      <c r="B1" s="807"/>
      <c r="C1" s="807"/>
      <c r="E1" s="807"/>
      <c r="F1" s="807"/>
      <c r="G1" s="807"/>
      <c r="H1" s="807"/>
      <c r="I1" s="801"/>
      <c r="J1" s="807"/>
      <c r="K1" s="807"/>
      <c r="L1" s="807"/>
      <c r="M1" s="797"/>
      <c r="N1" s="807"/>
      <c r="O1" s="807"/>
      <c r="P1" s="807"/>
      <c r="Q1" s="827"/>
      <c r="R1" s="807"/>
      <c r="S1" s="807"/>
      <c r="T1" s="807"/>
      <c r="U1" s="807"/>
      <c r="V1" s="807"/>
      <c r="W1" s="807"/>
      <c r="X1" s="808"/>
      <c r="Y1" s="807"/>
    </row>
    <row r="2" spans="1:35" s="761" customFormat="1" ht="15.75" x14ac:dyDescent="0.25">
      <c r="B2" s="763"/>
      <c r="C2" s="763"/>
      <c r="D2" s="763"/>
      <c r="E2" s="1046" t="s">
        <v>2237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  <c r="X2" s="1046"/>
      <c r="Y2" s="1046"/>
    </row>
    <row r="3" spans="1:35" s="761" customFormat="1" ht="15.75" x14ac:dyDescent="0.25">
      <c r="B3" s="763"/>
      <c r="C3" s="763"/>
      <c r="D3" s="763"/>
      <c r="E3" s="1046" t="s">
        <v>2313</v>
      </c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1046"/>
      <c r="W3" s="1046"/>
      <c r="X3" s="1046"/>
      <c r="Y3" s="1046"/>
    </row>
    <row r="4" spans="1:35" s="761" customFormat="1" ht="15.75" hidden="1" x14ac:dyDescent="0.25">
      <c r="B4" s="762"/>
      <c r="C4" s="762"/>
      <c r="D4" s="762"/>
      <c r="E4" s="1047" t="s">
        <v>28</v>
      </c>
      <c r="F4" s="1047"/>
      <c r="G4" s="1047"/>
      <c r="H4" s="1047"/>
      <c r="I4" s="1047"/>
      <c r="J4" s="1047"/>
      <c r="K4" s="1047"/>
      <c r="L4" s="1047"/>
      <c r="M4" s="1047"/>
      <c r="N4" s="1047"/>
      <c r="O4" s="1047"/>
      <c r="P4" s="1047"/>
      <c r="Q4" s="1047"/>
      <c r="R4" s="1047"/>
      <c r="S4" s="1047"/>
      <c r="T4" s="1047"/>
      <c r="U4" s="1047"/>
      <c r="V4" s="1047"/>
      <c r="W4" s="1047"/>
      <c r="X4" s="1047"/>
      <c r="Y4" s="1047"/>
    </row>
    <row r="5" spans="1:35" s="761" customFormat="1" ht="15.75" customHeight="1" x14ac:dyDescent="0.25">
      <c r="B5" s="763"/>
      <c r="C5" s="763"/>
      <c r="D5" s="763"/>
      <c r="E5" s="1052" t="s">
        <v>2314</v>
      </c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1052"/>
      <c r="V5" s="1052"/>
      <c r="W5" s="1052"/>
      <c r="X5" s="1052"/>
      <c r="Y5" s="1052"/>
      <c r="Z5" s="1052"/>
      <c r="AA5" s="1052"/>
      <c r="AB5" s="1052"/>
      <c r="AC5" s="1052"/>
      <c r="AD5" s="1052"/>
      <c r="AE5" s="1052"/>
      <c r="AF5" s="1052"/>
      <c r="AG5" s="1052"/>
      <c r="AH5" s="1052"/>
      <c r="AI5" s="1052"/>
    </row>
    <row r="6" spans="1:35" s="806" customFormat="1" ht="20.25" thickBot="1" x14ac:dyDescent="0.4">
      <c r="A6" s="809"/>
      <c r="B6" s="809"/>
      <c r="C6" s="809"/>
      <c r="D6" s="809"/>
      <c r="E6" s="841"/>
      <c r="F6" s="841"/>
      <c r="G6" s="841"/>
      <c r="H6" s="841"/>
      <c r="I6" s="843"/>
      <c r="J6" s="841"/>
      <c r="K6" s="841"/>
      <c r="L6" s="841"/>
      <c r="M6" s="844"/>
      <c r="N6" s="841"/>
      <c r="O6" s="841"/>
      <c r="P6" s="841"/>
      <c r="Q6" s="828"/>
      <c r="R6" s="809"/>
      <c r="S6" s="809"/>
      <c r="T6" s="809"/>
      <c r="U6" s="809"/>
      <c r="V6" s="809"/>
      <c r="W6" s="809"/>
      <c r="X6" s="809"/>
      <c r="Y6" s="809"/>
      <c r="Z6" s="812"/>
    </row>
    <row r="7" spans="1:35" s="780" customFormat="1" ht="23.25" customHeight="1" thickTop="1" x14ac:dyDescent="0.25">
      <c r="A7" s="1056" t="s">
        <v>91</v>
      </c>
      <c r="B7" s="1060" t="s">
        <v>2118</v>
      </c>
      <c r="C7" s="1061"/>
      <c r="D7" s="1058" t="s">
        <v>2119</v>
      </c>
      <c r="E7" s="1058" t="s">
        <v>2120</v>
      </c>
      <c r="F7" s="1053" t="s">
        <v>2195</v>
      </c>
      <c r="G7" s="1054"/>
      <c r="H7" s="1054"/>
      <c r="I7" s="1054"/>
      <c r="J7" s="1054"/>
      <c r="K7" s="1054"/>
      <c r="L7" s="1054"/>
      <c r="M7" s="1054"/>
      <c r="N7" s="1054"/>
      <c r="O7" s="1054"/>
      <c r="P7" s="1055"/>
      <c r="Q7" s="1069" t="s">
        <v>2107</v>
      </c>
      <c r="R7" s="1053" t="s">
        <v>104</v>
      </c>
      <c r="S7" s="1054"/>
      <c r="T7" s="1054"/>
      <c r="U7" s="1055"/>
      <c r="V7" s="1048" t="s">
        <v>99</v>
      </c>
      <c r="W7" s="1048" t="s">
        <v>2108</v>
      </c>
      <c r="X7" s="1048" t="s">
        <v>103</v>
      </c>
      <c r="Y7" s="1067" t="s">
        <v>2121</v>
      </c>
      <c r="Z7" s="780">
        <v>11</v>
      </c>
    </row>
    <row r="8" spans="1:35" s="780" customFormat="1" ht="168" customHeight="1" x14ac:dyDescent="0.25">
      <c r="A8" s="1106"/>
      <c r="B8" s="1062"/>
      <c r="C8" s="1063"/>
      <c r="D8" s="1059"/>
      <c r="E8" s="1059"/>
      <c r="F8" s="738" t="s">
        <v>2109</v>
      </c>
      <c r="G8" s="734" t="s">
        <v>2128</v>
      </c>
      <c r="H8" s="738" t="s">
        <v>2190</v>
      </c>
      <c r="I8" s="738" t="s">
        <v>2097</v>
      </c>
      <c r="J8" s="738" t="s">
        <v>2196</v>
      </c>
      <c r="K8" s="734" t="s">
        <v>2199</v>
      </c>
      <c r="L8" s="734" t="s">
        <v>2198</v>
      </c>
      <c r="M8" s="735" t="s">
        <v>2095</v>
      </c>
      <c r="N8" s="738" t="s">
        <v>2113</v>
      </c>
      <c r="O8" s="735" t="s">
        <v>2156</v>
      </c>
      <c r="P8" s="734" t="s">
        <v>2157</v>
      </c>
      <c r="Q8" s="1070"/>
      <c r="R8" s="718" t="s">
        <v>108</v>
      </c>
      <c r="S8" s="718" t="s">
        <v>97</v>
      </c>
      <c r="T8" s="718" t="s">
        <v>96</v>
      </c>
      <c r="U8" s="719" t="s">
        <v>98</v>
      </c>
      <c r="V8" s="1049"/>
      <c r="W8" s="1049"/>
      <c r="X8" s="1049"/>
      <c r="Y8" s="1068"/>
      <c r="Z8" s="874" t="s">
        <v>94</v>
      </c>
    </row>
    <row r="9" spans="1:35" s="784" customFormat="1" ht="16.5" customHeight="1" x14ac:dyDescent="0.25">
      <c r="A9" s="741">
        <v>1</v>
      </c>
      <c r="B9" s="752"/>
      <c r="C9" s="743">
        <v>2026</v>
      </c>
      <c r="D9" s="690" t="s">
        <v>3842</v>
      </c>
      <c r="E9" s="687" t="s">
        <v>3843</v>
      </c>
      <c r="F9" s="705"/>
      <c r="G9" s="705"/>
      <c r="H9" s="705"/>
      <c r="I9" s="705"/>
      <c r="J9" s="705"/>
      <c r="K9" s="705"/>
      <c r="L9" s="705"/>
      <c r="M9" s="705"/>
      <c r="N9" s="705"/>
      <c r="O9" s="705"/>
      <c r="P9" s="705"/>
      <c r="Q9" s="776">
        <f>SUM(F9:P9)/11</f>
        <v>0</v>
      </c>
      <c r="R9" s="705"/>
      <c r="S9" s="705"/>
      <c r="T9" s="705"/>
      <c r="U9" s="776">
        <f>SUM(R9:T9)/3</f>
        <v>0</v>
      </c>
      <c r="V9" s="776">
        <f>SUM(Q9+U9)/2</f>
        <v>0</v>
      </c>
      <c r="W9" s="819"/>
      <c r="X9" s="813"/>
      <c r="Y9" s="693" t="s">
        <v>3901</v>
      </c>
      <c r="Z9" s="875"/>
      <c r="AA9" s="781" t="e">
        <f t="shared" ref="AA9:AA53" si="0">AVERAGE(F9:P9)</f>
        <v>#DIV/0!</v>
      </c>
    </row>
    <row r="10" spans="1:35" s="784" customFormat="1" ht="16.5" customHeight="1" x14ac:dyDescent="0.25">
      <c r="A10" s="744">
        <v>2</v>
      </c>
      <c r="B10" s="745"/>
      <c r="C10" s="746">
        <v>2026</v>
      </c>
      <c r="D10" s="685" t="s">
        <v>3844</v>
      </c>
      <c r="E10" s="689" t="s">
        <v>3845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82">
        <f>SUM(F10:P10)/11</f>
        <v>0</v>
      </c>
      <c r="R10" s="707"/>
      <c r="S10" s="707"/>
      <c r="T10" s="707"/>
      <c r="U10" s="782">
        <f t="shared" ref="U10:U46" si="1">SUM(R10:T10)/3</f>
        <v>0</v>
      </c>
      <c r="V10" s="782">
        <f t="shared" ref="V10:V46" si="2">SUM(Q10+U10)/2</f>
        <v>0</v>
      </c>
      <c r="W10" s="778"/>
      <c r="X10" s="814"/>
      <c r="Y10" s="692" t="s">
        <v>3902</v>
      </c>
      <c r="Z10" s="875"/>
      <c r="AA10" s="781" t="e">
        <f t="shared" si="0"/>
        <v>#DIV/0!</v>
      </c>
    </row>
    <row r="11" spans="1:35" s="784" customFormat="1" ht="16.5" customHeight="1" x14ac:dyDescent="0.25">
      <c r="A11" s="744">
        <v>3</v>
      </c>
      <c r="B11" s="745"/>
      <c r="C11" s="746">
        <v>2026</v>
      </c>
      <c r="D11" s="685" t="s">
        <v>3846</v>
      </c>
      <c r="E11" s="689" t="s">
        <v>2653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82">
        <f t="shared" ref="Q11:Q53" si="3">SUM(F11:P11)/11</f>
        <v>0</v>
      </c>
      <c r="R11" s="707"/>
      <c r="S11" s="707"/>
      <c r="T11" s="707"/>
      <c r="U11" s="782">
        <f t="shared" si="1"/>
        <v>0</v>
      </c>
      <c r="V11" s="782">
        <f t="shared" si="2"/>
        <v>0</v>
      </c>
      <c r="W11" s="778"/>
      <c r="X11" s="814"/>
      <c r="Y11" s="692" t="s">
        <v>3903</v>
      </c>
      <c r="Z11" s="875"/>
      <c r="AA11" s="781" t="e">
        <f t="shared" si="0"/>
        <v>#DIV/0!</v>
      </c>
    </row>
    <row r="12" spans="1:35" s="784" customFormat="1" ht="16.5" customHeight="1" x14ac:dyDescent="0.25">
      <c r="A12" s="744">
        <v>4</v>
      </c>
      <c r="B12" s="745"/>
      <c r="C12" s="746">
        <v>2026</v>
      </c>
      <c r="D12" s="685" t="s">
        <v>3847</v>
      </c>
      <c r="E12" s="689" t="s">
        <v>3848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82">
        <f t="shared" si="3"/>
        <v>0</v>
      </c>
      <c r="R12" s="707"/>
      <c r="S12" s="707"/>
      <c r="T12" s="707"/>
      <c r="U12" s="782">
        <f t="shared" si="1"/>
        <v>0</v>
      </c>
      <c r="V12" s="782">
        <f t="shared" si="2"/>
        <v>0</v>
      </c>
      <c r="W12" s="778"/>
      <c r="X12" s="814"/>
      <c r="Y12" s="692" t="s">
        <v>3904</v>
      </c>
      <c r="Z12" s="875"/>
      <c r="AA12" s="781" t="e">
        <f t="shared" si="0"/>
        <v>#DIV/0!</v>
      </c>
    </row>
    <row r="13" spans="1:35" s="784" customFormat="1" ht="16.5" customHeight="1" x14ac:dyDescent="0.25">
      <c r="A13" s="744">
        <v>5</v>
      </c>
      <c r="B13" s="745"/>
      <c r="C13" s="746">
        <v>2026</v>
      </c>
      <c r="D13" s="685" t="s">
        <v>3373</v>
      </c>
      <c r="E13" s="689" t="s">
        <v>3283</v>
      </c>
      <c r="F13" s="707"/>
      <c r="G13" s="707"/>
      <c r="H13" s="707"/>
      <c r="I13" s="707"/>
      <c r="J13" s="707"/>
      <c r="K13" s="707"/>
      <c r="L13" s="707"/>
      <c r="N13" s="707"/>
      <c r="O13" s="707"/>
      <c r="P13" s="707"/>
      <c r="Q13" s="782">
        <f t="shared" si="3"/>
        <v>0</v>
      </c>
      <c r="R13" s="707"/>
      <c r="S13" s="707"/>
      <c r="T13" s="707"/>
      <c r="U13" s="782">
        <f t="shared" si="1"/>
        <v>0</v>
      </c>
      <c r="V13" s="782">
        <f t="shared" si="2"/>
        <v>0</v>
      </c>
      <c r="W13" s="778"/>
      <c r="X13" s="814"/>
      <c r="Y13" s="692" t="s">
        <v>3905</v>
      </c>
      <c r="Z13" s="875"/>
      <c r="AA13" s="781" t="e">
        <f t="shared" si="0"/>
        <v>#DIV/0!</v>
      </c>
    </row>
    <row r="14" spans="1:35" s="784" customFormat="1" ht="16.5" customHeight="1" x14ac:dyDescent="0.25">
      <c r="A14" s="744">
        <v>6</v>
      </c>
      <c r="B14" s="745"/>
      <c r="C14" s="746">
        <v>2026</v>
      </c>
      <c r="D14" s="685" t="s">
        <v>3849</v>
      </c>
      <c r="E14" s="689" t="s">
        <v>3850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82">
        <f t="shared" si="3"/>
        <v>0</v>
      </c>
      <c r="R14" s="707"/>
      <c r="S14" s="707"/>
      <c r="T14" s="707"/>
      <c r="U14" s="782">
        <f t="shared" si="1"/>
        <v>0</v>
      </c>
      <c r="V14" s="782">
        <f t="shared" si="2"/>
        <v>0</v>
      </c>
      <c r="W14" s="778"/>
      <c r="X14" s="814"/>
      <c r="Y14" s="692" t="s">
        <v>3906</v>
      </c>
      <c r="Z14" s="875"/>
      <c r="AA14" s="781" t="e">
        <f t="shared" si="0"/>
        <v>#DIV/0!</v>
      </c>
    </row>
    <row r="15" spans="1:35" s="784" customFormat="1" ht="16.5" customHeight="1" x14ac:dyDescent="0.25">
      <c r="A15" s="744">
        <v>7</v>
      </c>
      <c r="B15" s="745"/>
      <c r="C15" s="746">
        <v>2026</v>
      </c>
      <c r="D15" s="685" t="s">
        <v>3851</v>
      </c>
      <c r="E15" s="689" t="s">
        <v>3852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82">
        <f t="shared" si="3"/>
        <v>0</v>
      </c>
      <c r="R15" s="707"/>
      <c r="S15" s="707"/>
      <c r="T15" s="707"/>
      <c r="U15" s="782">
        <f t="shared" si="1"/>
        <v>0</v>
      </c>
      <c r="V15" s="782">
        <f t="shared" si="2"/>
        <v>0</v>
      </c>
      <c r="W15" s="778"/>
      <c r="X15" s="814"/>
      <c r="Y15" s="692" t="s">
        <v>3907</v>
      </c>
      <c r="Z15" s="875"/>
      <c r="AA15" s="781" t="e">
        <f t="shared" si="0"/>
        <v>#DIV/0!</v>
      </c>
    </row>
    <row r="16" spans="1:35" s="784" customFormat="1" ht="16.5" customHeight="1" x14ac:dyDescent="0.25">
      <c r="A16" s="744">
        <v>8</v>
      </c>
      <c r="B16" s="745"/>
      <c r="C16" s="746">
        <v>2026</v>
      </c>
      <c r="D16" s="685" t="s">
        <v>3853</v>
      </c>
      <c r="E16" s="689" t="s">
        <v>3296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82">
        <f t="shared" si="3"/>
        <v>0</v>
      </c>
      <c r="R16" s="707"/>
      <c r="S16" s="707"/>
      <c r="T16" s="707"/>
      <c r="U16" s="782">
        <f t="shared" si="1"/>
        <v>0</v>
      </c>
      <c r="V16" s="782">
        <f t="shared" si="2"/>
        <v>0</v>
      </c>
      <c r="W16" s="778"/>
      <c r="X16" s="814"/>
      <c r="Y16" s="692" t="s">
        <v>3908</v>
      </c>
      <c r="Z16" s="875"/>
      <c r="AA16" s="781" t="e">
        <f t="shared" si="0"/>
        <v>#DIV/0!</v>
      </c>
    </row>
    <row r="17" spans="1:27" s="784" customFormat="1" ht="16.5" customHeight="1" x14ac:dyDescent="0.25">
      <c r="A17" s="744">
        <v>9</v>
      </c>
      <c r="B17" s="745"/>
      <c r="C17" s="746">
        <v>2026</v>
      </c>
      <c r="D17" s="685" t="s">
        <v>2786</v>
      </c>
      <c r="E17" s="689" t="s">
        <v>2821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82">
        <f t="shared" si="3"/>
        <v>0</v>
      </c>
      <c r="R17" s="707"/>
      <c r="S17" s="707"/>
      <c r="T17" s="707"/>
      <c r="U17" s="782">
        <f t="shared" si="1"/>
        <v>0</v>
      </c>
      <c r="V17" s="782">
        <f t="shared" si="2"/>
        <v>0</v>
      </c>
      <c r="W17" s="778"/>
      <c r="X17" s="814"/>
      <c r="Y17" s="692" t="s">
        <v>3909</v>
      </c>
      <c r="Z17" s="875"/>
      <c r="AA17" s="781" t="e">
        <f t="shared" si="0"/>
        <v>#DIV/0!</v>
      </c>
    </row>
    <row r="18" spans="1:27" s="784" customFormat="1" ht="16.5" customHeight="1" x14ac:dyDescent="0.25">
      <c r="A18" s="744">
        <v>10</v>
      </c>
      <c r="B18" s="745"/>
      <c r="C18" s="746">
        <v>2026</v>
      </c>
      <c r="D18" s="685" t="s">
        <v>3854</v>
      </c>
      <c r="E18" s="689" t="s">
        <v>2867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82">
        <f t="shared" ref="Q18" si="4">SUM(F18:P18)/11</f>
        <v>0</v>
      </c>
      <c r="R18" s="707"/>
      <c r="S18" s="707"/>
      <c r="T18" s="707"/>
      <c r="U18" s="782">
        <f t="shared" ref="U18" si="5">SUM(R18:T18)/3</f>
        <v>0</v>
      </c>
      <c r="V18" s="782">
        <f t="shared" ref="V18" si="6">SUM(Q18+U18)/2</f>
        <v>0</v>
      </c>
      <c r="W18" s="778"/>
      <c r="X18" s="814"/>
      <c r="Y18" s="692" t="s">
        <v>3910</v>
      </c>
      <c r="Z18" s="875"/>
      <c r="AA18" s="781" t="e">
        <f t="shared" ref="AA18" si="7">AVERAGE(F18:P18)</f>
        <v>#DIV/0!</v>
      </c>
    </row>
    <row r="19" spans="1:27" s="784" customFormat="1" ht="16.5" customHeight="1" x14ac:dyDescent="0.25">
      <c r="A19" s="744">
        <v>11</v>
      </c>
      <c r="B19" s="745"/>
      <c r="C19" s="746">
        <v>2026</v>
      </c>
      <c r="D19" s="685" t="s">
        <v>2597</v>
      </c>
      <c r="E19" s="689" t="s">
        <v>3389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82">
        <f t="shared" si="3"/>
        <v>0</v>
      </c>
      <c r="R19" s="707"/>
      <c r="S19" s="707"/>
      <c r="T19" s="707"/>
      <c r="U19" s="782">
        <f t="shared" si="1"/>
        <v>0</v>
      </c>
      <c r="V19" s="782">
        <f t="shared" si="2"/>
        <v>0</v>
      </c>
      <c r="W19" s="778"/>
      <c r="X19" s="814"/>
      <c r="Y19" s="692" t="s">
        <v>3911</v>
      </c>
      <c r="Z19" s="875"/>
      <c r="AA19" s="781" t="e">
        <f t="shared" si="0"/>
        <v>#DIV/0!</v>
      </c>
    </row>
    <row r="20" spans="1:27" s="784" customFormat="1" ht="16.5" customHeight="1" x14ac:dyDescent="0.25">
      <c r="A20" s="744">
        <v>12</v>
      </c>
      <c r="B20" s="745"/>
      <c r="C20" s="746">
        <v>2026</v>
      </c>
      <c r="D20" s="685" t="s">
        <v>3855</v>
      </c>
      <c r="E20" s="689" t="s">
        <v>770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82">
        <f t="shared" si="3"/>
        <v>0</v>
      </c>
      <c r="R20" s="707"/>
      <c r="S20" s="707"/>
      <c r="T20" s="707"/>
      <c r="U20" s="782">
        <f t="shared" si="1"/>
        <v>0</v>
      </c>
      <c r="V20" s="782">
        <f t="shared" si="2"/>
        <v>0</v>
      </c>
      <c r="W20" s="778"/>
      <c r="X20" s="814"/>
      <c r="Y20" s="692" t="s">
        <v>3912</v>
      </c>
      <c r="Z20" s="875"/>
      <c r="AA20" s="781" t="e">
        <f t="shared" si="0"/>
        <v>#DIV/0!</v>
      </c>
    </row>
    <row r="21" spans="1:27" s="784" customFormat="1" ht="16.5" customHeight="1" x14ac:dyDescent="0.25">
      <c r="A21" s="744">
        <v>13</v>
      </c>
      <c r="B21" s="745"/>
      <c r="C21" s="746">
        <v>2026</v>
      </c>
      <c r="D21" s="685" t="s">
        <v>3856</v>
      </c>
      <c r="E21" s="689" t="s">
        <v>2382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82">
        <f t="shared" si="3"/>
        <v>0</v>
      </c>
      <c r="R21" s="707"/>
      <c r="S21" s="707"/>
      <c r="T21" s="707"/>
      <c r="U21" s="782">
        <f t="shared" si="1"/>
        <v>0</v>
      </c>
      <c r="V21" s="782">
        <f t="shared" si="2"/>
        <v>0</v>
      </c>
      <c r="W21" s="778"/>
      <c r="X21" s="814"/>
      <c r="Y21" s="692" t="s">
        <v>3913</v>
      </c>
      <c r="Z21" s="875"/>
      <c r="AA21" s="781" t="e">
        <f t="shared" si="0"/>
        <v>#DIV/0!</v>
      </c>
    </row>
    <row r="22" spans="1:27" s="784" customFormat="1" ht="16.5" customHeight="1" x14ac:dyDescent="0.25">
      <c r="A22" s="744">
        <v>14</v>
      </c>
      <c r="B22" s="745"/>
      <c r="C22" s="746">
        <v>2026</v>
      </c>
      <c r="D22" s="685" t="s">
        <v>3857</v>
      </c>
      <c r="E22" s="689" t="s">
        <v>2662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82">
        <f t="shared" si="3"/>
        <v>0</v>
      </c>
      <c r="R22" s="707"/>
      <c r="S22" s="707"/>
      <c r="T22" s="707"/>
      <c r="U22" s="782">
        <f t="shared" si="1"/>
        <v>0</v>
      </c>
      <c r="V22" s="782">
        <f t="shared" si="2"/>
        <v>0</v>
      </c>
      <c r="W22" s="778"/>
      <c r="X22" s="814"/>
      <c r="Y22" s="692" t="s">
        <v>3914</v>
      </c>
      <c r="Z22" s="875"/>
      <c r="AA22" s="781" t="e">
        <f t="shared" si="0"/>
        <v>#DIV/0!</v>
      </c>
    </row>
    <row r="23" spans="1:27" s="784" customFormat="1" ht="16.5" customHeight="1" x14ac:dyDescent="0.25">
      <c r="A23" s="744">
        <v>15</v>
      </c>
      <c r="B23" s="745"/>
      <c r="C23" s="746">
        <v>2026</v>
      </c>
      <c r="D23" s="685" t="s">
        <v>3858</v>
      </c>
      <c r="E23" s="689" t="s">
        <v>3859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82">
        <f t="shared" si="3"/>
        <v>0</v>
      </c>
      <c r="R23" s="707"/>
      <c r="S23" s="707"/>
      <c r="T23" s="707"/>
      <c r="U23" s="782">
        <f t="shared" si="1"/>
        <v>0</v>
      </c>
      <c r="V23" s="782">
        <f t="shared" si="2"/>
        <v>0</v>
      </c>
      <c r="W23" s="778"/>
      <c r="X23" s="814"/>
      <c r="Y23" s="692" t="s">
        <v>3915</v>
      </c>
      <c r="Z23" s="875"/>
      <c r="AA23" s="781" t="e">
        <f t="shared" si="0"/>
        <v>#DIV/0!</v>
      </c>
    </row>
    <row r="24" spans="1:27" s="784" customFormat="1" ht="16.5" customHeight="1" x14ac:dyDescent="0.25">
      <c r="A24" s="744">
        <v>16</v>
      </c>
      <c r="B24" s="745"/>
      <c r="C24" s="746">
        <v>2026</v>
      </c>
      <c r="D24" s="685" t="s">
        <v>2611</v>
      </c>
      <c r="E24" s="689" t="s">
        <v>2621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82">
        <f t="shared" si="3"/>
        <v>0</v>
      </c>
      <c r="R24" s="707"/>
      <c r="S24" s="707"/>
      <c r="T24" s="707"/>
      <c r="U24" s="782">
        <f t="shared" si="1"/>
        <v>0</v>
      </c>
      <c r="V24" s="782">
        <f t="shared" si="2"/>
        <v>0</v>
      </c>
      <c r="W24" s="778"/>
      <c r="X24" s="814"/>
      <c r="Y24" s="692" t="s">
        <v>3916</v>
      </c>
      <c r="Z24" s="875"/>
      <c r="AA24" s="781" t="e">
        <f t="shared" si="0"/>
        <v>#DIV/0!</v>
      </c>
    </row>
    <row r="25" spans="1:27" s="784" customFormat="1" ht="16.5" customHeight="1" x14ac:dyDescent="0.25">
      <c r="A25" s="744">
        <v>17</v>
      </c>
      <c r="B25" s="745"/>
      <c r="C25" s="746">
        <v>2026</v>
      </c>
      <c r="D25" s="685" t="s">
        <v>3860</v>
      </c>
      <c r="E25" s="689" t="s">
        <v>3861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82">
        <f t="shared" si="3"/>
        <v>0</v>
      </c>
      <c r="R25" s="707"/>
      <c r="S25" s="707"/>
      <c r="T25" s="707"/>
      <c r="U25" s="782">
        <f t="shared" si="1"/>
        <v>0</v>
      </c>
      <c r="V25" s="782">
        <f t="shared" si="2"/>
        <v>0</v>
      </c>
      <c r="W25" s="778"/>
      <c r="X25" s="814"/>
      <c r="Y25" s="692" t="s">
        <v>3917</v>
      </c>
      <c r="Z25" s="875"/>
      <c r="AA25" s="781" t="e">
        <f t="shared" si="0"/>
        <v>#DIV/0!</v>
      </c>
    </row>
    <row r="26" spans="1:27" s="784" customFormat="1" ht="16.5" customHeight="1" x14ac:dyDescent="0.25">
      <c r="A26" s="744">
        <v>18</v>
      </c>
      <c r="B26" s="745"/>
      <c r="C26" s="746">
        <v>2026</v>
      </c>
      <c r="D26" s="685" t="s">
        <v>3862</v>
      </c>
      <c r="E26" s="689" t="s">
        <v>3863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82">
        <f t="shared" si="3"/>
        <v>0</v>
      </c>
      <c r="R26" s="707"/>
      <c r="S26" s="707"/>
      <c r="T26" s="707"/>
      <c r="U26" s="782">
        <f t="shared" si="1"/>
        <v>0</v>
      </c>
      <c r="V26" s="782">
        <f t="shared" si="2"/>
        <v>0</v>
      </c>
      <c r="W26" s="778"/>
      <c r="X26" s="814"/>
      <c r="Y26" s="692" t="s">
        <v>3918</v>
      </c>
      <c r="Z26" s="875"/>
      <c r="AA26" s="781" t="e">
        <f t="shared" si="0"/>
        <v>#DIV/0!</v>
      </c>
    </row>
    <row r="27" spans="1:27" s="784" customFormat="1" ht="16.5" customHeight="1" x14ac:dyDescent="0.25">
      <c r="A27" s="744">
        <v>19</v>
      </c>
      <c r="B27" s="745"/>
      <c r="C27" s="746">
        <v>2026</v>
      </c>
      <c r="D27" s="685" t="s">
        <v>3864</v>
      </c>
      <c r="E27" s="689" t="s">
        <v>3865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82">
        <f t="shared" si="3"/>
        <v>0</v>
      </c>
      <c r="R27" s="707"/>
      <c r="S27" s="707"/>
      <c r="T27" s="707"/>
      <c r="U27" s="782">
        <f t="shared" si="1"/>
        <v>0</v>
      </c>
      <c r="V27" s="782">
        <f t="shared" si="2"/>
        <v>0</v>
      </c>
      <c r="W27" s="778"/>
      <c r="X27" s="814"/>
      <c r="Y27" s="692" t="s">
        <v>3919</v>
      </c>
      <c r="Z27" s="875"/>
      <c r="AA27" s="781" t="e">
        <f t="shared" si="0"/>
        <v>#DIV/0!</v>
      </c>
    </row>
    <row r="28" spans="1:27" s="784" customFormat="1" ht="16.5" customHeight="1" x14ac:dyDescent="0.25">
      <c r="A28" s="744">
        <v>20</v>
      </c>
      <c r="B28" s="745"/>
      <c r="C28" s="746">
        <v>2026</v>
      </c>
      <c r="D28" s="685" t="s">
        <v>3866</v>
      </c>
      <c r="E28" s="689"/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82">
        <f t="shared" si="3"/>
        <v>0</v>
      </c>
      <c r="R28" s="707"/>
      <c r="S28" s="707"/>
      <c r="T28" s="707"/>
      <c r="U28" s="782">
        <f t="shared" si="1"/>
        <v>0</v>
      </c>
      <c r="V28" s="782">
        <f t="shared" si="2"/>
        <v>0</v>
      </c>
      <c r="W28" s="778"/>
      <c r="X28" s="814"/>
      <c r="Y28" s="692"/>
      <c r="Z28" s="875"/>
      <c r="AA28" s="781" t="e">
        <f t="shared" si="0"/>
        <v>#DIV/0!</v>
      </c>
    </row>
    <row r="29" spans="1:27" s="784" customFormat="1" ht="16.5" customHeight="1" x14ac:dyDescent="0.25">
      <c r="A29" s="744">
        <v>21</v>
      </c>
      <c r="B29" s="745"/>
      <c r="C29" s="746">
        <v>2026</v>
      </c>
      <c r="D29" s="685" t="s">
        <v>3867</v>
      </c>
      <c r="E29" s="689" t="s">
        <v>2840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82">
        <f t="shared" si="3"/>
        <v>0</v>
      </c>
      <c r="R29" s="707"/>
      <c r="S29" s="707"/>
      <c r="T29" s="707"/>
      <c r="U29" s="782">
        <f t="shared" si="1"/>
        <v>0</v>
      </c>
      <c r="V29" s="782">
        <f t="shared" si="2"/>
        <v>0</v>
      </c>
      <c r="W29" s="778"/>
      <c r="X29" s="814"/>
      <c r="Y29" s="692" t="s">
        <v>3920</v>
      </c>
      <c r="Z29" s="875"/>
      <c r="AA29" s="781" t="e">
        <f t="shared" si="0"/>
        <v>#DIV/0!</v>
      </c>
    </row>
    <row r="30" spans="1:27" s="784" customFormat="1" ht="16.5" customHeight="1" x14ac:dyDescent="0.25">
      <c r="A30" s="744">
        <v>22</v>
      </c>
      <c r="B30" s="745"/>
      <c r="C30" s="746">
        <v>2026</v>
      </c>
      <c r="D30" s="685" t="s">
        <v>3868</v>
      </c>
      <c r="E30" s="689" t="s">
        <v>3869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82">
        <f t="shared" si="3"/>
        <v>0</v>
      </c>
      <c r="R30" s="707"/>
      <c r="S30" s="707"/>
      <c r="T30" s="707"/>
      <c r="U30" s="782">
        <f t="shared" si="1"/>
        <v>0</v>
      </c>
      <c r="V30" s="782">
        <f t="shared" si="2"/>
        <v>0</v>
      </c>
      <c r="W30" s="778"/>
      <c r="X30" s="814"/>
      <c r="Y30" s="692" t="s">
        <v>3921</v>
      </c>
      <c r="Z30" s="875"/>
      <c r="AA30" s="781" t="e">
        <f t="shared" si="0"/>
        <v>#DIV/0!</v>
      </c>
    </row>
    <row r="31" spans="1:27" s="784" customFormat="1" ht="16.5" customHeight="1" x14ac:dyDescent="0.25">
      <c r="A31" s="744">
        <v>23</v>
      </c>
      <c r="B31" s="745"/>
      <c r="C31" s="746">
        <v>2026</v>
      </c>
      <c r="D31" s="685" t="s">
        <v>3870</v>
      </c>
      <c r="E31" s="689" t="s">
        <v>3871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82">
        <f t="shared" si="3"/>
        <v>0</v>
      </c>
      <c r="R31" s="707"/>
      <c r="S31" s="707"/>
      <c r="T31" s="707"/>
      <c r="U31" s="782">
        <f t="shared" si="1"/>
        <v>0</v>
      </c>
      <c r="V31" s="782">
        <f t="shared" si="2"/>
        <v>0</v>
      </c>
      <c r="W31" s="778"/>
      <c r="X31" s="814"/>
      <c r="Y31" s="692" t="s">
        <v>3922</v>
      </c>
      <c r="Z31" s="875"/>
      <c r="AA31" s="781" t="e">
        <f t="shared" si="0"/>
        <v>#DIV/0!</v>
      </c>
    </row>
    <row r="32" spans="1:27" s="784" customFormat="1" ht="16.5" customHeight="1" x14ac:dyDescent="0.25">
      <c r="A32" s="744">
        <v>24</v>
      </c>
      <c r="B32" s="745"/>
      <c r="C32" s="746">
        <v>2026</v>
      </c>
      <c r="D32" s="685" t="s">
        <v>3872</v>
      </c>
      <c r="E32" s="689" t="s">
        <v>3873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82">
        <f t="shared" si="3"/>
        <v>0</v>
      </c>
      <c r="R32" s="707"/>
      <c r="S32" s="707"/>
      <c r="T32" s="707"/>
      <c r="U32" s="782">
        <f t="shared" si="1"/>
        <v>0</v>
      </c>
      <c r="V32" s="782">
        <f t="shared" si="2"/>
        <v>0</v>
      </c>
      <c r="W32" s="778"/>
      <c r="X32" s="814"/>
      <c r="Y32" s="692" t="s">
        <v>3923</v>
      </c>
      <c r="Z32" s="875"/>
      <c r="AA32" s="781" t="e">
        <f t="shared" si="0"/>
        <v>#DIV/0!</v>
      </c>
    </row>
    <row r="33" spans="1:27" s="784" customFormat="1" ht="16.5" customHeight="1" x14ac:dyDescent="0.25">
      <c r="A33" s="744">
        <v>25</v>
      </c>
      <c r="B33" s="745"/>
      <c r="C33" s="746">
        <v>2026</v>
      </c>
      <c r="D33" s="685" t="s">
        <v>3874</v>
      </c>
      <c r="E33" s="689" t="s">
        <v>3875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82">
        <f t="shared" si="3"/>
        <v>0</v>
      </c>
      <c r="R33" s="707"/>
      <c r="S33" s="707"/>
      <c r="T33" s="707"/>
      <c r="U33" s="782">
        <f t="shared" si="1"/>
        <v>0</v>
      </c>
      <c r="V33" s="782">
        <f t="shared" si="2"/>
        <v>0</v>
      </c>
      <c r="W33" s="778"/>
      <c r="X33" s="814"/>
      <c r="Y33" s="692" t="s">
        <v>3924</v>
      </c>
      <c r="Z33" s="875"/>
      <c r="AA33" s="781" t="e">
        <f t="shared" si="0"/>
        <v>#DIV/0!</v>
      </c>
    </row>
    <row r="34" spans="1:27" s="784" customFormat="1" ht="16.5" customHeight="1" x14ac:dyDescent="0.25">
      <c r="A34" s="744">
        <v>26</v>
      </c>
      <c r="B34" s="745"/>
      <c r="C34" s="746">
        <v>2026</v>
      </c>
      <c r="D34" s="685" t="s">
        <v>3876</v>
      </c>
      <c r="E34" s="689" t="s">
        <v>982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82">
        <f t="shared" si="3"/>
        <v>0</v>
      </c>
      <c r="R34" s="707"/>
      <c r="S34" s="707"/>
      <c r="T34" s="707"/>
      <c r="U34" s="782"/>
      <c r="V34" s="782"/>
      <c r="W34" s="778"/>
      <c r="X34" s="814"/>
      <c r="Y34" s="692" t="s">
        <v>3925</v>
      </c>
      <c r="Z34" s="875"/>
      <c r="AA34" s="781" t="e">
        <f t="shared" si="0"/>
        <v>#DIV/0!</v>
      </c>
    </row>
    <row r="35" spans="1:27" s="784" customFormat="1" ht="16.5" customHeight="1" x14ac:dyDescent="0.25">
      <c r="A35" s="744">
        <v>27</v>
      </c>
      <c r="B35" s="745"/>
      <c r="C35" s="746">
        <v>2026</v>
      </c>
      <c r="D35" s="685" t="s">
        <v>3877</v>
      </c>
      <c r="E35" s="689" t="s">
        <v>2650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82">
        <f t="shared" si="3"/>
        <v>0</v>
      </c>
      <c r="R35" s="707"/>
      <c r="S35" s="707"/>
      <c r="T35" s="707"/>
      <c r="U35" s="782">
        <f t="shared" si="1"/>
        <v>0</v>
      </c>
      <c r="V35" s="782">
        <f t="shared" si="2"/>
        <v>0</v>
      </c>
      <c r="W35" s="778"/>
      <c r="X35" s="814"/>
      <c r="Y35" s="692" t="s">
        <v>3926</v>
      </c>
      <c r="Z35" s="875"/>
      <c r="AA35" s="781" t="e">
        <f t="shared" si="0"/>
        <v>#DIV/0!</v>
      </c>
    </row>
    <row r="36" spans="1:27" s="784" customFormat="1" ht="16.5" customHeight="1" x14ac:dyDescent="0.25">
      <c r="A36" s="744">
        <v>28</v>
      </c>
      <c r="B36" s="745"/>
      <c r="C36" s="746">
        <v>2026</v>
      </c>
      <c r="D36" s="685" t="s">
        <v>3878</v>
      </c>
      <c r="E36" s="689" t="s">
        <v>3575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7"/>
      <c r="Q36" s="782">
        <f t="shared" si="3"/>
        <v>0</v>
      </c>
      <c r="R36" s="707"/>
      <c r="S36" s="707"/>
      <c r="T36" s="707"/>
      <c r="U36" s="782">
        <f t="shared" si="1"/>
        <v>0</v>
      </c>
      <c r="V36" s="782">
        <f t="shared" si="2"/>
        <v>0</v>
      </c>
      <c r="W36" s="778"/>
      <c r="X36" s="814"/>
      <c r="Y36" s="692" t="s">
        <v>3927</v>
      </c>
      <c r="Z36" s="875"/>
      <c r="AA36" s="781" t="e">
        <f t="shared" si="0"/>
        <v>#DIV/0!</v>
      </c>
    </row>
    <row r="37" spans="1:27" s="784" customFormat="1" ht="16.5" customHeight="1" x14ac:dyDescent="0.25">
      <c r="A37" s="744">
        <v>29</v>
      </c>
      <c r="B37" s="745"/>
      <c r="C37" s="746">
        <v>2026</v>
      </c>
      <c r="D37" s="685" t="s">
        <v>3879</v>
      </c>
      <c r="E37" s="689" t="s">
        <v>2662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7"/>
      <c r="Q37" s="782">
        <f t="shared" si="3"/>
        <v>0</v>
      </c>
      <c r="R37" s="707"/>
      <c r="S37" s="707"/>
      <c r="T37" s="707"/>
      <c r="U37" s="782">
        <f t="shared" si="1"/>
        <v>0</v>
      </c>
      <c r="V37" s="782">
        <f t="shared" si="2"/>
        <v>0</v>
      </c>
      <c r="W37" s="778"/>
      <c r="X37" s="814"/>
      <c r="Y37" s="692" t="s">
        <v>3928</v>
      </c>
      <c r="Z37" s="875"/>
      <c r="AA37" s="781" t="e">
        <f t="shared" si="0"/>
        <v>#DIV/0!</v>
      </c>
    </row>
    <row r="38" spans="1:27" s="784" customFormat="1" ht="16.5" customHeight="1" x14ac:dyDescent="0.25">
      <c r="A38" s="744">
        <v>30</v>
      </c>
      <c r="B38" s="745"/>
      <c r="C38" s="746">
        <v>2026</v>
      </c>
      <c r="D38" s="685" t="s">
        <v>3880</v>
      </c>
      <c r="E38" s="689" t="s">
        <v>3881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7"/>
      <c r="Q38" s="782">
        <f t="shared" si="3"/>
        <v>0</v>
      </c>
      <c r="R38" s="707"/>
      <c r="S38" s="707"/>
      <c r="T38" s="707"/>
      <c r="U38" s="782">
        <f t="shared" si="1"/>
        <v>0</v>
      </c>
      <c r="V38" s="782">
        <f t="shared" si="2"/>
        <v>0</v>
      </c>
      <c r="W38" s="778"/>
      <c r="X38" s="814"/>
      <c r="Y38" s="692" t="s">
        <v>3929</v>
      </c>
      <c r="Z38" s="875"/>
      <c r="AA38" s="781" t="e">
        <f t="shared" si="0"/>
        <v>#DIV/0!</v>
      </c>
    </row>
    <row r="39" spans="1:27" s="784" customFormat="1" ht="16.5" customHeight="1" x14ac:dyDescent="0.25">
      <c r="A39" s="744">
        <v>31</v>
      </c>
      <c r="B39" s="745"/>
      <c r="C39" s="746">
        <v>2026</v>
      </c>
      <c r="D39" s="685" t="s">
        <v>3882</v>
      </c>
      <c r="E39" s="689" t="s">
        <v>2944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82">
        <f t="shared" si="3"/>
        <v>0</v>
      </c>
      <c r="R39" s="707"/>
      <c r="S39" s="707"/>
      <c r="T39" s="707"/>
      <c r="U39" s="782">
        <f t="shared" si="1"/>
        <v>0</v>
      </c>
      <c r="V39" s="782">
        <f t="shared" si="2"/>
        <v>0</v>
      </c>
      <c r="W39" s="778"/>
      <c r="X39" s="814"/>
      <c r="Y39" s="692" t="s">
        <v>3930</v>
      </c>
      <c r="Z39" s="875"/>
      <c r="AA39" s="781" t="e">
        <f t="shared" si="0"/>
        <v>#DIV/0!</v>
      </c>
    </row>
    <row r="40" spans="1:27" s="784" customFormat="1" ht="16.5" customHeight="1" x14ac:dyDescent="0.25">
      <c r="A40" s="744">
        <v>32</v>
      </c>
      <c r="B40" s="745"/>
      <c r="C40" s="746">
        <v>2026</v>
      </c>
      <c r="D40" s="685" t="s">
        <v>3883</v>
      </c>
      <c r="E40" s="689" t="s">
        <v>3884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82">
        <f t="shared" si="3"/>
        <v>0</v>
      </c>
      <c r="R40" s="707"/>
      <c r="S40" s="707"/>
      <c r="T40" s="707"/>
      <c r="U40" s="782">
        <f t="shared" si="1"/>
        <v>0</v>
      </c>
      <c r="V40" s="782">
        <f t="shared" si="2"/>
        <v>0</v>
      </c>
      <c r="W40" s="778"/>
      <c r="X40" s="814"/>
      <c r="Y40" s="692" t="s">
        <v>3931</v>
      </c>
      <c r="Z40" s="875"/>
      <c r="AA40" s="781" t="e">
        <f t="shared" si="0"/>
        <v>#DIV/0!</v>
      </c>
    </row>
    <row r="41" spans="1:27" s="784" customFormat="1" ht="16.5" customHeight="1" x14ac:dyDescent="0.25">
      <c r="A41" s="744">
        <v>33</v>
      </c>
      <c r="B41" s="745"/>
      <c r="C41" s="746">
        <v>2026</v>
      </c>
      <c r="D41" s="685" t="s">
        <v>2432</v>
      </c>
      <c r="E41" s="689" t="s">
        <v>3885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82">
        <f t="shared" si="3"/>
        <v>0</v>
      </c>
      <c r="R41" s="707"/>
      <c r="S41" s="707"/>
      <c r="T41" s="707"/>
      <c r="U41" s="782">
        <f t="shared" si="1"/>
        <v>0</v>
      </c>
      <c r="V41" s="782">
        <f t="shared" si="2"/>
        <v>0</v>
      </c>
      <c r="W41" s="778"/>
      <c r="X41" s="814"/>
      <c r="Y41" s="692" t="s">
        <v>3932</v>
      </c>
      <c r="Z41" s="875"/>
      <c r="AA41" s="781" t="e">
        <f t="shared" si="0"/>
        <v>#DIV/0!</v>
      </c>
    </row>
    <row r="42" spans="1:27" s="784" customFormat="1" ht="16.5" customHeight="1" x14ac:dyDescent="0.25">
      <c r="A42" s="744">
        <v>34</v>
      </c>
      <c r="B42" s="745"/>
      <c r="C42" s="746">
        <v>2026</v>
      </c>
      <c r="D42" s="685" t="s">
        <v>3611</v>
      </c>
      <c r="E42" s="689" t="s">
        <v>2610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82">
        <f t="shared" si="3"/>
        <v>0</v>
      </c>
      <c r="R42" s="707"/>
      <c r="S42" s="707"/>
      <c r="T42" s="707"/>
      <c r="U42" s="782">
        <f t="shared" si="1"/>
        <v>0</v>
      </c>
      <c r="V42" s="782">
        <f t="shared" si="2"/>
        <v>0</v>
      </c>
      <c r="W42" s="778"/>
      <c r="X42" s="814"/>
      <c r="Y42" s="692" t="s">
        <v>3933</v>
      </c>
      <c r="Z42" s="875"/>
      <c r="AA42" s="781" t="e">
        <f t="shared" si="0"/>
        <v>#DIV/0!</v>
      </c>
    </row>
    <row r="43" spans="1:27" s="784" customFormat="1" ht="16.5" customHeight="1" x14ac:dyDescent="0.25">
      <c r="A43" s="744">
        <v>35</v>
      </c>
      <c r="B43" s="745"/>
      <c r="C43" s="746">
        <v>2026</v>
      </c>
      <c r="D43" s="685" t="s">
        <v>3886</v>
      </c>
      <c r="E43" s="689" t="s">
        <v>2748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82">
        <f t="shared" si="3"/>
        <v>0</v>
      </c>
      <c r="R43" s="707"/>
      <c r="S43" s="707"/>
      <c r="T43" s="707"/>
      <c r="U43" s="782">
        <f t="shared" si="1"/>
        <v>0</v>
      </c>
      <c r="V43" s="782">
        <f t="shared" si="2"/>
        <v>0</v>
      </c>
      <c r="W43" s="778"/>
      <c r="X43" s="814"/>
      <c r="Y43" s="692" t="s">
        <v>3934</v>
      </c>
      <c r="Z43" s="875"/>
      <c r="AA43" s="781" t="e">
        <f t="shared" si="0"/>
        <v>#DIV/0!</v>
      </c>
    </row>
    <row r="44" spans="1:27" s="784" customFormat="1" ht="16.5" customHeight="1" x14ac:dyDescent="0.25">
      <c r="A44" s="744">
        <v>36</v>
      </c>
      <c r="B44" s="745"/>
      <c r="C44" s="746">
        <v>2026</v>
      </c>
      <c r="D44" s="685" t="s">
        <v>3887</v>
      </c>
      <c r="E44" s="689" t="s">
        <v>3888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82">
        <f t="shared" si="3"/>
        <v>0</v>
      </c>
      <c r="R44" s="707"/>
      <c r="S44" s="707"/>
      <c r="T44" s="707"/>
      <c r="U44" s="782">
        <f t="shared" si="1"/>
        <v>0</v>
      </c>
      <c r="V44" s="782">
        <f t="shared" si="2"/>
        <v>0</v>
      </c>
      <c r="W44" s="778"/>
      <c r="X44" s="814"/>
      <c r="Y44" s="692" t="s">
        <v>3935</v>
      </c>
      <c r="Z44" s="875"/>
      <c r="AA44" s="781" t="e">
        <f t="shared" si="0"/>
        <v>#DIV/0!</v>
      </c>
    </row>
    <row r="45" spans="1:27" s="784" customFormat="1" ht="16.5" customHeight="1" x14ac:dyDescent="0.25">
      <c r="A45" s="744">
        <v>37</v>
      </c>
      <c r="B45" s="745"/>
      <c r="C45" s="746">
        <v>2026</v>
      </c>
      <c r="D45" s="685" t="s">
        <v>3335</v>
      </c>
      <c r="E45" s="689" t="s">
        <v>3889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82">
        <f t="shared" si="3"/>
        <v>0</v>
      </c>
      <c r="R45" s="707"/>
      <c r="S45" s="707"/>
      <c r="T45" s="707"/>
      <c r="U45" s="782">
        <f t="shared" si="1"/>
        <v>0</v>
      </c>
      <c r="V45" s="782">
        <f t="shared" si="2"/>
        <v>0</v>
      </c>
      <c r="W45" s="778"/>
      <c r="X45" s="814"/>
      <c r="Y45" s="692" t="s">
        <v>3936</v>
      </c>
      <c r="Z45" s="875"/>
      <c r="AA45" s="781" t="e">
        <f t="shared" si="0"/>
        <v>#DIV/0!</v>
      </c>
    </row>
    <row r="46" spans="1:27" s="784" customFormat="1" ht="16.5" customHeight="1" x14ac:dyDescent="0.25">
      <c r="A46" s="744">
        <v>38</v>
      </c>
      <c r="B46" s="745"/>
      <c r="C46" s="746">
        <v>2026</v>
      </c>
      <c r="D46" s="685" t="s">
        <v>3890</v>
      </c>
      <c r="E46" s="689" t="s">
        <v>3891</v>
      </c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82">
        <f t="shared" si="3"/>
        <v>0</v>
      </c>
      <c r="R46" s="707"/>
      <c r="S46" s="707"/>
      <c r="T46" s="707"/>
      <c r="U46" s="782">
        <f t="shared" si="1"/>
        <v>0</v>
      </c>
      <c r="V46" s="782">
        <f t="shared" si="2"/>
        <v>0</v>
      </c>
      <c r="W46" s="778"/>
      <c r="X46" s="814"/>
      <c r="Y46" s="692" t="s">
        <v>3937</v>
      </c>
      <c r="Z46" s="875"/>
      <c r="AA46" s="781" t="e">
        <f t="shared" si="0"/>
        <v>#DIV/0!</v>
      </c>
    </row>
    <row r="47" spans="1:27" s="784" customFormat="1" ht="16.5" customHeight="1" x14ac:dyDescent="0.25">
      <c r="A47" s="744">
        <v>39</v>
      </c>
      <c r="B47" s="745"/>
      <c r="C47" s="746">
        <v>2026</v>
      </c>
      <c r="D47" s="685" t="s">
        <v>3892</v>
      </c>
      <c r="E47" s="689" t="s">
        <v>2762</v>
      </c>
      <c r="F47" s="707"/>
      <c r="G47" s="707"/>
      <c r="H47" s="707"/>
      <c r="I47" s="707"/>
      <c r="J47" s="707"/>
      <c r="K47" s="707"/>
      <c r="L47" s="707"/>
      <c r="M47" s="707"/>
      <c r="N47" s="707"/>
      <c r="O47" s="707"/>
      <c r="P47" s="707"/>
      <c r="Q47" s="782">
        <f t="shared" si="3"/>
        <v>0</v>
      </c>
      <c r="R47" s="707"/>
      <c r="S47" s="707"/>
      <c r="T47" s="707"/>
      <c r="U47" s="782">
        <f>SUM(R47:T47)/3</f>
        <v>0</v>
      </c>
      <c r="V47" s="782">
        <f>SUM(Q47+U47)/2</f>
        <v>0</v>
      </c>
      <c r="W47" s="778"/>
      <c r="X47" s="814"/>
      <c r="Y47" s="692" t="s">
        <v>3938</v>
      </c>
      <c r="Z47" s="875"/>
      <c r="AA47" s="781" t="e">
        <f t="shared" si="0"/>
        <v>#DIV/0!</v>
      </c>
    </row>
    <row r="48" spans="1:27" s="784" customFormat="1" ht="16.5" customHeight="1" x14ac:dyDescent="0.25">
      <c r="A48" s="744">
        <v>40</v>
      </c>
      <c r="B48" s="745"/>
      <c r="C48" s="746">
        <v>2026</v>
      </c>
      <c r="D48" s="685" t="s">
        <v>2674</v>
      </c>
      <c r="E48" s="689" t="s">
        <v>2959</v>
      </c>
      <c r="F48" s="707"/>
      <c r="G48" s="707"/>
      <c r="H48" s="707"/>
      <c r="I48" s="707"/>
      <c r="J48" s="707"/>
      <c r="K48" s="707"/>
      <c r="L48" s="707"/>
      <c r="M48" s="707"/>
      <c r="N48" s="707"/>
      <c r="O48" s="707"/>
      <c r="P48" s="707"/>
      <c r="Q48" s="782">
        <f t="shared" si="3"/>
        <v>0</v>
      </c>
      <c r="R48" s="707"/>
      <c r="S48" s="707"/>
      <c r="T48" s="707"/>
      <c r="U48" s="782"/>
      <c r="V48" s="782"/>
      <c r="W48" s="778"/>
      <c r="X48" s="814"/>
      <c r="Y48" s="692" t="s">
        <v>3939</v>
      </c>
      <c r="Z48" s="875"/>
      <c r="AA48" s="781" t="e">
        <f t="shared" si="0"/>
        <v>#DIV/0!</v>
      </c>
    </row>
    <row r="49" spans="1:27" s="784" customFormat="1" ht="16.5" customHeight="1" x14ac:dyDescent="0.25">
      <c r="A49" s="744">
        <v>41</v>
      </c>
      <c r="B49" s="745"/>
      <c r="C49" s="746">
        <v>2026</v>
      </c>
      <c r="D49" s="685" t="s">
        <v>3893</v>
      </c>
      <c r="E49" s="689" t="s">
        <v>3378</v>
      </c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82">
        <f t="shared" si="3"/>
        <v>0</v>
      </c>
      <c r="R49" s="707"/>
      <c r="S49" s="707"/>
      <c r="T49" s="707"/>
      <c r="U49" s="782"/>
      <c r="V49" s="782"/>
      <c r="W49" s="778"/>
      <c r="X49" s="814"/>
      <c r="Y49" s="692" t="s">
        <v>3940</v>
      </c>
      <c r="Z49" s="875"/>
      <c r="AA49" s="781" t="e">
        <f t="shared" si="0"/>
        <v>#DIV/0!</v>
      </c>
    </row>
    <row r="50" spans="1:27" s="784" customFormat="1" ht="16.5" customHeight="1" x14ac:dyDescent="0.25">
      <c r="A50" s="744">
        <v>42</v>
      </c>
      <c r="B50" s="745"/>
      <c r="C50" s="746">
        <v>2026</v>
      </c>
      <c r="D50" s="685" t="s">
        <v>3894</v>
      </c>
      <c r="E50" s="689" t="s">
        <v>3895</v>
      </c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82">
        <f t="shared" si="3"/>
        <v>0</v>
      </c>
      <c r="R50" s="707"/>
      <c r="S50" s="707"/>
      <c r="T50" s="707"/>
      <c r="U50" s="782">
        <f>SUM(R50:T50)/3</f>
        <v>0</v>
      </c>
      <c r="V50" s="782">
        <f>SUM(Q50+U50)/2</f>
        <v>0</v>
      </c>
      <c r="W50" s="778"/>
      <c r="X50" s="814"/>
      <c r="Y50" s="692" t="s">
        <v>3941</v>
      </c>
      <c r="Z50" s="875"/>
      <c r="AA50" s="781" t="e">
        <f t="shared" si="0"/>
        <v>#DIV/0!</v>
      </c>
    </row>
    <row r="51" spans="1:27" s="784" customFormat="1" ht="16.5" customHeight="1" x14ac:dyDescent="0.25">
      <c r="A51" s="744">
        <v>43</v>
      </c>
      <c r="B51" s="745"/>
      <c r="C51" s="746">
        <v>2026</v>
      </c>
      <c r="D51" s="685" t="s">
        <v>3896</v>
      </c>
      <c r="E51" s="689" t="s">
        <v>3897</v>
      </c>
      <c r="F51" s="707"/>
      <c r="G51" s="707"/>
      <c r="H51" s="707"/>
      <c r="I51" s="707"/>
      <c r="J51" s="707"/>
      <c r="K51" s="707"/>
      <c r="L51" s="707"/>
      <c r="M51" s="707"/>
      <c r="N51" s="707"/>
      <c r="O51" s="707"/>
      <c r="P51" s="707"/>
      <c r="Q51" s="782">
        <f t="shared" si="3"/>
        <v>0</v>
      </c>
      <c r="R51" s="707"/>
      <c r="S51" s="707"/>
      <c r="T51" s="707"/>
      <c r="U51" s="782"/>
      <c r="V51" s="782"/>
      <c r="W51" s="778"/>
      <c r="X51" s="814"/>
      <c r="Y51" s="692" t="s">
        <v>3942</v>
      </c>
      <c r="Z51" s="875"/>
      <c r="AA51" s="781" t="e">
        <f t="shared" si="0"/>
        <v>#DIV/0!</v>
      </c>
    </row>
    <row r="52" spans="1:27" s="784" customFormat="1" ht="16.5" customHeight="1" x14ac:dyDescent="0.25">
      <c r="A52" s="744">
        <v>44</v>
      </c>
      <c r="B52" s="745"/>
      <c r="C52" s="746">
        <v>2026</v>
      </c>
      <c r="D52" s="685" t="s">
        <v>3898</v>
      </c>
      <c r="E52" s="689" t="s">
        <v>3899</v>
      </c>
      <c r="F52" s="707"/>
      <c r="G52" s="707"/>
      <c r="H52" s="707"/>
      <c r="I52" s="707"/>
      <c r="J52" s="707"/>
      <c r="K52" s="707"/>
      <c r="L52" s="707"/>
      <c r="M52" s="707"/>
      <c r="N52" s="707"/>
      <c r="O52" s="707"/>
      <c r="P52" s="707"/>
      <c r="Q52" s="782">
        <f t="shared" si="3"/>
        <v>0</v>
      </c>
      <c r="R52" s="707"/>
      <c r="S52" s="707"/>
      <c r="T52" s="707"/>
      <c r="U52" s="782">
        <f>SUM(R52:T52)/3</f>
        <v>0</v>
      </c>
      <c r="V52" s="782">
        <f>SUM(Q52+U52)/2</f>
        <v>0</v>
      </c>
      <c r="W52" s="778"/>
      <c r="X52" s="814"/>
      <c r="Y52" s="692" t="s">
        <v>3943</v>
      </c>
      <c r="Z52" s="875"/>
      <c r="AA52" s="781" t="e">
        <f t="shared" si="0"/>
        <v>#DIV/0!</v>
      </c>
    </row>
    <row r="53" spans="1:27" s="784" customFormat="1" ht="16.5" customHeight="1" x14ac:dyDescent="0.25">
      <c r="A53" s="744">
        <v>45</v>
      </c>
      <c r="B53" s="745"/>
      <c r="C53" s="746">
        <v>2026</v>
      </c>
      <c r="D53" s="685" t="s">
        <v>3900</v>
      </c>
      <c r="E53" s="689" t="s">
        <v>2340</v>
      </c>
      <c r="F53" s="707"/>
      <c r="G53" s="707"/>
      <c r="H53" s="707"/>
      <c r="I53" s="707"/>
      <c r="J53" s="707"/>
      <c r="K53" s="707"/>
      <c r="L53" s="707"/>
      <c r="M53" s="707"/>
      <c r="N53" s="707"/>
      <c r="O53" s="707"/>
      <c r="P53" s="707"/>
      <c r="Q53" s="782">
        <f t="shared" si="3"/>
        <v>0</v>
      </c>
      <c r="R53" s="707"/>
      <c r="S53" s="707"/>
      <c r="T53" s="707"/>
      <c r="U53" s="782">
        <f>SUM(R53:T53)/3</f>
        <v>0</v>
      </c>
      <c r="V53" s="782">
        <f>SUM(Q53+U53)/2</f>
        <v>0</v>
      </c>
      <c r="W53" s="778"/>
      <c r="X53" s="814"/>
      <c r="Y53" s="692" t="s">
        <v>3944</v>
      </c>
      <c r="Z53" s="875"/>
      <c r="AA53" s="781" t="e">
        <f t="shared" si="0"/>
        <v>#DIV/0!</v>
      </c>
    </row>
    <row r="54" spans="1:27" s="796" customFormat="1" ht="15" customHeight="1" thickBot="1" x14ac:dyDescent="0.35">
      <c r="A54" s="790"/>
      <c r="B54" s="709"/>
      <c r="C54" s="709"/>
      <c r="D54" s="815"/>
      <c r="E54" s="709"/>
      <c r="F54" s="709"/>
      <c r="G54" s="709" t="s">
        <v>94</v>
      </c>
      <c r="H54" s="709"/>
      <c r="I54" s="709"/>
      <c r="J54" s="709"/>
      <c r="K54" s="709"/>
      <c r="L54" s="709"/>
      <c r="M54" s="709"/>
      <c r="N54" s="876"/>
      <c r="O54" s="709"/>
      <c r="P54" s="709"/>
      <c r="Q54" s="877"/>
      <c r="R54" s="709"/>
      <c r="S54" s="709"/>
      <c r="T54" s="709"/>
      <c r="U54" s="709"/>
      <c r="V54" s="709"/>
      <c r="W54" s="709"/>
      <c r="X54" s="850"/>
      <c r="Y54" s="878"/>
    </row>
    <row r="55" spans="1:27" s="796" customFormat="1" ht="19.5" thickTop="1" x14ac:dyDescent="0.3">
      <c r="A55" s="797"/>
      <c r="B55" s="797"/>
      <c r="C55" s="797"/>
      <c r="E55" s="797"/>
      <c r="F55" s="797"/>
      <c r="G55" s="797"/>
      <c r="H55" s="797"/>
      <c r="I55" s="797"/>
      <c r="J55" s="797"/>
      <c r="K55" s="797"/>
      <c r="L55" s="797"/>
      <c r="M55" s="797"/>
      <c r="N55" s="797"/>
      <c r="O55" s="797"/>
      <c r="P55" s="797"/>
      <c r="Q55" s="1071"/>
      <c r="R55" s="1071"/>
      <c r="S55" s="1071"/>
      <c r="T55" s="1071"/>
      <c r="U55" s="1071"/>
      <c r="V55" s="1071"/>
      <c r="W55" s="1071"/>
      <c r="X55" s="1071"/>
      <c r="Y55" s="1071"/>
    </row>
    <row r="56" spans="1:27" s="796" customFormat="1" x14ac:dyDescent="0.3">
      <c r="A56" s="797"/>
      <c r="B56" s="797"/>
      <c r="C56" s="797"/>
      <c r="E56" s="797"/>
      <c r="F56" s="797"/>
      <c r="G56" s="797"/>
      <c r="H56" s="797"/>
      <c r="I56" s="797"/>
      <c r="J56" s="797"/>
      <c r="K56" s="797"/>
      <c r="L56" s="797"/>
      <c r="M56" s="797"/>
      <c r="N56" s="797"/>
      <c r="O56" s="797"/>
      <c r="P56" s="797"/>
      <c r="Q56" s="1071"/>
      <c r="R56" s="1071"/>
      <c r="S56" s="1071"/>
      <c r="T56" s="797"/>
      <c r="U56" s="797"/>
      <c r="V56" s="797"/>
      <c r="W56" s="797"/>
      <c r="X56" s="989"/>
      <c r="Y56" s="797"/>
      <c r="AA56" s="796" t="s">
        <v>2263</v>
      </c>
    </row>
    <row r="57" spans="1:27" s="796" customFormat="1" x14ac:dyDescent="0.3">
      <c r="A57" s="797"/>
      <c r="B57" s="797"/>
      <c r="C57" s="797"/>
      <c r="E57" s="797"/>
      <c r="F57" s="797"/>
      <c r="G57" s="797"/>
      <c r="H57" s="797"/>
      <c r="I57" s="797"/>
      <c r="J57" s="797"/>
      <c r="K57" s="797"/>
      <c r="L57" s="797"/>
      <c r="M57" s="797"/>
      <c r="N57" s="797"/>
      <c r="O57" s="797"/>
      <c r="P57" s="797"/>
      <c r="Q57" s="800"/>
      <c r="R57" s="780"/>
      <c r="S57" s="780"/>
      <c r="T57" s="797"/>
      <c r="U57" s="797"/>
      <c r="V57" s="797"/>
      <c r="W57" s="797"/>
      <c r="X57" s="989"/>
      <c r="Y57" s="797"/>
    </row>
    <row r="58" spans="1:27" s="796" customFormat="1" x14ac:dyDescent="0.3">
      <c r="A58" s="797"/>
      <c r="B58" s="797"/>
      <c r="C58" s="797"/>
      <c r="E58" s="797"/>
      <c r="F58" s="797"/>
      <c r="G58" s="797"/>
      <c r="H58" s="797"/>
      <c r="I58" s="797"/>
      <c r="J58" s="797"/>
      <c r="K58" s="797"/>
      <c r="L58" s="797"/>
      <c r="M58" s="797"/>
      <c r="N58" s="797"/>
      <c r="O58" s="797"/>
      <c r="P58" s="797"/>
      <c r="Q58" s="800"/>
      <c r="R58" s="780"/>
      <c r="S58" s="780"/>
      <c r="T58" s="797"/>
      <c r="U58" s="797"/>
      <c r="V58" s="797"/>
      <c r="W58" s="797"/>
      <c r="X58" s="989"/>
      <c r="Y58" s="797"/>
    </row>
    <row r="59" spans="1:27" s="796" customFormat="1" x14ac:dyDescent="0.3">
      <c r="A59" s="797"/>
      <c r="B59" s="797"/>
      <c r="C59" s="797"/>
      <c r="E59" s="797"/>
      <c r="F59" s="797"/>
      <c r="G59" s="797"/>
      <c r="H59" s="797"/>
      <c r="I59" s="797"/>
      <c r="J59" s="797"/>
      <c r="K59" s="797"/>
      <c r="L59" s="797"/>
      <c r="M59" s="797"/>
      <c r="N59" s="797"/>
      <c r="O59" s="797"/>
      <c r="P59" s="797"/>
      <c r="Q59" s="1072"/>
      <c r="R59" s="1072"/>
      <c r="S59" s="1072"/>
      <c r="T59" s="797"/>
      <c r="U59" s="797"/>
      <c r="V59" s="797"/>
      <c r="W59" s="797"/>
      <c r="X59" s="989"/>
      <c r="Y59" s="797"/>
    </row>
    <row r="60" spans="1:27" s="796" customFormat="1" x14ac:dyDescent="0.3">
      <c r="A60" s="797"/>
      <c r="B60" s="797"/>
      <c r="C60" s="797"/>
      <c r="E60" s="797"/>
      <c r="F60" s="797"/>
      <c r="G60" s="797"/>
      <c r="H60" s="797"/>
      <c r="I60" s="797"/>
      <c r="J60" s="797"/>
      <c r="K60" s="797"/>
      <c r="L60" s="797"/>
      <c r="M60" s="797"/>
      <c r="N60" s="797"/>
      <c r="O60" s="797"/>
      <c r="P60" s="797"/>
      <c r="Q60" s="1071"/>
      <c r="R60" s="1071"/>
      <c r="S60" s="1071"/>
      <c r="T60" s="1071"/>
      <c r="U60" s="1071"/>
      <c r="V60" s="1071"/>
      <c r="W60" s="1071"/>
      <c r="X60" s="1071"/>
      <c r="Y60" s="1071"/>
    </row>
    <row r="61" spans="1:27" s="796" customFormat="1" x14ac:dyDescent="0.3">
      <c r="A61" s="797"/>
      <c r="B61" s="797"/>
      <c r="C61" s="797"/>
      <c r="E61" s="797"/>
      <c r="F61" s="797"/>
      <c r="G61" s="797"/>
      <c r="H61" s="797"/>
      <c r="I61" s="797"/>
      <c r="J61" s="797"/>
      <c r="K61" s="797"/>
      <c r="L61" s="797"/>
      <c r="M61" s="797"/>
      <c r="N61" s="797"/>
      <c r="O61" s="797"/>
      <c r="P61" s="797"/>
      <c r="Q61" s="803"/>
      <c r="R61" s="797"/>
      <c r="S61" s="797"/>
      <c r="T61" s="797"/>
      <c r="U61" s="797"/>
      <c r="V61" s="797"/>
      <c r="W61" s="797"/>
      <c r="X61" s="989"/>
      <c r="Y61" s="797"/>
    </row>
    <row r="62" spans="1:27" s="796" customFormat="1" x14ac:dyDescent="0.3">
      <c r="A62" s="797"/>
      <c r="B62" s="797"/>
      <c r="C62" s="797"/>
      <c r="E62" s="797"/>
      <c r="F62" s="797"/>
      <c r="G62" s="797"/>
      <c r="H62" s="797"/>
      <c r="I62" s="797"/>
      <c r="J62" s="797"/>
      <c r="K62" s="797"/>
      <c r="L62" s="797"/>
      <c r="M62" s="797"/>
      <c r="N62" s="797"/>
      <c r="O62" s="797"/>
      <c r="P62" s="797"/>
      <c r="Q62" s="803"/>
      <c r="R62" s="797"/>
      <c r="S62" s="797"/>
      <c r="T62" s="797"/>
      <c r="U62" s="797"/>
      <c r="V62" s="797"/>
      <c r="W62" s="797"/>
      <c r="X62" s="989"/>
      <c r="Y62" s="797"/>
    </row>
    <row r="63" spans="1:27" s="796" customFormat="1" x14ac:dyDescent="0.3">
      <c r="A63" s="797"/>
      <c r="B63" s="797"/>
      <c r="C63" s="797"/>
      <c r="E63" s="797"/>
      <c r="F63" s="797"/>
      <c r="G63" s="797"/>
      <c r="H63" s="797"/>
      <c r="I63" s="797"/>
      <c r="J63" s="797"/>
      <c r="K63" s="797"/>
      <c r="L63" s="797"/>
      <c r="M63" s="797"/>
      <c r="N63" s="797"/>
      <c r="O63" s="797"/>
      <c r="P63" s="797"/>
      <c r="Q63" s="803"/>
      <c r="R63" s="797"/>
      <c r="S63" s="797"/>
      <c r="T63" s="797"/>
      <c r="U63" s="797"/>
      <c r="V63" s="797"/>
      <c r="W63" s="797"/>
      <c r="X63" s="989"/>
      <c r="Y63" s="797"/>
    </row>
    <row r="64" spans="1:27" s="796" customFormat="1" x14ac:dyDescent="0.3">
      <c r="A64" s="797"/>
      <c r="B64" s="797"/>
      <c r="C64" s="797"/>
      <c r="E64" s="797"/>
      <c r="F64" s="797"/>
      <c r="G64" s="797"/>
      <c r="H64" s="797"/>
      <c r="I64" s="797"/>
      <c r="J64" s="797"/>
      <c r="K64" s="797"/>
      <c r="L64" s="797"/>
      <c r="M64" s="797"/>
      <c r="N64" s="797"/>
      <c r="O64" s="797"/>
      <c r="P64" s="797"/>
      <c r="Q64" s="803"/>
      <c r="R64" s="797"/>
      <c r="S64" s="797"/>
      <c r="T64" s="797"/>
      <c r="U64" s="797"/>
      <c r="V64" s="797"/>
      <c r="W64" s="797"/>
      <c r="X64" s="989"/>
      <c r="Y64" s="797"/>
    </row>
    <row r="65" spans="1:25" s="796" customFormat="1" x14ac:dyDescent="0.3">
      <c r="A65" s="797"/>
      <c r="B65" s="797"/>
      <c r="C65" s="797"/>
      <c r="E65" s="797"/>
      <c r="F65" s="797"/>
      <c r="G65" s="797"/>
      <c r="H65" s="797"/>
      <c r="I65" s="797"/>
      <c r="J65" s="797"/>
      <c r="K65" s="797"/>
      <c r="L65" s="797"/>
      <c r="M65" s="797"/>
      <c r="N65" s="797"/>
      <c r="O65" s="797"/>
      <c r="P65" s="797"/>
      <c r="Q65" s="803"/>
      <c r="R65" s="797"/>
      <c r="S65" s="797"/>
      <c r="T65" s="797"/>
      <c r="U65" s="797"/>
      <c r="V65" s="797"/>
      <c r="W65" s="797"/>
      <c r="X65" s="989"/>
      <c r="Y65" s="797"/>
    </row>
    <row r="66" spans="1:25" s="796" customFormat="1" x14ac:dyDescent="0.3">
      <c r="A66" s="797"/>
      <c r="B66" s="797"/>
      <c r="C66" s="797"/>
      <c r="E66" s="797"/>
      <c r="F66" s="797"/>
      <c r="G66" s="797"/>
      <c r="H66" s="797"/>
      <c r="I66" s="797"/>
      <c r="J66" s="797"/>
      <c r="K66" s="797"/>
      <c r="L66" s="797"/>
      <c r="M66" s="797"/>
      <c r="N66" s="797"/>
      <c r="O66" s="797"/>
      <c r="P66" s="797"/>
      <c r="Q66" s="803"/>
      <c r="R66" s="797"/>
      <c r="S66" s="797"/>
      <c r="T66" s="797"/>
      <c r="U66" s="797"/>
      <c r="V66" s="797"/>
      <c r="W66" s="797"/>
      <c r="X66" s="989"/>
      <c r="Y66" s="797"/>
    </row>
  </sheetData>
  <autoFilter ref="Q7:Z53">
    <filterColumn colId="1" showButton="0"/>
    <filterColumn colId="2" showButton="0"/>
    <filterColumn colId="3" showButton="0"/>
  </autoFilter>
  <mergeCells count="19">
    <mergeCell ref="Q60:Y60"/>
    <mergeCell ref="Q56:S56"/>
    <mergeCell ref="Q59:S59"/>
    <mergeCell ref="Q55:Y55"/>
    <mergeCell ref="A7:A8"/>
    <mergeCell ref="D7:D8"/>
    <mergeCell ref="B7:C8"/>
    <mergeCell ref="R7:U7"/>
    <mergeCell ref="E7:E8"/>
    <mergeCell ref="F7:P7"/>
    <mergeCell ref="Q7:Q8"/>
    <mergeCell ref="E2:Y2"/>
    <mergeCell ref="E3:Y3"/>
    <mergeCell ref="E4:Y4"/>
    <mergeCell ref="W7:W8"/>
    <mergeCell ref="X7:X8"/>
    <mergeCell ref="E5:AI5"/>
    <mergeCell ref="V7:V8"/>
    <mergeCell ref="Y7:Y8"/>
  </mergeCells>
  <phoneticPr fontId="0" type="noConversion"/>
  <printOptions horizontalCentered="1"/>
  <pageMargins left="0.64" right="0.16" top="0.27" bottom="0.28000000000000003" header="0.2" footer="0.2"/>
  <pageSetup scale="98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00FF00"/>
  </sheetPr>
  <dimension ref="A1:AH120"/>
  <sheetViews>
    <sheetView zoomScale="120" zoomScaleNormal="120" workbookViewId="0">
      <selection activeCell="Y9" sqref="Y9:Y32"/>
    </sheetView>
  </sheetViews>
  <sheetFormatPr defaultRowHeight="18.75" x14ac:dyDescent="0.3"/>
  <cols>
    <col min="1" max="1" width="4" style="1" customWidth="1"/>
    <col min="2" max="2" width="4.59765625" style="1" customWidth="1"/>
    <col min="3" max="3" width="4.19921875" style="1" customWidth="1"/>
    <col min="4" max="4" width="15.59765625" customWidth="1"/>
    <col min="5" max="5" width="7.3984375" style="1" customWidth="1"/>
    <col min="6" max="12" width="2.796875" style="1" customWidth="1"/>
    <col min="13" max="13" width="2.796875" style="369" customWidth="1"/>
    <col min="14" max="16" width="2.796875" style="1" customWidth="1"/>
    <col min="17" max="17" width="5" style="25" customWidth="1"/>
    <col min="18" max="20" width="2.19921875" style="20" hidden="1" customWidth="1"/>
    <col min="21" max="22" width="3.3984375" style="23" hidden="1" customWidth="1"/>
    <col min="23" max="23" width="5.3984375" style="23" customWidth="1"/>
    <col min="24" max="24" width="4.3984375" style="14" hidden="1" customWidth="1"/>
    <col min="25" max="25" width="24.69921875" style="23" customWidth="1"/>
    <col min="26" max="26" width="2.09765625" customWidth="1"/>
    <col min="27" max="27" width="5.796875" customWidth="1"/>
  </cols>
  <sheetData>
    <row r="1" spans="1:34" s="806" customFormat="1" ht="7.5" customHeight="1" x14ac:dyDescent="0.3">
      <c r="A1" s="807"/>
      <c r="B1" s="807"/>
      <c r="C1" s="807"/>
      <c r="E1" s="807"/>
      <c r="F1" s="807"/>
      <c r="G1" s="807"/>
      <c r="H1" s="807"/>
      <c r="I1" s="807"/>
      <c r="J1" s="807"/>
      <c r="K1" s="807"/>
      <c r="L1" s="807"/>
      <c r="M1" s="797"/>
      <c r="N1" s="807"/>
      <c r="O1" s="807"/>
      <c r="P1" s="807"/>
      <c r="Q1" s="827"/>
      <c r="R1" s="801"/>
      <c r="S1" s="801"/>
      <c r="T1" s="801"/>
      <c r="U1" s="801"/>
      <c r="V1" s="801"/>
      <c r="W1" s="801"/>
      <c r="X1" s="805"/>
      <c r="Y1" s="801"/>
    </row>
    <row r="2" spans="1:34" s="761" customFormat="1" ht="15.75" x14ac:dyDescent="0.25">
      <c r="B2" s="763"/>
      <c r="C2" s="763"/>
      <c r="D2" s="763"/>
      <c r="E2" s="1046" t="s">
        <v>2237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  <c r="X2" s="1046"/>
      <c r="Y2" s="1046"/>
    </row>
    <row r="3" spans="1:34" s="761" customFormat="1" ht="15.75" x14ac:dyDescent="0.25">
      <c r="B3" s="763"/>
      <c r="C3" s="763"/>
      <c r="D3" s="763"/>
      <c r="E3" s="1046" t="s">
        <v>2315</v>
      </c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1046"/>
      <c r="W3" s="1046"/>
      <c r="X3" s="1046"/>
      <c r="Y3" s="1046"/>
    </row>
    <row r="4" spans="1:34" s="761" customFormat="1" ht="15.75" hidden="1" x14ac:dyDescent="0.25">
      <c r="B4" s="762"/>
      <c r="C4" s="762"/>
      <c r="D4" s="762"/>
      <c r="E4" s="1047" t="s">
        <v>34</v>
      </c>
      <c r="F4" s="1047"/>
      <c r="G4" s="1047"/>
      <c r="H4" s="1047"/>
      <c r="I4" s="1047"/>
      <c r="J4" s="1047"/>
      <c r="K4" s="1047"/>
      <c r="L4" s="1047"/>
      <c r="M4" s="1047"/>
      <c r="N4" s="1047"/>
      <c r="O4" s="1047"/>
      <c r="P4" s="1047"/>
      <c r="Q4" s="1047"/>
      <c r="R4" s="1047"/>
      <c r="S4" s="1047"/>
      <c r="T4" s="1047"/>
      <c r="U4" s="1047"/>
      <c r="V4" s="1047"/>
      <c r="W4" s="1047"/>
      <c r="X4" s="1047"/>
      <c r="Y4" s="1047"/>
    </row>
    <row r="5" spans="1:34" s="761" customFormat="1" ht="15.75" customHeight="1" x14ac:dyDescent="0.25">
      <c r="B5" s="763"/>
      <c r="C5" s="763"/>
      <c r="D5" s="763"/>
      <c r="E5" s="1052" t="s">
        <v>2316</v>
      </c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1052"/>
      <c r="V5" s="1052"/>
      <c r="W5" s="1052"/>
      <c r="X5" s="1052"/>
      <c r="Y5" s="1052"/>
      <c r="Z5" s="1052"/>
      <c r="AA5" s="1052"/>
      <c r="AB5" s="1052"/>
      <c r="AC5" s="1052"/>
      <c r="AD5" s="1052"/>
      <c r="AE5" s="1052"/>
      <c r="AF5" s="1052"/>
      <c r="AG5" s="1052"/>
      <c r="AH5" s="1052"/>
    </row>
    <row r="6" spans="1:34" s="806" customFormat="1" ht="0.75" customHeight="1" thickBot="1" x14ac:dyDescent="0.4">
      <c r="A6" s="809"/>
      <c r="B6" s="809"/>
      <c r="C6" s="809"/>
      <c r="D6" s="809"/>
      <c r="E6" s="809"/>
      <c r="F6" s="809"/>
      <c r="G6" s="809"/>
      <c r="H6" s="809"/>
      <c r="I6" s="809"/>
      <c r="J6" s="809"/>
      <c r="K6" s="809"/>
      <c r="L6" s="809"/>
      <c r="M6" s="879"/>
      <c r="N6" s="809"/>
      <c r="O6" s="809"/>
      <c r="P6" s="809"/>
      <c r="Q6" s="828"/>
      <c r="R6" s="828"/>
      <c r="S6" s="828"/>
      <c r="T6" s="828"/>
      <c r="U6" s="828"/>
      <c r="V6" s="828"/>
      <c r="W6" s="828"/>
      <c r="X6" s="828"/>
      <c r="Y6" s="828"/>
      <c r="Z6" s="812">
        <v>11</v>
      </c>
    </row>
    <row r="7" spans="1:34" s="780" customFormat="1" ht="23.25" customHeight="1" thickTop="1" x14ac:dyDescent="0.25">
      <c r="A7" s="1056" t="s">
        <v>91</v>
      </c>
      <c r="B7" s="1060" t="s">
        <v>2118</v>
      </c>
      <c r="C7" s="1061"/>
      <c r="D7" s="1058" t="s">
        <v>2119</v>
      </c>
      <c r="E7" s="1058" t="s">
        <v>2120</v>
      </c>
      <c r="F7" s="1053" t="s">
        <v>2195</v>
      </c>
      <c r="G7" s="1054"/>
      <c r="H7" s="1054"/>
      <c r="I7" s="1054"/>
      <c r="J7" s="1054"/>
      <c r="K7" s="1054"/>
      <c r="L7" s="1054"/>
      <c r="M7" s="1054"/>
      <c r="N7" s="1054"/>
      <c r="O7" s="1054"/>
      <c r="P7" s="1055"/>
      <c r="Q7" s="1069" t="s">
        <v>2107</v>
      </c>
      <c r="R7" s="1053" t="s">
        <v>104</v>
      </c>
      <c r="S7" s="1054"/>
      <c r="T7" s="1054"/>
      <c r="U7" s="1055"/>
      <c r="V7" s="1048" t="s">
        <v>99</v>
      </c>
      <c r="W7" s="1048" t="s">
        <v>2108</v>
      </c>
      <c r="X7" s="1048" t="s">
        <v>103</v>
      </c>
      <c r="Y7" s="1067" t="s">
        <v>2121</v>
      </c>
    </row>
    <row r="8" spans="1:34" s="780" customFormat="1" ht="158.25" customHeight="1" x14ac:dyDescent="0.25">
      <c r="A8" s="1057"/>
      <c r="B8" s="1062"/>
      <c r="C8" s="1063"/>
      <c r="D8" s="1059"/>
      <c r="E8" s="1059"/>
      <c r="F8" s="714" t="s">
        <v>2109</v>
      </c>
      <c r="G8" s="714" t="s">
        <v>2128</v>
      </c>
      <c r="H8" s="714" t="s">
        <v>2190</v>
      </c>
      <c r="I8" s="714" t="s">
        <v>2097</v>
      </c>
      <c r="J8" s="714" t="s">
        <v>2196</v>
      </c>
      <c r="K8" s="739" t="s">
        <v>2197</v>
      </c>
      <c r="L8" s="739" t="s">
        <v>2198</v>
      </c>
      <c r="M8" s="740" t="s">
        <v>2095</v>
      </c>
      <c r="N8" s="714" t="s">
        <v>2113</v>
      </c>
      <c r="O8" s="740" t="s">
        <v>2156</v>
      </c>
      <c r="P8" s="729" t="s">
        <v>2165</v>
      </c>
      <c r="Q8" s="1070"/>
      <c r="R8" s="718" t="s">
        <v>108</v>
      </c>
      <c r="S8" s="718" t="s">
        <v>97</v>
      </c>
      <c r="T8" s="718" t="s">
        <v>96</v>
      </c>
      <c r="U8" s="719" t="s">
        <v>98</v>
      </c>
      <c r="V8" s="1049"/>
      <c r="W8" s="1049"/>
      <c r="X8" s="1049"/>
      <c r="Y8" s="1068"/>
      <c r="Z8" s="880" t="s">
        <v>94</v>
      </c>
    </row>
    <row r="9" spans="1:34" s="784" customFormat="1" ht="15.75" customHeight="1" x14ac:dyDescent="0.25">
      <c r="A9" s="741">
        <v>1</v>
      </c>
      <c r="B9" s="752"/>
      <c r="C9" s="743">
        <v>2026</v>
      </c>
      <c r="D9" s="690" t="s">
        <v>4000</v>
      </c>
      <c r="E9" s="687" t="s">
        <v>2563</v>
      </c>
      <c r="F9" s="705"/>
      <c r="G9" s="705"/>
      <c r="H9" s="705"/>
      <c r="I9" s="705"/>
      <c r="J9" s="705"/>
      <c r="K9" s="705"/>
      <c r="L9" s="705"/>
      <c r="M9" s="705"/>
      <c r="N9" s="705"/>
      <c r="O9" s="705"/>
      <c r="P9" s="705"/>
      <c r="Q9" s="776">
        <f>SUM(F9:P9)/11</f>
        <v>0</v>
      </c>
      <c r="R9" s="705"/>
      <c r="S9" s="705"/>
      <c r="T9" s="705"/>
      <c r="U9" s="776">
        <f>SUM(R9:T9)/3</f>
        <v>0</v>
      </c>
      <c r="V9" s="776">
        <f>SUM(Q9+U9)/2</f>
        <v>0</v>
      </c>
      <c r="W9" s="819"/>
      <c r="X9" s="813"/>
      <c r="Y9" s="694" t="s">
        <v>4037</v>
      </c>
      <c r="Z9" s="881"/>
      <c r="AA9" s="781" t="e">
        <f>AVERAGE(F9:P9)</f>
        <v>#DIV/0!</v>
      </c>
    </row>
    <row r="10" spans="1:34" s="784" customFormat="1" ht="15.75" customHeight="1" x14ac:dyDescent="0.25">
      <c r="A10" s="744">
        <v>2</v>
      </c>
      <c r="B10" s="745"/>
      <c r="C10" s="746">
        <v>2026</v>
      </c>
      <c r="D10" s="685" t="s">
        <v>4001</v>
      </c>
      <c r="E10" s="689" t="s">
        <v>4002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82">
        <f t="shared" ref="Q10:Q32" si="0">SUM(F10:P10)/11</f>
        <v>0</v>
      </c>
      <c r="R10" s="707"/>
      <c r="S10" s="707"/>
      <c r="T10" s="707"/>
      <c r="U10" s="782">
        <f t="shared" ref="U10:U18" si="1">SUM(R10:T10)/3</f>
        <v>0</v>
      </c>
      <c r="V10" s="782">
        <f t="shared" ref="V10:V18" si="2">SUM(Q10+U10)/2</f>
        <v>0</v>
      </c>
      <c r="W10" s="778"/>
      <c r="X10" s="814"/>
      <c r="Y10" s="695" t="s">
        <v>3998</v>
      </c>
      <c r="Z10" s="881"/>
      <c r="AA10" s="781" t="e">
        <f t="shared" ref="AA10:AA32" si="3">AVERAGE(F10:P10)</f>
        <v>#DIV/0!</v>
      </c>
    </row>
    <row r="11" spans="1:34" s="784" customFormat="1" ht="15.75" customHeight="1" x14ac:dyDescent="0.25">
      <c r="A11" s="744">
        <v>3</v>
      </c>
      <c r="B11" s="745"/>
      <c r="C11" s="746">
        <v>2026</v>
      </c>
      <c r="D11" s="685" t="s">
        <v>4003</v>
      </c>
      <c r="E11" s="689" t="s">
        <v>4004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82">
        <f t="shared" si="0"/>
        <v>0</v>
      </c>
      <c r="R11" s="707"/>
      <c r="S11" s="707"/>
      <c r="T11" s="707"/>
      <c r="U11" s="782">
        <f t="shared" si="1"/>
        <v>0</v>
      </c>
      <c r="V11" s="782">
        <f t="shared" si="2"/>
        <v>0</v>
      </c>
      <c r="W11" s="778"/>
      <c r="X11" s="814"/>
      <c r="Y11" s="695" t="s">
        <v>4038</v>
      </c>
      <c r="Z11" s="881"/>
      <c r="AA11" s="781" t="e">
        <f t="shared" si="3"/>
        <v>#DIV/0!</v>
      </c>
    </row>
    <row r="12" spans="1:34" s="784" customFormat="1" ht="15.75" customHeight="1" x14ac:dyDescent="0.25">
      <c r="A12" s="744">
        <v>4</v>
      </c>
      <c r="B12" s="745"/>
      <c r="C12" s="746">
        <v>2026</v>
      </c>
      <c r="D12" s="685" t="s">
        <v>4005</v>
      </c>
      <c r="E12" s="689" t="s">
        <v>4006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82">
        <f t="shared" si="0"/>
        <v>0</v>
      </c>
      <c r="R12" s="707"/>
      <c r="S12" s="707"/>
      <c r="T12" s="707"/>
      <c r="U12" s="782">
        <f t="shared" si="1"/>
        <v>0</v>
      </c>
      <c r="V12" s="782">
        <f t="shared" si="2"/>
        <v>0</v>
      </c>
      <c r="W12" s="778"/>
      <c r="X12" s="814"/>
      <c r="Y12" s="695" t="s">
        <v>3196</v>
      </c>
      <c r="Z12" s="881"/>
      <c r="AA12" s="781" t="e">
        <f t="shared" si="3"/>
        <v>#DIV/0!</v>
      </c>
    </row>
    <row r="13" spans="1:34" s="784" customFormat="1" ht="15.75" customHeight="1" x14ac:dyDescent="0.25">
      <c r="A13" s="744">
        <v>5</v>
      </c>
      <c r="B13" s="745"/>
      <c r="C13" s="746">
        <v>2026</v>
      </c>
      <c r="D13" s="685" t="s">
        <v>4007</v>
      </c>
      <c r="E13" s="689" t="s">
        <v>3665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82">
        <f t="shared" si="0"/>
        <v>0</v>
      </c>
      <c r="R13" s="707"/>
      <c r="S13" s="707"/>
      <c r="T13" s="707"/>
      <c r="U13" s="782">
        <f t="shared" si="1"/>
        <v>0</v>
      </c>
      <c r="V13" s="782">
        <f t="shared" si="2"/>
        <v>0</v>
      </c>
      <c r="W13" s="778"/>
      <c r="X13" s="814"/>
      <c r="Y13" s="695" t="s">
        <v>3464</v>
      </c>
      <c r="Z13" s="881"/>
      <c r="AA13" s="781" t="e">
        <f t="shared" si="3"/>
        <v>#DIV/0!</v>
      </c>
    </row>
    <row r="14" spans="1:34" s="784" customFormat="1" ht="15.75" customHeight="1" x14ac:dyDescent="0.25">
      <c r="A14" s="744">
        <v>6</v>
      </c>
      <c r="B14" s="745"/>
      <c r="C14" s="746">
        <v>2026</v>
      </c>
      <c r="D14" s="685" t="s">
        <v>4008</v>
      </c>
      <c r="E14" s="689" t="s">
        <v>3607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82">
        <f t="shared" si="0"/>
        <v>0</v>
      </c>
      <c r="R14" s="707"/>
      <c r="S14" s="707"/>
      <c r="T14" s="707"/>
      <c r="U14" s="782">
        <f t="shared" si="1"/>
        <v>0</v>
      </c>
      <c r="V14" s="782">
        <f t="shared" si="2"/>
        <v>0</v>
      </c>
      <c r="W14" s="778"/>
      <c r="X14" s="814"/>
      <c r="Y14" s="695" t="s">
        <v>3464</v>
      </c>
      <c r="Z14" s="881"/>
      <c r="AA14" s="781" t="e">
        <f t="shared" si="3"/>
        <v>#DIV/0!</v>
      </c>
    </row>
    <row r="15" spans="1:34" s="784" customFormat="1" ht="15.75" customHeight="1" x14ac:dyDescent="0.25">
      <c r="A15" s="744">
        <v>7</v>
      </c>
      <c r="B15" s="745"/>
      <c r="C15" s="746">
        <v>2026</v>
      </c>
      <c r="D15" s="685" t="s">
        <v>4009</v>
      </c>
      <c r="E15" s="689" t="s">
        <v>4010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82">
        <f t="shared" si="0"/>
        <v>0</v>
      </c>
      <c r="R15" s="707"/>
      <c r="S15" s="707"/>
      <c r="T15" s="707"/>
      <c r="U15" s="782">
        <f t="shared" si="1"/>
        <v>0</v>
      </c>
      <c r="V15" s="782">
        <f t="shared" si="2"/>
        <v>0</v>
      </c>
      <c r="W15" s="778"/>
      <c r="X15" s="814"/>
      <c r="Y15" s="695" t="s">
        <v>2506</v>
      </c>
      <c r="Z15" s="881"/>
      <c r="AA15" s="781" t="e">
        <f t="shared" si="3"/>
        <v>#DIV/0!</v>
      </c>
    </row>
    <row r="16" spans="1:34" s="784" customFormat="1" ht="15.75" customHeight="1" x14ac:dyDescent="0.25">
      <c r="A16" s="744">
        <v>8</v>
      </c>
      <c r="B16" s="745"/>
      <c r="C16" s="746">
        <v>2026</v>
      </c>
      <c r="D16" s="685" t="s">
        <v>4011</v>
      </c>
      <c r="E16" s="689" t="s">
        <v>2951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82">
        <f t="shared" si="0"/>
        <v>0</v>
      </c>
      <c r="R16" s="707"/>
      <c r="S16" s="707"/>
      <c r="T16" s="707"/>
      <c r="U16" s="782">
        <f t="shared" si="1"/>
        <v>0</v>
      </c>
      <c r="V16" s="782">
        <f t="shared" si="2"/>
        <v>0</v>
      </c>
      <c r="W16" s="778"/>
      <c r="X16" s="814"/>
      <c r="Y16" s="695" t="s">
        <v>3236</v>
      </c>
      <c r="Z16" s="881"/>
      <c r="AA16" s="781" t="e">
        <f t="shared" si="3"/>
        <v>#DIV/0!</v>
      </c>
    </row>
    <row r="17" spans="1:27" s="784" customFormat="1" ht="15.75" customHeight="1" x14ac:dyDescent="0.25">
      <c r="A17" s="744">
        <v>9</v>
      </c>
      <c r="B17" s="745"/>
      <c r="C17" s="746">
        <v>2026</v>
      </c>
      <c r="D17" s="685" t="s">
        <v>4012</v>
      </c>
      <c r="E17" s="689" t="s">
        <v>4013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82">
        <f t="shared" si="0"/>
        <v>0</v>
      </c>
      <c r="R17" s="707"/>
      <c r="S17" s="707"/>
      <c r="T17" s="707"/>
      <c r="U17" s="782">
        <f t="shared" si="1"/>
        <v>0</v>
      </c>
      <c r="V17" s="782">
        <f t="shared" si="2"/>
        <v>0</v>
      </c>
      <c r="W17" s="778"/>
      <c r="X17" s="814"/>
      <c r="Y17" s="695" t="s">
        <v>4039</v>
      </c>
      <c r="Z17" s="881"/>
      <c r="AA17" s="781" t="e">
        <f t="shared" si="3"/>
        <v>#DIV/0!</v>
      </c>
    </row>
    <row r="18" spans="1:27" s="784" customFormat="1" ht="15.75" customHeight="1" x14ac:dyDescent="0.25">
      <c r="A18" s="744">
        <v>10</v>
      </c>
      <c r="B18" s="745"/>
      <c r="C18" s="746">
        <v>2026</v>
      </c>
      <c r="D18" s="685" t="s">
        <v>4014</v>
      </c>
      <c r="E18" s="689" t="s">
        <v>4015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82">
        <f t="shared" si="0"/>
        <v>0</v>
      </c>
      <c r="R18" s="707"/>
      <c r="S18" s="707"/>
      <c r="T18" s="707"/>
      <c r="U18" s="782">
        <f t="shared" si="1"/>
        <v>0</v>
      </c>
      <c r="V18" s="782">
        <f t="shared" si="2"/>
        <v>0</v>
      </c>
      <c r="W18" s="778"/>
      <c r="X18" s="814"/>
      <c r="Y18" s="695" t="s">
        <v>3217</v>
      </c>
      <c r="Z18" s="881"/>
      <c r="AA18" s="781" t="e">
        <f t="shared" si="3"/>
        <v>#DIV/0!</v>
      </c>
    </row>
    <row r="19" spans="1:27" s="784" customFormat="1" ht="15.75" customHeight="1" x14ac:dyDescent="0.25">
      <c r="A19" s="744">
        <v>11</v>
      </c>
      <c r="B19" s="745"/>
      <c r="C19" s="746">
        <v>2026</v>
      </c>
      <c r="D19" s="685" t="s">
        <v>4016</v>
      </c>
      <c r="E19" s="689" t="s">
        <v>4017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82">
        <f t="shared" si="0"/>
        <v>0</v>
      </c>
      <c r="R19" s="707"/>
      <c r="S19" s="707"/>
      <c r="T19" s="707"/>
      <c r="U19" s="782"/>
      <c r="V19" s="782"/>
      <c r="W19" s="778"/>
      <c r="X19" s="814"/>
      <c r="Y19" s="695" t="s">
        <v>2730</v>
      </c>
      <c r="Z19" s="881"/>
      <c r="AA19" s="781" t="e">
        <f t="shared" si="3"/>
        <v>#DIV/0!</v>
      </c>
    </row>
    <row r="20" spans="1:27" s="784" customFormat="1" ht="15.75" customHeight="1" x14ac:dyDescent="0.25">
      <c r="A20" s="744">
        <v>12</v>
      </c>
      <c r="B20" s="745"/>
      <c r="C20" s="746">
        <v>2026</v>
      </c>
      <c r="D20" s="685" t="s">
        <v>4018</v>
      </c>
      <c r="E20" s="689" t="s">
        <v>2433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82">
        <f t="shared" si="0"/>
        <v>0</v>
      </c>
      <c r="R20" s="707"/>
      <c r="S20" s="707"/>
      <c r="T20" s="707"/>
      <c r="U20" s="782"/>
      <c r="V20" s="782"/>
      <c r="W20" s="778"/>
      <c r="X20" s="814"/>
      <c r="Y20" s="695" t="s">
        <v>2506</v>
      </c>
      <c r="Z20" s="881"/>
      <c r="AA20" s="781" t="e">
        <f t="shared" si="3"/>
        <v>#DIV/0!</v>
      </c>
    </row>
    <row r="21" spans="1:27" s="784" customFormat="1" ht="15.75" customHeight="1" x14ac:dyDescent="0.25">
      <c r="A21" s="744">
        <v>13</v>
      </c>
      <c r="B21" s="745"/>
      <c r="C21" s="746">
        <v>2026</v>
      </c>
      <c r="D21" s="685" t="s">
        <v>4019</v>
      </c>
      <c r="E21" s="689" t="s">
        <v>4020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82">
        <f t="shared" si="0"/>
        <v>0</v>
      </c>
      <c r="R21" s="707"/>
      <c r="S21" s="707"/>
      <c r="T21" s="707"/>
      <c r="U21" s="782">
        <f>SUM(R21:T21)/3</f>
        <v>0</v>
      </c>
      <c r="V21" s="782">
        <f>SUM(Q21+U21)/2</f>
        <v>0</v>
      </c>
      <c r="W21" s="778"/>
      <c r="X21" s="814"/>
      <c r="Y21" s="695" t="s">
        <v>3016</v>
      </c>
      <c r="Z21" s="881"/>
      <c r="AA21" s="781" t="e">
        <f t="shared" si="3"/>
        <v>#DIV/0!</v>
      </c>
    </row>
    <row r="22" spans="1:27" s="784" customFormat="1" ht="15.75" customHeight="1" x14ac:dyDescent="0.25">
      <c r="A22" s="744">
        <v>14</v>
      </c>
      <c r="B22" s="745"/>
      <c r="C22" s="746">
        <v>2026</v>
      </c>
      <c r="D22" s="685" t="s">
        <v>4021</v>
      </c>
      <c r="E22" s="689" t="s">
        <v>4022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82">
        <f t="shared" si="0"/>
        <v>0</v>
      </c>
      <c r="R22" s="707"/>
      <c r="S22" s="707"/>
      <c r="T22" s="707"/>
      <c r="U22" s="782">
        <f>SUM(R22:T22)/3</f>
        <v>0</v>
      </c>
      <c r="V22" s="782">
        <f>SUM(Q22+U22)/2</f>
        <v>0</v>
      </c>
      <c r="W22" s="778"/>
      <c r="X22" s="814"/>
      <c r="Y22" s="695" t="s">
        <v>3016</v>
      </c>
      <c r="Z22" s="881"/>
      <c r="AA22" s="781" t="e">
        <f t="shared" si="3"/>
        <v>#DIV/0!</v>
      </c>
    </row>
    <row r="23" spans="1:27" s="784" customFormat="1" ht="15.75" customHeight="1" x14ac:dyDescent="0.25">
      <c r="A23" s="744">
        <v>15</v>
      </c>
      <c r="B23" s="745"/>
      <c r="C23" s="746">
        <v>2026</v>
      </c>
      <c r="D23" s="685" t="s">
        <v>4023</v>
      </c>
      <c r="E23" s="689" t="s">
        <v>3413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82">
        <f t="shared" si="0"/>
        <v>0</v>
      </c>
      <c r="R23" s="707"/>
      <c r="S23" s="707"/>
      <c r="T23" s="707"/>
      <c r="U23" s="782">
        <f>SUM(R23:T23)/3</f>
        <v>0</v>
      </c>
      <c r="V23" s="782">
        <f>SUM(Q23+U23)/2</f>
        <v>0</v>
      </c>
      <c r="W23" s="778"/>
      <c r="X23" s="814"/>
      <c r="Y23" s="695" t="s">
        <v>2506</v>
      </c>
      <c r="Z23" s="881"/>
      <c r="AA23" s="781" t="e">
        <f t="shared" si="3"/>
        <v>#DIV/0!</v>
      </c>
    </row>
    <row r="24" spans="1:27" s="784" customFormat="1" ht="15.75" customHeight="1" x14ac:dyDescent="0.25">
      <c r="A24" s="744">
        <v>16</v>
      </c>
      <c r="B24" s="745"/>
      <c r="C24" s="746">
        <v>2026</v>
      </c>
      <c r="D24" s="685" t="s">
        <v>4024</v>
      </c>
      <c r="E24" s="689" t="s">
        <v>4025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82">
        <f t="shared" si="0"/>
        <v>0</v>
      </c>
      <c r="R24" s="707"/>
      <c r="S24" s="707"/>
      <c r="T24" s="707"/>
      <c r="U24" s="782">
        <f>SUM(R24:T24)/3</f>
        <v>0</v>
      </c>
      <c r="V24" s="782">
        <f>SUM(Q24+U24)/2</f>
        <v>0</v>
      </c>
      <c r="W24" s="778"/>
      <c r="X24" s="814"/>
      <c r="Y24" s="695" t="s">
        <v>4040</v>
      </c>
      <c r="Z24" s="881"/>
      <c r="AA24" s="781" t="e">
        <f t="shared" si="3"/>
        <v>#DIV/0!</v>
      </c>
    </row>
    <row r="25" spans="1:27" s="784" customFormat="1" ht="15.75" customHeight="1" x14ac:dyDescent="0.25">
      <c r="A25" s="744">
        <v>17</v>
      </c>
      <c r="B25" s="745"/>
      <c r="C25" s="746">
        <v>2026</v>
      </c>
      <c r="D25" s="685" t="s">
        <v>4026</v>
      </c>
      <c r="E25" s="689" t="s">
        <v>2876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82">
        <f t="shared" si="0"/>
        <v>0</v>
      </c>
      <c r="R25" s="707"/>
      <c r="S25" s="707"/>
      <c r="T25" s="707"/>
      <c r="U25" s="782"/>
      <c r="V25" s="782"/>
      <c r="W25" s="778"/>
      <c r="X25" s="814"/>
      <c r="Y25" s="695" t="s">
        <v>3215</v>
      </c>
      <c r="Z25" s="881"/>
      <c r="AA25" s="781" t="e">
        <f t="shared" si="3"/>
        <v>#DIV/0!</v>
      </c>
    </row>
    <row r="26" spans="1:27" s="784" customFormat="1" ht="15.75" customHeight="1" x14ac:dyDescent="0.25">
      <c r="A26" s="744">
        <v>18</v>
      </c>
      <c r="B26" s="745"/>
      <c r="C26" s="746">
        <v>2026</v>
      </c>
      <c r="D26" s="685" t="s">
        <v>4027</v>
      </c>
      <c r="E26" s="689" t="s">
        <v>4028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82">
        <f t="shared" si="0"/>
        <v>0</v>
      </c>
      <c r="R26" s="707"/>
      <c r="S26" s="707"/>
      <c r="T26" s="707"/>
      <c r="U26" s="782"/>
      <c r="V26" s="782"/>
      <c r="W26" s="778"/>
      <c r="X26" s="814"/>
      <c r="Y26" s="695" t="s">
        <v>2506</v>
      </c>
      <c r="Z26" s="881"/>
      <c r="AA26" s="781" t="e">
        <f t="shared" si="3"/>
        <v>#DIV/0!</v>
      </c>
    </row>
    <row r="27" spans="1:27" s="784" customFormat="1" ht="15.75" customHeight="1" x14ac:dyDescent="0.25">
      <c r="A27" s="744">
        <v>19</v>
      </c>
      <c r="B27" s="745"/>
      <c r="C27" s="746">
        <v>2026</v>
      </c>
      <c r="D27" s="685" t="s">
        <v>4029</v>
      </c>
      <c r="E27" s="689" t="s">
        <v>3731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82">
        <f t="shared" si="0"/>
        <v>0</v>
      </c>
      <c r="R27" s="707"/>
      <c r="S27" s="707"/>
      <c r="T27" s="707"/>
      <c r="U27" s="782"/>
      <c r="V27" s="782"/>
      <c r="W27" s="778"/>
      <c r="X27" s="814"/>
      <c r="Y27" s="695" t="s">
        <v>4040</v>
      </c>
      <c r="Z27" s="881"/>
      <c r="AA27" s="781" t="e">
        <f t="shared" si="3"/>
        <v>#DIV/0!</v>
      </c>
    </row>
    <row r="28" spans="1:27" s="784" customFormat="1" ht="15.75" customHeight="1" x14ac:dyDescent="0.25">
      <c r="A28" s="744">
        <v>20</v>
      </c>
      <c r="B28" s="745"/>
      <c r="C28" s="746">
        <v>2026</v>
      </c>
      <c r="D28" s="685" t="s">
        <v>4030</v>
      </c>
      <c r="E28" s="689" t="s">
        <v>3280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82">
        <f t="shared" si="0"/>
        <v>0</v>
      </c>
      <c r="R28" s="707"/>
      <c r="S28" s="707"/>
      <c r="T28" s="707"/>
      <c r="U28" s="782"/>
      <c r="V28" s="782"/>
      <c r="W28" s="778"/>
      <c r="X28" s="814"/>
      <c r="Y28" s="695" t="s">
        <v>2506</v>
      </c>
      <c r="Z28" s="881"/>
      <c r="AA28" s="781" t="e">
        <f t="shared" si="3"/>
        <v>#DIV/0!</v>
      </c>
    </row>
    <row r="29" spans="1:27" s="784" customFormat="1" ht="15.75" customHeight="1" x14ac:dyDescent="0.25">
      <c r="A29" s="744">
        <v>21</v>
      </c>
      <c r="B29" s="745"/>
      <c r="C29" s="746">
        <v>2026</v>
      </c>
      <c r="D29" s="685" t="s">
        <v>4031</v>
      </c>
      <c r="E29" s="689" t="s">
        <v>4032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82">
        <f t="shared" si="0"/>
        <v>0</v>
      </c>
      <c r="R29" s="707"/>
      <c r="S29" s="707"/>
      <c r="T29" s="707"/>
      <c r="U29" s="782"/>
      <c r="V29" s="782"/>
      <c r="W29" s="778"/>
      <c r="X29" s="814"/>
      <c r="Y29" s="695" t="s">
        <v>2724</v>
      </c>
      <c r="Z29" s="881"/>
      <c r="AA29" s="781" t="e">
        <f t="shared" si="3"/>
        <v>#DIV/0!</v>
      </c>
    </row>
    <row r="30" spans="1:27" s="784" customFormat="1" ht="15.75" customHeight="1" x14ac:dyDescent="0.25">
      <c r="A30" s="744">
        <v>22</v>
      </c>
      <c r="B30" s="745"/>
      <c r="C30" s="746">
        <v>2026</v>
      </c>
      <c r="D30" s="685" t="s">
        <v>4033</v>
      </c>
      <c r="E30" s="689" t="s">
        <v>4020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82">
        <f t="shared" si="0"/>
        <v>0</v>
      </c>
      <c r="R30" s="707"/>
      <c r="S30" s="707"/>
      <c r="T30" s="707"/>
      <c r="U30" s="782"/>
      <c r="V30" s="782"/>
      <c r="W30" s="778"/>
      <c r="X30" s="814"/>
      <c r="Y30" s="695" t="s">
        <v>2988</v>
      </c>
      <c r="Z30" s="881"/>
      <c r="AA30" s="781" t="e">
        <f t="shared" si="3"/>
        <v>#DIV/0!</v>
      </c>
    </row>
    <row r="31" spans="1:27" s="784" customFormat="1" ht="15.75" customHeight="1" x14ac:dyDescent="0.25">
      <c r="A31" s="744">
        <v>23</v>
      </c>
      <c r="B31" s="745"/>
      <c r="C31" s="746">
        <v>2026</v>
      </c>
      <c r="D31" s="685" t="s">
        <v>4034</v>
      </c>
      <c r="E31" s="689" t="s">
        <v>2787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82">
        <f t="shared" si="0"/>
        <v>0</v>
      </c>
      <c r="R31" s="707"/>
      <c r="S31" s="707"/>
      <c r="T31" s="707"/>
      <c r="U31" s="782"/>
      <c r="V31" s="782"/>
      <c r="W31" s="778"/>
      <c r="X31" s="814"/>
      <c r="Y31" s="695" t="s">
        <v>4041</v>
      </c>
      <c r="Z31" s="881"/>
      <c r="AA31" s="781" t="e">
        <f t="shared" si="3"/>
        <v>#DIV/0!</v>
      </c>
    </row>
    <row r="32" spans="1:27" s="784" customFormat="1" ht="15.75" customHeight="1" x14ac:dyDescent="0.25">
      <c r="A32" s="744">
        <v>24</v>
      </c>
      <c r="B32" s="745"/>
      <c r="C32" s="746">
        <v>2026</v>
      </c>
      <c r="D32" s="685" t="s">
        <v>4035</v>
      </c>
      <c r="E32" s="689" t="s">
        <v>4036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82">
        <f t="shared" si="0"/>
        <v>0</v>
      </c>
      <c r="R32" s="707"/>
      <c r="S32" s="707"/>
      <c r="T32" s="707"/>
      <c r="U32" s="782">
        <f>SUM(R32:T32)/3</f>
        <v>0</v>
      </c>
      <c r="V32" s="782">
        <f>SUM(Q32+U32)/2</f>
        <v>0</v>
      </c>
      <c r="W32" s="778"/>
      <c r="X32" s="814"/>
      <c r="Y32" s="695" t="s">
        <v>4042</v>
      </c>
      <c r="Z32" s="881"/>
      <c r="AA32" s="781" t="e">
        <f t="shared" si="3"/>
        <v>#DIV/0!</v>
      </c>
    </row>
    <row r="33" spans="1:27" s="796" customFormat="1" ht="15" customHeight="1" thickBot="1" x14ac:dyDescent="0.35">
      <c r="A33" s="790"/>
      <c r="B33" s="709"/>
      <c r="C33" s="709"/>
      <c r="D33" s="815"/>
      <c r="E33" s="709"/>
      <c r="F33" s="709"/>
      <c r="G33" s="709"/>
      <c r="H33" s="709"/>
      <c r="I33" s="709"/>
      <c r="J33" s="709"/>
      <c r="K33" s="709"/>
      <c r="L33" s="709"/>
      <c r="M33" s="709"/>
      <c r="N33" s="709"/>
      <c r="O33" s="709"/>
      <c r="P33" s="709"/>
      <c r="Q33" s="877"/>
      <c r="R33" s="709"/>
      <c r="S33" s="709"/>
      <c r="T33" s="709"/>
      <c r="U33" s="709"/>
      <c r="V33" s="709"/>
      <c r="W33" s="709"/>
      <c r="X33" s="850"/>
      <c r="Y33" s="878"/>
      <c r="Z33" s="882"/>
      <c r="AA33" s="781"/>
    </row>
    <row r="34" spans="1:27" s="796" customFormat="1" ht="19.5" thickTop="1" x14ac:dyDescent="0.3">
      <c r="A34" s="797"/>
      <c r="B34" s="797"/>
      <c r="C34" s="797"/>
      <c r="E34" s="797"/>
      <c r="F34" s="797"/>
      <c r="G34" s="797"/>
      <c r="H34" s="797"/>
      <c r="I34" s="797"/>
      <c r="J34" s="797"/>
      <c r="K34" s="797"/>
      <c r="L34" s="797"/>
      <c r="M34" s="797"/>
      <c r="N34" s="797"/>
      <c r="O34" s="797"/>
      <c r="P34" s="797"/>
      <c r="Q34" s="803"/>
      <c r="R34" s="797"/>
      <c r="S34" s="797"/>
      <c r="T34" s="797"/>
      <c r="U34" s="797"/>
      <c r="V34" s="797"/>
      <c r="W34" s="797"/>
      <c r="X34" s="989"/>
      <c r="Y34" s="797"/>
      <c r="AA34" s="781" t="s">
        <v>2265</v>
      </c>
    </row>
    <row r="35" spans="1:27" s="796" customFormat="1" x14ac:dyDescent="0.3">
      <c r="A35" s="797"/>
      <c r="B35" s="797"/>
      <c r="C35" s="797"/>
      <c r="E35" s="797"/>
      <c r="F35" s="797"/>
      <c r="G35" s="797"/>
      <c r="H35" s="797"/>
      <c r="I35" s="797"/>
      <c r="J35" s="797"/>
      <c r="K35" s="797"/>
      <c r="L35" s="797"/>
      <c r="M35" s="797"/>
      <c r="N35" s="797"/>
      <c r="O35" s="797"/>
      <c r="P35" s="797"/>
      <c r="Q35" s="1071"/>
      <c r="R35" s="1071"/>
      <c r="S35" s="1071"/>
      <c r="T35" s="1071"/>
      <c r="U35" s="1071"/>
      <c r="V35" s="1071"/>
      <c r="W35" s="1071"/>
      <c r="X35" s="1071"/>
      <c r="Y35" s="1071"/>
    </row>
    <row r="36" spans="1:27" s="796" customFormat="1" x14ac:dyDescent="0.3">
      <c r="A36" s="797"/>
      <c r="B36" s="797"/>
      <c r="C36" s="797"/>
      <c r="E36" s="797"/>
      <c r="F36" s="797"/>
      <c r="G36" s="797"/>
      <c r="H36" s="797"/>
      <c r="I36" s="797"/>
      <c r="J36" s="797"/>
      <c r="K36" s="797"/>
      <c r="L36" s="797"/>
      <c r="M36" s="797"/>
      <c r="N36" s="797"/>
      <c r="O36" s="797"/>
      <c r="P36" s="797"/>
      <c r="Q36" s="1071"/>
      <c r="R36" s="1071"/>
      <c r="S36" s="1071"/>
      <c r="T36" s="797"/>
      <c r="U36" s="797"/>
      <c r="V36" s="797"/>
      <c r="W36" s="797"/>
      <c r="X36" s="989"/>
      <c r="Y36" s="797"/>
    </row>
    <row r="37" spans="1:27" s="796" customFormat="1" x14ac:dyDescent="0.3">
      <c r="A37" s="797"/>
      <c r="B37" s="797"/>
      <c r="C37" s="797"/>
      <c r="E37" s="797"/>
      <c r="F37" s="797"/>
      <c r="G37" s="797"/>
      <c r="H37" s="797"/>
      <c r="I37" s="797"/>
      <c r="J37" s="797"/>
      <c r="K37" s="797"/>
      <c r="L37" s="797"/>
      <c r="M37" s="797"/>
      <c r="N37" s="797"/>
      <c r="O37" s="797"/>
      <c r="P37" s="797"/>
      <c r="Q37" s="800"/>
      <c r="R37" s="780"/>
      <c r="S37" s="780"/>
      <c r="T37" s="797"/>
      <c r="U37" s="797"/>
      <c r="V37" s="797"/>
      <c r="W37" s="797"/>
      <c r="X37" s="989"/>
      <c r="Y37" s="797"/>
    </row>
    <row r="38" spans="1:27" s="796" customFormat="1" x14ac:dyDescent="0.3">
      <c r="A38" s="797"/>
      <c r="B38" s="797"/>
      <c r="C38" s="797"/>
      <c r="E38" s="797"/>
      <c r="F38" s="797"/>
      <c r="G38" s="797"/>
      <c r="H38" s="797"/>
      <c r="I38" s="797"/>
      <c r="J38" s="797"/>
      <c r="K38" s="797"/>
      <c r="L38" s="797"/>
      <c r="M38" s="797"/>
      <c r="N38" s="797"/>
      <c r="O38" s="797"/>
      <c r="P38" s="797"/>
      <c r="Q38" s="800"/>
      <c r="R38" s="780"/>
      <c r="S38" s="780"/>
      <c r="T38" s="797"/>
      <c r="U38" s="797"/>
      <c r="V38" s="797"/>
      <c r="W38" s="797"/>
      <c r="X38" s="989"/>
      <c r="Y38" s="797"/>
    </row>
    <row r="39" spans="1:27" s="796" customFormat="1" x14ac:dyDescent="0.3">
      <c r="A39" s="797"/>
      <c r="B39" s="797"/>
      <c r="C39" s="797"/>
      <c r="E39" s="797"/>
      <c r="F39" s="797"/>
      <c r="G39" s="797"/>
      <c r="H39" s="797"/>
      <c r="I39" s="797"/>
      <c r="J39" s="797"/>
      <c r="K39" s="797"/>
      <c r="L39" s="797"/>
      <c r="M39" s="797"/>
      <c r="N39" s="797"/>
      <c r="O39" s="797"/>
      <c r="P39" s="797"/>
      <c r="Q39" s="1072"/>
      <c r="R39" s="1072"/>
      <c r="S39" s="1072"/>
      <c r="T39" s="797"/>
      <c r="U39" s="797"/>
      <c r="V39" s="797"/>
      <c r="W39" s="797"/>
      <c r="X39" s="989"/>
      <c r="Y39" s="797"/>
    </row>
    <row r="40" spans="1:27" s="796" customFormat="1" x14ac:dyDescent="0.3">
      <c r="A40" s="797"/>
      <c r="B40" s="797"/>
      <c r="C40" s="797"/>
      <c r="E40" s="797"/>
      <c r="F40" s="797"/>
      <c r="G40" s="797"/>
      <c r="H40" s="797"/>
      <c r="I40" s="797"/>
      <c r="J40" s="797"/>
      <c r="K40" s="797"/>
      <c r="L40" s="797"/>
      <c r="M40" s="797"/>
      <c r="N40" s="797"/>
      <c r="O40" s="797"/>
      <c r="P40" s="797"/>
      <c r="Q40" s="1071"/>
      <c r="R40" s="1071"/>
      <c r="S40" s="1071"/>
      <c r="T40" s="1071"/>
      <c r="U40" s="1071"/>
      <c r="V40" s="1071"/>
      <c r="W40" s="1071"/>
      <c r="X40" s="1071"/>
      <c r="Y40" s="1071"/>
    </row>
    <row r="41" spans="1:27" s="796" customFormat="1" x14ac:dyDescent="0.3">
      <c r="A41" s="797"/>
      <c r="B41" s="797"/>
      <c r="C41" s="797"/>
      <c r="E41" s="797"/>
      <c r="F41" s="797"/>
      <c r="G41" s="797"/>
      <c r="H41" s="797"/>
      <c r="I41" s="797"/>
      <c r="J41" s="797"/>
      <c r="K41" s="797"/>
      <c r="L41" s="797"/>
      <c r="M41" s="797"/>
      <c r="N41" s="797"/>
      <c r="O41" s="797"/>
      <c r="P41" s="797"/>
      <c r="Q41" s="803"/>
      <c r="R41" s="797"/>
      <c r="S41" s="797"/>
      <c r="T41" s="797"/>
      <c r="U41" s="797"/>
      <c r="V41" s="797"/>
      <c r="W41" s="797"/>
      <c r="X41" s="989"/>
      <c r="Y41" s="797"/>
    </row>
    <row r="42" spans="1:27" s="796" customFormat="1" x14ac:dyDescent="0.3">
      <c r="A42" s="797"/>
      <c r="B42" s="797"/>
      <c r="C42" s="797"/>
      <c r="E42" s="797"/>
      <c r="F42" s="797"/>
      <c r="G42" s="797"/>
      <c r="H42" s="797"/>
      <c r="I42" s="797"/>
      <c r="J42" s="797"/>
      <c r="K42" s="797"/>
      <c r="L42" s="797"/>
      <c r="M42" s="797"/>
      <c r="N42" s="797"/>
      <c r="O42" s="797"/>
      <c r="P42" s="797"/>
      <c r="Q42" s="803"/>
      <c r="R42" s="797"/>
      <c r="S42" s="797"/>
      <c r="T42" s="797"/>
      <c r="U42" s="797"/>
      <c r="V42" s="797"/>
      <c r="W42" s="797"/>
      <c r="X42" s="989"/>
      <c r="Y42" s="797"/>
    </row>
    <row r="43" spans="1:27" s="796" customFormat="1" x14ac:dyDescent="0.3">
      <c r="A43" s="797"/>
      <c r="B43" s="797"/>
      <c r="C43" s="797"/>
      <c r="E43" s="797"/>
      <c r="F43" s="797"/>
      <c r="G43" s="797"/>
      <c r="H43" s="797"/>
      <c r="I43" s="797"/>
      <c r="J43" s="797"/>
      <c r="K43" s="797"/>
      <c r="L43" s="797"/>
      <c r="M43" s="797"/>
      <c r="N43" s="797"/>
      <c r="O43" s="797"/>
      <c r="P43" s="797"/>
      <c r="Q43" s="803"/>
      <c r="R43" s="797"/>
      <c r="S43" s="797"/>
      <c r="T43" s="797"/>
      <c r="U43" s="797"/>
      <c r="V43" s="797"/>
      <c r="W43" s="797"/>
      <c r="X43" s="989"/>
      <c r="Y43" s="797"/>
    </row>
    <row r="44" spans="1:27" s="796" customFormat="1" x14ac:dyDescent="0.3">
      <c r="A44" s="797"/>
      <c r="B44" s="797"/>
      <c r="C44" s="797"/>
      <c r="E44" s="797"/>
      <c r="F44" s="797"/>
      <c r="G44" s="797"/>
      <c r="H44" s="797"/>
      <c r="I44" s="797"/>
      <c r="J44" s="797"/>
      <c r="K44" s="797"/>
      <c r="L44" s="797"/>
      <c r="M44" s="797"/>
      <c r="N44" s="797"/>
      <c r="O44" s="797"/>
      <c r="P44" s="797"/>
      <c r="Q44" s="803"/>
      <c r="R44" s="797"/>
      <c r="S44" s="797"/>
      <c r="T44" s="797"/>
      <c r="U44" s="797"/>
      <c r="V44" s="797"/>
      <c r="W44" s="797"/>
      <c r="X44" s="989"/>
      <c r="Y44" s="797"/>
    </row>
    <row r="45" spans="1:27" s="796" customFormat="1" x14ac:dyDescent="0.3">
      <c r="A45" s="797"/>
      <c r="B45" s="797"/>
      <c r="C45" s="797"/>
      <c r="E45" s="797"/>
      <c r="F45" s="797"/>
      <c r="G45" s="797"/>
      <c r="H45" s="797"/>
      <c r="I45" s="797"/>
      <c r="J45" s="797"/>
      <c r="K45" s="797"/>
      <c r="L45" s="797"/>
      <c r="M45" s="797"/>
      <c r="N45" s="797"/>
      <c r="O45" s="797"/>
      <c r="P45" s="797"/>
      <c r="Q45" s="803"/>
      <c r="R45" s="797"/>
      <c r="S45" s="797"/>
      <c r="T45" s="797"/>
      <c r="U45" s="797"/>
      <c r="V45" s="797"/>
      <c r="W45" s="797"/>
      <c r="X45" s="989"/>
      <c r="Y45" s="797"/>
    </row>
    <row r="46" spans="1:27" s="796" customFormat="1" x14ac:dyDescent="0.3">
      <c r="A46" s="797"/>
      <c r="B46" s="797"/>
      <c r="C46" s="797"/>
      <c r="E46" s="797"/>
      <c r="F46" s="797"/>
      <c r="G46" s="797"/>
      <c r="H46" s="797"/>
      <c r="I46" s="797"/>
      <c r="J46" s="797"/>
      <c r="K46" s="797"/>
      <c r="L46" s="797"/>
      <c r="M46" s="797"/>
      <c r="N46" s="797"/>
      <c r="O46" s="797"/>
      <c r="P46" s="797"/>
      <c r="Q46" s="803"/>
      <c r="R46" s="797"/>
      <c r="S46" s="797"/>
      <c r="T46" s="797"/>
      <c r="U46" s="797"/>
      <c r="V46" s="797"/>
      <c r="W46" s="797"/>
      <c r="X46" s="989"/>
      <c r="Y46" s="797"/>
    </row>
    <row r="47" spans="1:27" s="796" customFormat="1" x14ac:dyDescent="0.3">
      <c r="A47" s="797"/>
      <c r="B47" s="797"/>
      <c r="C47" s="797"/>
      <c r="E47" s="797"/>
      <c r="F47" s="797"/>
      <c r="G47" s="797"/>
      <c r="H47" s="797"/>
      <c r="I47" s="797"/>
      <c r="J47" s="797"/>
      <c r="K47" s="797"/>
      <c r="L47" s="797"/>
      <c r="M47" s="797"/>
      <c r="N47" s="797"/>
      <c r="O47" s="797"/>
      <c r="P47" s="797"/>
      <c r="Q47" s="803"/>
      <c r="R47" s="797"/>
      <c r="S47" s="797"/>
      <c r="T47" s="797"/>
      <c r="U47" s="797"/>
      <c r="V47" s="797"/>
      <c r="W47" s="797"/>
      <c r="X47" s="989"/>
      <c r="Y47" s="797"/>
    </row>
    <row r="48" spans="1:27" s="796" customFormat="1" x14ac:dyDescent="0.3">
      <c r="A48" s="797"/>
      <c r="B48" s="797"/>
      <c r="C48" s="797"/>
      <c r="E48" s="797"/>
      <c r="F48" s="797"/>
      <c r="G48" s="797"/>
      <c r="H48" s="797"/>
      <c r="I48" s="797"/>
      <c r="J48" s="797"/>
      <c r="K48" s="797"/>
      <c r="L48" s="797"/>
      <c r="M48" s="797"/>
      <c r="N48" s="797"/>
      <c r="O48" s="797"/>
      <c r="P48" s="797"/>
      <c r="Q48" s="803"/>
      <c r="R48" s="797"/>
      <c r="S48" s="797"/>
      <c r="T48" s="797"/>
      <c r="U48" s="797"/>
      <c r="V48" s="797"/>
      <c r="W48" s="797"/>
      <c r="X48" s="989"/>
      <c r="Y48" s="797"/>
    </row>
    <row r="49" spans="1:25" s="796" customFormat="1" x14ac:dyDescent="0.3">
      <c r="A49" s="797"/>
      <c r="B49" s="797"/>
      <c r="C49" s="797"/>
      <c r="E49" s="797"/>
      <c r="F49" s="797"/>
      <c r="G49" s="797"/>
      <c r="H49" s="797"/>
      <c r="I49" s="797"/>
      <c r="J49" s="797"/>
      <c r="K49" s="797"/>
      <c r="L49" s="797"/>
      <c r="M49" s="797"/>
      <c r="N49" s="797"/>
      <c r="O49" s="797"/>
      <c r="P49" s="797"/>
      <c r="Q49" s="803"/>
      <c r="R49" s="797"/>
      <c r="S49" s="797"/>
      <c r="T49" s="797"/>
      <c r="U49" s="797"/>
      <c r="V49" s="797"/>
      <c r="W49" s="797"/>
      <c r="X49" s="989"/>
      <c r="Y49" s="797"/>
    </row>
    <row r="50" spans="1:25" s="796" customFormat="1" x14ac:dyDescent="0.3">
      <c r="A50" s="797"/>
      <c r="B50" s="797"/>
      <c r="C50" s="797"/>
      <c r="E50" s="797"/>
      <c r="F50" s="797"/>
      <c r="G50" s="797"/>
      <c r="H50" s="797"/>
      <c r="I50" s="797"/>
      <c r="J50" s="797"/>
      <c r="K50" s="797"/>
      <c r="L50" s="797"/>
      <c r="M50" s="797"/>
      <c r="N50" s="797"/>
      <c r="O50" s="797"/>
      <c r="P50" s="797"/>
      <c r="Q50" s="803"/>
      <c r="R50" s="797"/>
      <c r="S50" s="797"/>
      <c r="T50" s="797"/>
      <c r="U50" s="797"/>
      <c r="V50" s="797"/>
      <c r="W50" s="797"/>
      <c r="X50" s="989"/>
      <c r="Y50" s="797"/>
    </row>
    <row r="51" spans="1:25" s="796" customFormat="1" x14ac:dyDescent="0.3">
      <c r="A51" s="797"/>
      <c r="B51" s="797"/>
      <c r="C51" s="797"/>
      <c r="E51" s="797"/>
      <c r="F51" s="797"/>
      <c r="G51" s="797"/>
      <c r="H51" s="797"/>
      <c r="I51" s="797"/>
      <c r="J51" s="797"/>
      <c r="K51" s="797"/>
      <c r="L51" s="797"/>
      <c r="M51" s="797"/>
      <c r="N51" s="797"/>
      <c r="O51" s="797"/>
      <c r="P51" s="797"/>
      <c r="Q51" s="803"/>
      <c r="R51" s="797"/>
      <c r="S51" s="797"/>
      <c r="T51" s="797"/>
      <c r="U51" s="797"/>
      <c r="V51" s="797"/>
      <c r="W51" s="797"/>
      <c r="X51" s="989"/>
      <c r="Y51" s="797"/>
    </row>
    <row r="52" spans="1:25" s="796" customFormat="1" x14ac:dyDescent="0.3">
      <c r="A52" s="797"/>
      <c r="B52" s="797"/>
      <c r="C52" s="797"/>
      <c r="E52" s="797"/>
      <c r="F52" s="797"/>
      <c r="G52" s="797"/>
      <c r="H52" s="797"/>
      <c r="I52" s="797"/>
      <c r="J52" s="797"/>
      <c r="K52" s="797"/>
      <c r="L52" s="797"/>
      <c r="M52" s="797"/>
      <c r="N52" s="797"/>
      <c r="O52" s="797"/>
      <c r="P52" s="797"/>
      <c r="Q52" s="803"/>
      <c r="R52" s="797"/>
      <c r="S52" s="797"/>
      <c r="T52" s="797"/>
      <c r="U52" s="797"/>
      <c r="V52" s="797"/>
      <c r="W52" s="797"/>
      <c r="X52" s="989"/>
      <c r="Y52" s="797"/>
    </row>
    <row r="53" spans="1:25" s="796" customFormat="1" x14ac:dyDescent="0.3">
      <c r="A53" s="797"/>
      <c r="B53" s="797"/>
      <c r="C53" s="797"/>
      <c r="E53" s="797"/>
      <c r="F53" s="797"/>
      <c r="G53" s="797"/>
      <c r="H53" s="797"/>
      <c r="I53" s="797"/>
      <c r="J53" s="797"/>
      <c r="K53" s="797"/>
      <c r="L53" s="797"/>
      <c r="M53" s="797"/>
      <c r="N53" s="797"/>
      <c r="O53" s="797"/>
      <c r="P53" s="797"/>
      <c r="Q53" s="803"/>
      <c r="R53" s="797"/>
      <c r="S53" s="797"/>
      <c r="T53" s="797"/>
      <c r="U53" s="797"/>
      <c r="V53" s="797"/>
      <c r="W53" s="797"/>
      <c r="X53" s="989"/>
      <c r="Y53" s="797"/>
    </row>
    <row r="54" spans="1:25" s="806" customFormat="1" x14ac:dyDescent="0.3">
      <c r="A54" s="807"/>
      <c r="B54" s="807"/>
      <c r="C54" s="807"/>
      <c r="E54" s="807"/>
      <c r="F54" s="807"/>
      <c r="G54" s="807"/>
      <c r="H54" s="807"/>
      <c r="I54" s="807"/>
      <c r="J54" s="807"/>
      <c r="K54" s="807"/>
      <c r="L54" s="807"/>
      <c r="M54" s="797"/>
      <c r="N54" s="807"/>
      <c r="O54" s="807"/>
      <c r="P54" s="807"/>
      <c r="Q54" s="827"/>
      <c r="R54" s="801"/>
      <c r="S54" s="801"/>
      <c r="T54" s="801"/>
      <c r="U54" s="801"/>
      <c r="V54" s="801"/>
      <c r="W54" s="801"/>
      <c r="X54" s="805"/>
      <c r="Y54" s="801"/>
    </row>
    <row r="55" spans="1:25" s="806" customFormat="1" x14ac:dyDescent="0.3">
      <c r="A55" s="807"/>
      <c r="B55" s="807"/>
      <c r="C55" s="807"/>
      <c r="E55" s="807"/>
      <c r="F55" s="807"/>
      <c r="G55" s="807"/>
      <c r="H55" s="807"/>
      <c r="I55" s="807"/>
      <c r="J55" s="807"/>
      <c r="K55" s="807"/>
      <c r="L55" s="807"/>
      <c r="M55" s="797"/>
      <c r="N55" s="807"/>
      <c r="O55" s="807"/>
      <c r="P55" s="807"/>
      <c r="Q55" s="827"/>
      <c r="R55" s="801"/>
      <c r="S55" s="801"/>
      <c r="T55" s="801"/>
      <c r="U55" s="801"/>
      <c r="V55" s="801"/>
      <c r="W55" s="801"/>
      <c r="X55" s="805"/>
      <c r="Y55" s="801"/>
    </row>
    <row r="56" spans="1:25" s="806" customFormat="1" x14ac:dyDescent="0.3">
      <c r="A56" s="807"/>
      <c r="B56" s="807"/>
      <c r="C56" s="807"/>
      <c r="E56" s="807"/>
      <c r="F56" s="807"/>
      <c r="G56" s="807"/>
      <c r="H56" s="807"/>
      <c r="I56" s="807"/>
      <c r="J56" s="807"/>
      <c r="K56" s="807"/>
      <c r="L56" s="807"/>
      <c r="M56" s="797"/>
      <c r="N56" s="807"/>
      <c r="O56" s="807"/>
      <c r="P56" s="807"/>
      <c r="Q56" s="827"/>
      <c r="R56" s="801"/>
      <c r="S56" s="801"/>
      <c r="T56" s="801"/>
      <c r="U56" s="801"/>
      <c r="V56" s="801"/>
      <c r="W56" s="801"/>
      <c r="X56" s="805"/>
      <c r="Y56" s="801"/>
    </row>
    <row r="57" spans="1:25" s="806" customFormat="1" x14ac:dyDescent="0.3">
      <c r="A57" s="807"/>
      <c r="B57" s="807"/>
      <c r="C57" s="807"/>
      <c r="E57" s="807"/>
      <c r="F57" s="807"/>
      <c r="G57" s="807"/>
      <c r="H57" s="807"/>
      <c r="I57" s="807"/>
      <c r="J57" s="807"/>
      <c r="K57" s="807"/>
      <c r="L57" s="807"/>
      <c r="M57" s="797"/>
      <c r="N57" s="807"/>
      <c r="O57" s="807"/>
      <c r="P57" s="807"/>
      <c r="Q57" s="827"/>
      <c r="R57" s="801"/>
      <c r="S57" s="801"/>
      <c r="T57" s="801"/>
      <c r="U57" s="801"/>
      <c r="V57" s="801"/>
      <c r="W57" s="801"/>
      <c r="X57" s="805"/>
      <c r="Y57" s="801"/>
    </row>
    <row r="58" spans="1:25" s="806" customFormat="1" x14ac:dyDescent="0.3">
      <c r="A58" s="807"/>
      <c r="B58" s="807"/>
      <c r="C58" s="807"/>
      <c r="E58" s="807"/>
      <c r="F58" s="807"/>
      <c r="G58" s="807"/>
      <c r="H58" s="807"/>
      <c r="I58" s="807"/>
      <c r="J58" s="807"/>
      <c r="K58" s="807"/>
      <c r="L58" s="807"/>
      <c r="M58" s="797"/>
      <c r="N58" s="807"/>
      <c r="O58" s="807"/>
      <c r="P58" s="807"/>
      <c r="Q58" s="827"/>
      <c r="R58" s="801"/>
      <c r="S58" s="801"/>
      <c r="T58" s="801"/>
      <c r="U58" s="801"/>
      <c r="V58" s="801"/>
      <c r="W58" s="801"/>
      <c r="X58" s="805"/>
      <c r="Y58" s="801"/>
    </row>
    <row r="59" spans="1:25" s="806" customFormat="1" x14ac:dyDescent="0.3">
      <c r="A59" s="807"/>
      <c r="B59" s="807"/>
      <c r="C59" s="807"/>
      <c r="E59" s="807"/>
      <c r="F59" s="807"/>
      <c r="G59" s="807"/>
      <c r="H59" s="807"/>
      <c r="I59" s="807"/>
      <c r="J59" s="807"/>
      <c r="K59" s="807"/>
      <c r="L59" s="807"/>
      <c r="M59" s="797"/>
      <c r="N59" s="807"/>
      <c r="O59" s="807"/>
      <c r="P59" s="807"/>
      <c r="Q59" s="827"/>
      <c r="R59" s="801"/>
      <c r="S59" s="801"/>
      <c r="T59" s="801"/>
      <c r="U59" s="801"/>
      <c r="V59" s="801"/>
      <c r="W59" s="801"/>
      <c r="X59" s="805"/>
      <c r="Y59" s="801"/>
    </row>
    <row r="60" spans="1:25" s="806" customFormat="1" x14ac:dyDescent="0.3">
      <c r="A60" s="807"/>
      <c r="B60" s="807"/>
      <c r="C60" s="807"/>
      <c r="E60" s="807"/>
      <c r="F60" s="807"/>
      <c r="G60" s="807"/>
      <c r="H60" s="807"/>
      <c r="I60" s="807"/>
      <c r="J60" s="807"/>
      <c r="K60" s="807"/>
      <c r="L60" s="807"/>
      <c r="M60" s="797"/>
      <c r="N60" s="807"/>
      <c r="O60" s="807"/>
      <c r="P60" s="807"/>
      <c r="Q60" s="827"/>
      <c r="R60" s="801"/>
      <c r="S60" s="801"/>
      <c r="T60" s="801"/>
      <c r="U60" s="801"/>
      <c r="V60" s="801"/>
      <c r="W60" s="801"/>
      <c r="X60" s="805"/>
      <c r="Y60" s="801"/>
    </row>
    <row r="61" spans="1:25" s="806" customFormat="1" x14ac:dyDescent="0.3">
      <c r="A61" s="807"/>
      <c r="B61" s="807"/>
      <c r="C61" s="807"/>
      <c r="E61" s="807"/>
      <c r="F61" s="807"/>
      <c r="G61" s="807"/>
      <c r="H61" s="807"/>
      <c r="I61" s="807"/>
      <c r="J61" s="807"/>
      <c r="K61" s="807"/>
      <c r="L61" s="807"/>
      <c r="M61" s="797"/>
      <c r="N61" s="807"/>
      <c r="O61" s="807"/>
      <c r="P61" s="807"/>
      <c r="Q61" s="827"/>
      <c r="R61" s="801"/>
      <c r="S61" s="801"/>
      <c r="T61" s="801"/>
      <c r="U61" s="801"/>
      <c r="V61" s="801"/>
      <c r="W61" s="801"/>
      <c r="X61" s="805"/>
      <c r="Y61" s="801"/>
    </row>
    <row r="62" spans="1:25" s="806" customFormat="1" x14ac:dyDescent="0.3">
      <c r="A62" s="807"/>
      <c r="B62" s="807"/>
      <c r="C62" s="807"/>
      <c r="E62" s="807"/>
      <c r="F62" s="807"/>
      <c r="G62" s="807"/>
      <c r="H62" s="807"/>
      <c r="I62" s="807"/>
      <c r="J62" s="807"/>
      <c r="K62" s="807"/>
      <c r="L62" s="807"/>
      <c r="M62" s="797"/>
      <c r="N62" s="807"/>
      <c r="O62" s="807"/>
      <c r="P62" s="807"/>
      <c r="Q62" s="827"/>
      <c r="R62" s="801"/>
      <c r="S62" s="801"/>
      <c r="T62" s="801"/>
      <c r="U62" s="801"/>
      <c r="V62" s="801"/>
      <c r="W62" s="801"/>
      <c r="X62" s="805"/>
      <c r="Y62" s="801"/>
    </row>
    <row r="63" spans="1:25" s="806" customFormat="1" x14ac:dyDescent="0.3">
      <c r="A63" s="807"/>
      <c r="B63" s="807"/>
      <c r="C63" s="807"/>
      <c r="E63" s="807"/>
      <c r="F63" s="807"/>
      <c r="G63" s="807"/>
      <c r="H63" s="807"/>
      <c r="I63" s="807"/>
      <c r="J63" s="807"/>
      <c r="K63" s="807"/>
      <c r="L63" s="807"/>
      <c r="M63" s="797"/>
      <c r="N63" s="807"/>
      <c r="O63" s="807"/>
      <c r="P63" s="807"/>
      <c r="Q63" s="827"/>
      <c r="R63" s="801"/>
      <c r="S63" s="801"/>
      <c r="T63" s="801"/>
      <c r="U63" s="801"/>
      <c r="V63" s="801"/>
      <c r="W63" s="801"/>
      <c r="X63" s="805"/>
      <c r="Y63" s="801"/>
    </row>
    <row r="64" spans="1:25" s="806" customFormat="1" x14ac:dyDescent="0.3">
      <c r="A64" s="807"/>
      <c r="B64" s="807"/>
      <c r="C64" s="807"/>
      <c r="E64" s="807"/>
      <c r="F64" s="807"/>
      <c r="G64" s="807"/>
      <c r="H64" s="807"/>
      <c r="I64" s="807"/>
      <c r="J64" s="807"/>
      <c r="K64" s="807"/>
      <c r="L64" s="807"/>
      <c r="M64" s="797"/>
      <c r="N64" s="807"/>
      <c r="O64" s="807"/>
      <c r="P64" s="807"/>
      <c r="Q64" s="827"/>
      <c r="R64" s="801"/>
      <c r="S64" s="801"/>
      <c r="T64" s="801"/>
      <c r="U64" s="801"/>
      <c r="V64" s="801"/>
      <c r="W64" s="801"/>
      <c r="X64" s="805"/>
      <c r="Y64" s="801"/>
    </row>
    <row r="65" spans="1:25" s="806" customFormat="1" x14ac:dyDescent="0.3">
      <c r="A65" s="807"/>
      <c r="B65" s="807"/>
      <c r="C65" s="807"/>
      <c r="E65" s="807"/>
      <c r="F65" s="807"/>
      <c r="G65" s="807"/>
      <c r="H65" s="807"/>
      <c r="I65" s="807"/>
      <c r="J65" s="807"/>
      <c r="K65" s="807"/>
      <c r="L65" s="807"/>
      <c r="M65" s="797"/>
      <c r="N65" s="807"/>
      <c r="O65" s="807"/>
      <c r="P65" s="807"/>
      <c r="Q65" s="827"/>
      <c r="R65" s="801"/>
      <c r="S65" s="801"/>
      <c r="T65" s="801"/>
      <c r="U65" s="801"/>
      <c r="V65" s="801"/>
      <c r="W65" s="801"/>
      <c r="X65" s="805"/>
      <c r="Y65" s="801"/>
    </row>
    <row r="66" spans="1:25" s="806" customFormat="1" x14ac:dyDescent="0.3">
      <c r="A66" s="807"/>
      <c r="B66" s="807"/>
      <c r="C66" s="807"/>
      <c r="E66" s="807"/>
      <c r="F66" s="807"/>
      <c r="G66" s="807"/>
      <c r="H66" s="807"/>
      <c r="I66" s="807"/>
      <c r="J66" s="807"/>
      <c r="K66" s="807"/>
      <c r="L66" s="807"/>
      <c r="M66" s="797"/>
      <c r="N66" s="807"/>
      <c r="O66" s="807"/>
      <c r="P66" s="807"/>
      <c r="Q66" s="827"/>
      <c r="R66" s="801"/>
      <c r="S66" s="801"/>
      <c r="T66" s="801"/>
      <c r="U66" s="801"/>
      <c r="V66" s="801"/>
      <c r="W66" s="801"/>
      <c r="X66" s="805"/>
      <c r="Y66" s="801"/>
    </row>
    <row r="67" spans="1:25" s="806" customFormat="1" x14ac:dyDescent="0.3">
      <c r="A67" s="807"/>
      <c r="B67" s="807"/>
      <c r="C67" s="807"/>
      <c r="E67" s="807"/>
      <c r="F67" s="807"/>
      <c r="G67" s="807"/>
      <c r="H67" s="807"/>
      <c r="I67" s="807"/>
      <c r="J67" s="807"/>
      <c r="K67" s="807"/>
      <c r="L67" s="807"/>
      <c r="M67" s="797"/>
      <c r="N67" s="807"/>
      <c r="O67" s="807"/>
      <c r="P67" s="807"/>
      <c r="Q67" s="827"/>
      <c r="R67" s="801"/>
      <c r="S67" s="801"/>
      <c r="T67" s="801"/>
      <c r="U67" s="801"/>
      <c r="V67" s="801"/>
      <c r="W67" s="801"/>
      <c r="X67" s="805"/>
      <c r="Y67" s="801"/>
    </row>
    <row r="68" spans="1:25" s="806" customFormat="1" x14ac:dyDescent="0.3">
      <c r="A68" s="807"/>
      <c r="B68" s="807"/>
      <c r="C68" s="807"/>
      <c r="E68" s="807"/>
      <c r="F68" s="807"/>
      <c r="G68" s="807"/>
      <c r="H68" s="807"/>
      <c r="I68" s="807"/>
      <c r="J68" s="807"/>
      <c r="K68" s="807"/>
      <c r="L68" s="807"/>
      <c r="M68" s="797"/>
      <c r="N68" s="807"/>
      <c r="O68" s="807"/>
      <c r="P68" s="807"/>
      <c r="Q68" s="827"/>
      <c r="R68" s="801"/>
      <c r="S68" s="801"/>
      <c r="T68" s="801"/>
      <c r="U68" s="801"/>
      <c r="V68" s="801"/>
      <c r="W68" s="801"/>
      <c r="X68" s="805"/>
      <c r="Y68" s="801"/>
    </row>
    <row r="69" spans="1:25" s="806" customFormat="1" x14ac:dyDescent="0.3">
      <c r="A69" s="807"/>
      <c r="B69" s="807"/>
      <c r="C69" s="807"/>
      <c r="E69" s="807"/>
      <c r="F69" s="807"/>
      <c r="G69" s="807"/>
      <c r="H69" s="807"/>
      <c r="I69" s="807"/>
      <c r="J69" s="807"/>
      <c r="K69" s="807"/>
      <c r="L69" s="807"/>
      <c r="M69" s="797"/>
      <c r="N69" s="807"/>
      <c r="O69" s="807"/>
      <c r="P69" s="807"/>
      <c r="Q69" s="827"/>
      <c r="R69" s="801"/>
      <c r="S69" s="801"/>
      <c r="T69" s="801"/>
      <c r="U69" s="801"/>
      <c r="V69" s="801"/>
      <c r="W69" s="801"/>
      <c r="X69" s="805"/>
      <c r="Y69" s="801"/>
    </row>
    <row r="70" spans="1:25" s="806" customFormat="1" x14ac:dyDescent="0.3">
      <c r="A70" s="807"/>
      <c r="B70" s="807"/>
      <c r="C70" s="807"/>
      <c r="E70" s="807"/>
      <c r="F70" s="807"/>
      <c r="G70" s="807"/>
      <c r="H70" s="807"/>
      <c r="I70" s="807"/>
      <c r="J70" s="807"/>
      <c r="K70" s="807"/>
      <c r="L70" s="807"/>
      <c r="M70" s="797"/>
      <c r="N70" s="807"/>
      <c r="O70" s="807"/>
      <c r="P70" s="807"/>
      <c r="Q70" s="827"/>
      <c r="R70" s="801"/>
      <c r="S70" s="801"/>
      <c r="T70" s="801"/>
      <c r="U70" s="801"/>
      <c r="V70" s="801"/>
      <c r="W70" s="801"/>
      <c r="X70" s="805"/>
      <c r="Y70" s="801"/>
    </row>
    <row r="71" spans="1:25" s="806" customFormat="1" x14ac:dyDescent="0.3">
      <c r="A71" s="807"/>
      <c r="B71" s="807"/>
      <c r="C71" s="807"/>
      <c r="E71" s="807"/>
      <c r="F71" s="807"/>
      <c r="G71" s="807"/>
      <c r="H71" s="807"/>
      <c r="I71" s="807"/>
      <c r="J71" s="807"/>
      <c r="K71" s="807"/>
      <c r="L71" s="807"/>
      <c r="M71" s="797"/>
      <c r="N71" s="807"/>
      <c r="O71" s="807"/>
      <c r="P71" s="807"/>
      <c r="Q71" s="827"/>
      <c r="R71" s="801"/>
      <c r="S71" s="801"/>
      <c r="T71" s="801"/>
      <c r="U71" s="801"/>
      <c r="V71" s="801"/>
      <c r="W71" s="801"/>
      <c r="X71" s="805"/>
      <c r="Y71" s="801"/>
    </row>
    <row r="72" spans="1:25" s="806" customFormat="1" x14ac:dyDescent="0.3">
      <c r="A72" s="807"/>
      <c r="B72" s="807"/>
      <c r="C72" s="807"/>
      <c r="E72" s="807"/>
      <c r="F72" s="807"/>
      <c r="G72" s="807"/>
      <c r="H72" s="807"/>
      <c r="I72" s="807"/>
      <c r="J72" s="807"/>
      <c r="K72" s="807"/>
      <c r="L72" s="807"/>
      <c r="M72" s="797"/>
      <c r="N72" s="807"/>
      <c r="O72" s="807"/>
      <c r="P72" s="807"/>
      <c r="Q72" s="827"/>
      <c r="R72" s="801"/>
      <c r="S72" s="801"/>
      <c r="T72" s="801"/>
      <c r="U72" s="801"/>
      <c r="V72" s="801"/>
      <c r="W72" s="801"/>
      <c r="X72" s="805"/>
      <c r="Y72" s="801"/>
    </row>
    <row r="73" spans="1:25" s="806" customFormat="1" x14ac:dyDescent="0.3">
      <c r="A73" s="807"/>
      <c r="B73" s="807"/>
      <c r="C73" s="807"/>
      <c r="E73" s="807"/>
      <c r="F73" s="807"/>
      <c r="G73" s="807"/>
      <c r="H73" s="807"/>
      <c r="I73" s="807"/>
      <c r="J73" s="807"/>
      <c r="K73" s="807"/>
      <c r="L73" s="807"/>
      <c r="M73" s="797"/>
      <c r="N73" s="807"/>
      <c r="O73" s="807"/>
      <c r="P73" s="807"/>
      <c r="Q73" s="827"/>
      <c r="R73" s="801"/>
      <c r="S73" s="801"/>
      <c r="T73" s="801"/>
      <c r="U73" s="801"/>
      <c r="V73" s="801"/>
      <c r="W73" s="801"/>
      <c r="X73" s="805"/>
      <c r="Y73" s="801"/>
    </row>
    <row r="74" spans="1:25" s="806" customFormat="1" x14ac:dyDescent="0.3">
      <c r="A74" s="807"/>
      <c r="B74" s="807"/>
      <c r="C74" s="807"/>
      <c r="E74" s="807"/>
      <c r="F74" s="807"/>
      <c r="G74" s="807"/>
      <c r="H74" s="807"/>
      <c r="I74" s="807"/>
      <c r="J74" s="807"/>
      <c r="K74" s="807"/>
      <c r="L74" s="807"/>
      <c r="M74" s="797"/>
      <c r="N74" s="807"/>
      <c r="O74" s="807"/>
      <c r="P74" s="807"/>
      <c r="Q74" s="827"/>
      <c r="R74" s="801"/>
      <c r="S74" s="801"/>
      <c r="T74" s="801"/>
      <c r="U74" s="801"/>
      <c r="V74" s="801"/>
      <c r="W74" s="801"/>
      <c r="X74" s="805"/>
      <c r="Y74" s="801"/>
    </row>
    <row r="75" spans="1:25" s="806" customFormat="1" x14ac:dyDescent="0.3">
      <c r="A75" s="807"/>
      <c r="B75" s="807"/>
      <c r="C75" s="807"/>
      <c r="E75" s="807"/>
      <c r="F75" s="807"/>
      <c r="G75" s="807"/>
      <c r="H75" s="807"/>
      <c r="I75" s="807"/>
      <c r="J75" s="807"/>
      <c r="K75" s="807"/>
      <c r="L75" s="807"/>
      <c r="M75" s="797"/>
      <c r="N75" s="807"/>
      <c r="O75" s="807"/>
      <c r="P75" s="807"/>
      <c r="Q75" s="827"/>
      <c r="R75" s="801"/>
      <c r="S75" s="801"/>
      <c r="T75" s="801"/>
      <c r="U75" s="801"/>
      <c r="V75" s="801"/>
      <c r="W75" s="801"/>
      <c r="X75" s="805"/>
      <c r="Y75" s="801"/>
    </row>
    <row r="76" spans="1:25" s="806" customFormat="1" x14ac:dyDescent="0.3">
      <c r="A76" s="807"/>
      <c r="B76" s="807"/>
      <c r="C76" s="807"/>
      <c r="E76" s="807"/>
      <c r="F76" s="807"/>
      <c r="G76" s="807"/>
      <c r="H76" s="807"/>
      <c r="I76" s="807"/>
      <c r="J76" s="807"/>
      <c r="K76" s="807"/>
      <c r="L76" s="807"/>
      <c r="M76" s="797"/>
      <c r="N76" s="807"/>
      <c r="O76" s="807"/>
      <c r="P76" s="807"/>
      <c r="Q76" s="827"/>
      <c r="R76" s="801"/>
      <c r="S76" s="801"/>
      <c r="T76" s="801"/>
      <c r="U76" s="801"/>
      <c r="V76" s="801"/>
      <c r="W76" s="801"/>
      <c r="X76" s="805"/>
      <c r="Y76" s="801"/>
    </row>
    <row r="77" spans="1:25" s="806" customFormat="1" x14ac:dyDescent="0.3">
      <c r="A77" s="807"/>
      <c r="B77" s="807"/>
      <c r="C77" s="807"/>
      <c r="E77" s="807"/>
      <c r="F77" s="807"/>
      <c r="G77" s="807"/>
      <c r="H77" s="807"/>
      <c r="I77" s="807"/>
      <c r="J77" s="807"/>
      <c r="K77" s="807"/>
      <c r="L77" s="807"/>
      <c r="M77" s="797"/>
      <c r="N77" s="807"/>
      <c r="O77" s="807"/>
      <c r="P77" s="807"/>
      <c r="Q77" s="827"/>
      <c r="R77" s="801"/>
      <c r="S77" s="801"/>
      <c r="T77" s="801"/>
      <c r="U77" s="801"/>
      <c r="V77" s="801"/>
      <c r="W77" s="801"/>
      <c r="X77" s="805"/>
      <c r="Y77" s="801"/>
    </row>
    <row r="78" spans="1:25" s="806" customFormat="1" x14ac:dyDescent="0.3">
      <c r="A78" s="807"/>
      <c r="B78" s="807"/>
      <c r="C78" s="807"/>
      <c r="E78" s="807"/>
      <c r="F78" s="807"/>
      <c r="G78" s="807"/>
      <c r="H78" s="807"/>
      <c r="I78" s="807"/>
      <c r="J78" s="807"/>
      <c r="K78" s="807"/>
      <c r="L78" s="807"/>
      <c r="M78" s="797"/>
      <c r="N78" s="807"/>
      <c r="O78" s="807"/>
      <c r="P78" s="807"/>
      <c r="Q78" s="827"/>
      <c r="R78" s="801"/>
      <c r="S78" s="801"/>
      <c r="T78" s="801"/>
      <c r="U78" s="801"/>
      <c r="V78" s="801"/>
      <c r="W78" s="801"/>
      <c r="X78" s="805"/>
      <c r="Y78" s="801"/>
    </row>
    <row r="79" spans="1:25" s="806" customFormat="1" x14ac:dyDescent="0.3">
      <c r="A79" s="807"/>
      <c r="B79" s="807"/>
      <c r="C79" s="807"/>
      <c r="E79" s="807"/>
      <c r="F79" s="807"/>
      <c r="G79" s="807"/>
      <c r="H79" s="807"/>
      <c r="I79" s="807"/>
      <c r="J79" s="807"/>
      <c r="K79" s="807"/>
      <c r="L79" s="807"/>
      <c r="M79" s="797"/>
      <c r="N79" s="807"/>
      <c r="O79" s="807"/>
      <c r="P79" s="807"/>
      <c r="Q79" s="827"/>
      <c r="R79" s="801"/>
      <c r="S79" s="801"/>
      <c r="T79" s="801"/>
      <c r="U79" s="801"/>
      <c r="V79" s="801"/>
      <c r="W79" s="801"/>
      <c r="X79" s="805"/>
      <c r="Y79" s="801"/>
    </row>
    <row r="80" spans="1:25" s="806" customFormat="1" x14ac:dyDescent="0.3">
      <c r="A80" s="807"/>
      <c r="B80" s="807"/>
      <c r="C80" s="807"/>
      <c r="E80" s="807"/>
      <c r="F80" s="807"/>
      <c r="G80" s="807"/>
      <c r="H80" s="807"/>
      <c r="I80" s="807"/>
      <c r="J80" s="807"/>
      <c r="K80" s="807"/>
      <c r="L80" s="807"/>
      <c r="M80" s="797"/>
      <c r="N80" s="807"/>
      <c r="O80" s="807"/>
      <c r="P80" s="807"/>
      <c r="Q80" s="827"/>
      <c r="R80" s="801"/>
      <c r="S80" s="801"/>
      <c r="T80" s="801"/>
      <c r="U80" s="801"/>
      <c r="V80" s="801"/>
      <c r="W80" s="801"/>
      <c r="X80" s="805"/>
      <c r="Y80" s="801"/>
    </row>
    <row r="81" spans="1:25" s="806" customFormat="1" x14ac:dyDescent="0.3">
      <c r="A81" s="807"/>
      <c r="B81" s="807"/>
      <c r="C81" s="807"/>
      <c r="E81" s="807"/>
      <c r="F81" s="807"/>
      <c r="G81" s="807"/>
      <c r="H81" s="807"/>
      <c r="I81" s="807"/>
      <c r="J81" s="807"/>
      <c r="K81" s="807"/>
      <c r="L81" s="807"/>
      <c r="M81" s="797"/>
      <c r="N81" s="807"/>
      <c r="O81" s="807"/>
      <c r="P81" s="807"/>
      <c r="Q81" s="827"/>
      <c r="R81" s="801"/>
      <c r="S81" s="801"/>
      <c r="T81" s="801"/>
      <c r="U81" s="801"/>
      <c r="V81" s="801"/>
      <c r="W81" s="801"/>
      <c r="X81" s="805"/>
      <c r="Y81" s="801"/>
    </row>
    <row r="82" spans="1:25" s="806" customFormat="1" x14ac:dyDescent="0.3">
      <c r="A82" s="807"/>
      <c r="B82" s="807"/>
      <c r="C82" s="807"/>
      <c r="E82" s="807"/>
      <c r="F82" s="807"/>
      <c r="G82" s="807"/>
      <c r="H82" s="807"/>
      <c r="I82" s="807"/>
      <c r="J82" s="807"/>
      <c r="K82" s="807"/>
      <c r="L82" s="807"/>
      <c r="M82" s="797"/>
      <c r="N82" s="807"/>
      <c r="O82" s="807"/>
      <c r="P82" s="807"/>
      <c r="Q82" s="827"/>
      <c r="R82" s="801"/>
      <c r="S82" s="801"/>
      <c r="T82" s="801"/>
      <c r="U82" s="801"/>
      <c r="V82" s="801"/>
      <c r="W82" s="801"/>
      <c r="X82" s="805"/>
      <c r="Y82" s="801"/>
    </row>
    <row r="83" spans="1:25" s="806" customFormat="1" x14ac:dyDescent="0.3">
      <c r="A83" s="807"/>
      <c r="B83" s="807"/>
      <c r="C83" s="807"/>
      <c r="E83" s="807"/>
      <c r="F83" s="807"/>
      <c r="G83" s="807"/>
      <c r="H83" s="807"/>
      <c r="I83" s="807"/>
      <c r="J83" s="807"/>
      <c r="K83" s="807"/>
      <c r="L83" s="807"/>
      <c r="M83" s="797"/>
      <c r="N83" s="807"/>
      <c r="O83" s="807"/>
      <c r="P83" s="807"/>
      <c r="Q83" s="827"/>
      <c r="R83" s="801"/>
      <c r="S83" s="801"/>
      <c r="T83" s="801"/>
      <c r="U83" s="801"/>
      <c r="V83" s="801"/>
      <c r="W83" s="801"/>
      <c r="X83" s="805"/>
      <c r="Y83" s="801"/>
    </row>
    <row r="84" spans="1:25" s="806" customFormat="1" x14ac:dyDescent="0.3">
      <c r="A84" s="807"/>
      <c r="B84" s="807"/>
      <c r="C84" s="807"/>
      <c r="E84" s="807"/>
      <c r="F84" s="807"/>
      <c r="G84" s="807"/>
      <c r="H84" s="807"/>
      <c r="I84" s="807"/>
      <c r="J84" s="807"/>
      <c r="K84" s="807"/>
      <c r="L84" s="807"/>
      <c r="M84" s="797"/>
      <c r="N84" s="807"/>
      <c r="O84" s="807"/>
      <c r="P84" s="807"/>
      <c r="Q84" s="827"/>
      <c r="R84" s="801"/>
      <c r="S84" s="801"/>
      <c r="T84" s="801"/>
      <c r="U84" s="801"/>
      <c r="V84" s="801"/>
      <c r="W84" s="801"/>
      <c r="X84" s="805"/>
      <c r="Y84" s="801"/>
    </row>
    <row r="85" spans="1:25" s="806" customFormat="1" x14ac:dyDescent="0.3">
      <c r="A85" s="807"/>
      <c r="B85" s="807"/>
      <c r="C85" s="807"/>
      <c r="E85" s="807"/>
      <c r="F85" s="807"/>
      <c r="G85" s="807"/>
      <c r="H85" s="807"/>
      <c r="I85" s="807"/>
      <c r="J85" s="807"/>
      <c r="K85" s="807"/>
      <c r="L85" s="807"/>
      <c r="M85" s="797"/>
      <c r="N85" s="807"/>
      <c r="O85" s="807"/>
      <c r="P85" s="807"/>
      <c r="Q85" s="827"/>
      <c r="R85" s="801"/>
      <c r="S85" s="801"/>
      <c r="T85" s="801"/>
      <c r="U85" s="801"/>
      <c r="V85" s="801"/>
      <c r="W85" s="801"/>
      <c r="X85" s="805"/>
      <c r="Y85" s="801"/>
    </row>
    <row r="86" spans="1:25" s="806" customFormat="1" x14ac:dyDescent="0.3">
      <c r="A86" s="807"/>
      <c r="B86" s="807"/>
      <c r="C86" s="807"/>
      <c r="E86" s="807"/>
      <c r="F86" s="807"/>
      <c r="G86" s="807"/>
      <c r="H86" s="807"/>
      <c r="I86" s="807"/>
      <c r="J86" s="807"/>
      <c r="K86" s="807"/>
      <c r="L86" s="807"/>
      <c r="M86" s="797"/>
      <c r="N86" s="807"/>
      <c r="O86" s="807"/>
      <c r="P86" s="807"/>
      <c r="Q86" s="827"/>
      <c r="R86" s="801"/>
      <c r="S86" s="801"/>
      <c r="T86" s="801"/>
      <c r="U86" s="801"/>
      <c r="V86" s="801"/>
      <c r="W86" s="801"/>
      <c r="X86" s="805"/>
      <c r="Y86" s="801"/>
    </row>
    <row r="87" spans="1:25" s="806" customFormat="1" x14ac:dyDescent="0.3">
      <c r="A87" s="807"/>
      <c r="B87" s="807"/>
      <c r="C87" s="807"/>
      <c r="E87" s="807"/>
      <c r="F87" s="807"/>
      <c r="G87" s="807"/>
      <c r="H87" s="807"/>
      <c r="I87" s="807"/>
      <c r="J87" s="807"/>
      <c r="K87" s="807"/>
      <c r="L87" s="807"/>
      <c r="M87" s="797"/>
      <c r="N87" s="807"/>
      <c r="O87" s="807"/>
      <c r="P87" s="807"/>
      <c r="Q87" s="827"/>
      <c r="R87" s="801"/>
      <c r="S87" s="801"/>
      <c r="T87" s="801"/>
      <c r="U87" s="801"/>
      <c r="V87" s="801"/>
      <c r="W87" s="801"/>
      <c r="X87" s="805"/>
      <c r="Y87" s="801"/>
    </row>
    <row r="88" spans="1:25" s="806" customFormat="1" x14ac:dyDescent="0.3">
      <c r="A88" s="807"/>
      <c r="B88" s="807"/>
      <c r="C88" s="807"/>
      <c r="E88" s="807"/>
      <c r="F88" s="807"/>
      <c r="G88" s="807"/>
      <c r="H88" s="807"/>
      <c r="I88" s="807"/>
      <c r="J88" s="807"/>
      <c r="K88" s="807"/>
      <c r="L88" s="807"/>
      <c r="M88" s="797"/>
      <c r="N88" s="807"/>
      <c r="O88" s="807"/>
      <c r="P88" s="807"/>
      <c r="Q88" s="827"/>
      <c r="R88" s="801"/>
      <c r="S88" s="801"/>
      <c r="T88" s="801"/>
      <c r="U88" s="801"/>
      <c r="V88" s="801"/>
      <c r="W88" s="801"/>
      <c r="X88" s="805"/>
      <c r="Y88" s="801"/>
    </row>
    <row r="89" spans="1:25" s="806" customFormat="1" x14ac:dyDescent="0.3">
      <c r="A89" s="807"/>
      <c r="B89" s="807"/>
      <c r="C89" s="807"/>
      <c r="E89" s="807"/>
      <c r="F89" s="807"/>
      <c r="G89" s="807"/>
      <c r="H89" s="807"/>
      <c r="I89" s="807"/>
      <c r="J89" s="807"/>
      <c r="K89" s="807"/>
      <c r="L89" s="807"/>
      <c r="M89" s="797"/>
      <c r="N89" s="807"/>
      <c r="O89" s="807"/>
      <c r="P89" s="807"/>
      <c r="Q89" s="827"/>
      <c r="R89" s="801"/>
      <c r="S89" s="801"/>
      <c r="T89" s="801"/>
      <c r="U89" s="801"/>
      <c r="V89" s="801"/>
      <c r="W89" s="801"/>
      <c r="X89" s="805"/>
      <c r="Y89" s="801"/>
    </row>
    <row r="90" spans="1:25" s="806" customFormat="1" x14ac:dyDescent="0.3">
      <c r="A90" s="807"/>
      <c r="B90" s="807"/>
      <c r="C90" s="807"/>
      <c r="E90" s="807"/>
      <c r="F90" s="807"/>
      <c r="G90" s="807"/>
      <c r="H90" s="807"/>
      <c r="I90" s="807"/>
      <c r="J90" s="807"/>
      <c r="K90" s="807"/>
      <c r="L90" s="807"/>
      <c r="M90" s="797"/>
      <c r="N90" s="807"/>
      <c r="O90" s="807"/>
      <c r="P90" s="807"/>
      <c r="Q90" s="827"/>
      <c r="R90" s="801"/>
      <c r="S90" s="801"/>
      <c r="T90" s="801"/>
      <c r="U90" s="801"/>
      <c r="V90" s="801"/>
      <c r="W90" s="801"/>
      <c r="X90" s="805"/>
      <c r="Y90" s="801"/>
    </row>
    <row r="91" spans="1:25" s="806" customFormat="1" x14ac:dyDescent="0.3">
      <c r="A91" s="807"/>
      <c r="B91" s="807"/>
      <c r="C91" s="807"/>
      <c r="E91" s="807"/>
      <c r="F91" s="807"/>
      <c r="G91" s="807"/>
      <c r="H91" s="807"/>
      <c r="I91" s="807"/>
      <c r="J91" s="807"/>
      <c r="K91" s="807"/>
      <c r="L91" s="807"/>
      <c r="M91" s="797"/>
      <c r="N91" s="807"/>
      <c r="O91" s="807"/>
      <c r="P91" s="807"/>
      <c r="Q91" s="827"/>
      <c r="R91" s="801"/>
      <c r="S91" s="801"/>
      <c r="T91" s="801"/>
      <c r="U91" s="801"/>
      <c r="V91" s="801"/>
      <c r="W91" s="801"/>
      <c r="X91" s="805"/>
      <c r="Y91" s="801"/>
    </row>
    <row r="92" spans="1:25" s="806" customFormat="1" x14ac:dyDescent="0.3">
      <c r="A92" s="807"/>
      <c r="B92" s="807"/>
      <c r="C92" s="807"/>
      <c r="E92" s="807"/>
      <c r="F92" s="807"/>
      <c r="G92" s="807"/>
      <c r="H92" s="807"/>
      <c r="I92" s="807"/>
      <c r="J92" s="807"/>
      <c r="K92" s="807"/>
      <c r="L92" s="807"/>
      <c r="M92" s="797"/>
      <c r="N92" s="807"/>
      <c r="O92" s="807"/>
      <c r="P92" s="807"/>
      <c r="Q92" s="827"/>
      <c r="R92" s="801"/>
      <c r="S92" s="801"/>
      <c r="T92" s="801"/>
      <c r="U92" s="801"/>
      <c r="V92" s="801"/>
      <c r="W92" s="801"/>
      <c r="X92" s="805"/>
      <c r="Y92" s="801"/>
    </row>
    <row r="93" spans="1:25" s="806" customFormat="1" x14ac:dyDescent="0.3">
      <c r="A93" s="807"/>
      <c r="B93" s="807"/>
      <c r="C93" s="807"/>
      <c r="E93" s="807"/>
      <c r="F93" s="807"/>
      <c r="G93" s="807"/>
      <c r="H93" s="807"/>
      <c r="I93" s="807"/>
      <c r="J93" s="807"/>
      <c r="K93" s="807"/>
      <c r="L93" s="807"/>
      <c r="M93" s="797"/>
      <c r="N93" s="807"/>
      <c r="O93" s="807"/>
      <c r="P93" s="807"/>
      <c r="Q93" s="827"/>
      <c r="R93" s="801"/>
      <c r="S93" s="801"/>
      <c r="T93" s="801"/>
      <c r="U93" s="801"/>
      <c r="V93" s="801"/>
      <c r="W93" s="801"/>
      <c r="X93" s="805"/>
      <c r="Y93" s="801"/>
    </row>
    <row r="94" spans="1:25" s="806" customFormat="1" x14ac:dyDescent="0.3">
      <c r="A94" s="807"/>
      <c r="B94" s="807"/>
      <c r="C94" s="807"/>
      <c r="E94" s="807"/>
      <c r="F94" s="807"/>
      <c r="G94" s="807"/>
      <c r="H94" s="807"/>
      <c r="I94" s="807"/>
      <c r="J94" s="807"/>
      <c r="K94" s="807"/>
      <c r="L94" s="807"/>
      <c r="M94" s="797"/>
      <c r="N94" s="807"/>
      <c r="O94" s="807"/>
      <c r="P94" s="807"/>
      <c r="Q94" s="827"/>
      <c r="R94" s="801"/>
      <c r="S94" s="801"/>
      <c r="T94" s="801"/>
      <c r="U94" s="801"/>
      <c r="V94" s="801"/>
      <c r="W94" s="801"/>
      <c r="X94" s="805"/>
      <c r="Y94" s="801"/>
    </row>
    <row r="95" spans="1:25" s="806" customFormat="1" x14ac:dyDescent="0.3">
      <c r="A95" s="807"/>
      <c r="B95" s="807"/>
      <c r="C95" s="807"/>
      <c r="E95" s="807"/>
      <c r="F95" s="807"/>
      <c r="G95" s="807"/>
      <c r="H95" s="807"/>
      <c r="I95" s="807"/>
      <c r="J95" s="807"/>
      <c r="K95" s="807"/>
      <c r="L95" s="807"/>
      <c r="M95" s="797"/>
      <c r="N95" s="807"/>
      <c r="O95" s="807"/>
      <c r="P95" s="807"/>
      <c r="Q95" s="827"/>
      <c r="R95" s="801"/>
      <c r="S95" s="801"/>
      <c r="T95" s="801"/>
      <c r="U95" s="801"/>
      <c r="V95" s="801"/>
      <c r="W95" s="801"/>
      <c r="X95" s="805"/>
      <c r="Y95" s="801"/>
    </row>
    <row r="96" spans="1:25" s="806" customFormat="1" x14ac:dyDescent="0.3">
      <c r="A96" s="807"/>
      <c r="B96" s="807"/>
      <c r="C96" s="807"/>
      <c r="E96" s="807"/>
      <c r="F96" s="807"/>
      <c r="G96" s="807"/>
      <c r="H96" s="807"/>
      <c r="I96" s="807"/>
      <c r="J96" s="807"/>
      <c r="K96" s="807"/>
      <c r="L96" s="807"/>
      <c r="M96" s="797"/>
      <c r="N96" s="807"/>
      <c r="O96" s="807"/>
      <c r="P96" s="807"/>
      <c r="Q96" s="827"/>
      <c r="R96" s="801"/>
      <c r="S96" s="801"/>
      <c r="T96" s="801"/>
      <c r="U96" s="801"/>
      <c r="V96" s="801"/>
      <c r="W96" s="801"/>
      <c r="X96" s="805"/>
      <c r="Y96" s="801"/>
    </row>
    <row r="97" spans="1:25" s="806" customFormat="1" x14ac:dyDescent="0.3">
      <c r="A97" s="807"/>
      <c r="B97" s="807"/>
      <c r="C97" s="807"/>
      <c r="E97" s="807"/>
      <c r="F97" s="807"/>
      <c r="G97" s="807"/>
      <c r="H97" s="807"/>
      <c r="I97" s="807"/>
      <c r="J97" s="807"/>
      <c r="K97" s="807"/>
      <c r="L97" s="807"/>
      <c r="M97" s="797"/>
      <c r="N97" s="807"/>
      <c r="O97" s="807"/>
      <c r="P97" s="807"/>
      <c r="Q97" s="827"/>
      <c r="R97" s="801"/>
      <c r="S97" s="801"/>
      <c r="T97" s="801"/>
      <c r="U97" s="801"/>
      <c r="V97" s="801"/>
      <c r="W97" s="801"/>
      <c r="X97" s="805"/>
      <c r="Y97" s="801"/>
    </row>
    <row r="98" spans="1:25" s="806" customFormat="1" x14ac:dyDescent="0.3">
      <c r="A98" s="807"/>
      <c r="B98" s="807"/>
      <c r="C98" s="807"/>
      <c r="E98" s="807"/>
      <c r="F98" s="807"/>
      <c r="G98" s="807"/>
      <c r="H98" s="807"/>
      <c r="I98" s="807"/>
      <c r="J98" s="807"/>
      <c r="K98" s="807"/>
      <c r="L98" s="807"/>
      <c r="M98" s="797"/>
      <c r="N98" s="807"/>
      <c r="O98" s="807"/>
      <c r="P98" s="807"/>
      <c r="Q98" s="827"/>
      <c r="R98" s="801"/>
      <c r="S98" s="801"/>
      <c r="T98" s="801"/>
      <c r="U98" s="801"/>
      <c r="V98" s="801"/>
      <c r="W98" s="801"/>
      <c r="X98" s="805"/>
      <c r="Y98" s="801"/>
    </row>
    <row r="99" spans="1:25" s="806" customFormat="1" x14ac:dyDescent="0.3">
      <c r="A99" s="807"/>
      <c r="B99" s="807"/>
      <c r="C99" s="807"/>
      <c r="E99" s="807"/>
      <c r="F99" s="807"/>
      <c r="G99" s="807"/>
      <c r="H99" s="807"/>
      <c r="I99" s="807"/>
      <c r="J99" s="807"/>
      <c r="K99" s="807"/>
      <c r="L99" s="807"/>
      <c r="M99" s="797"/>
      <c r="N99" s="807"/>
      <c r="O99" s="807"/>
      <c r="P99" s="807"/>
      <c r="Q99" s="827"/>
      <c r="R99" s="801"/>
      <c r="S99" s="801"/>
      <c r="T99" s="801"/>
      <c r="U99" s="801"/>
      <c r="V99" s="801"/>
      <c r="W99" s="801"/>
      <c r="X99" s="805"/>
      <c r="Y99" s="801"/>
    </row>
    <row r="100" spans="1:25" s="806" customFormat="1" x14ac:dyDescent="0.3">
      <c r="A100" s="807"/>
      <c r="B100" s="807"/>
      <c r="C100" s="807"/>
      <c r="E100" s="807"/>
      <c r="F100" s="807"/>
      <c r="G100" s="807"/>
      <c r="H100" s="807"/>
      <c r="I100" s="807"/>
      <c r="J100" s="807"/>
      <c r="K100" s="807"/>
      <c r="L100" s="807"/>
      <c r="M100" s="797"/>
      <c r="N100" s="807"/>
      <c r="O100" s="807"/>
      <c r="P100" s="807"/>
      <c r="Q100" s="827"/>
      <c r="R100" s="801"/>
      <c r="S100" s="801"/>
      <c r="T100" s="801"/>
      <c r="U100" s="801"/>
      <c r="V100" s="801"/>
      <c r="W100" s="801"/>
      <c r="X100" s="805"/>
      <c r="Y100" s="801"/>
    </row>
    <row r="101" spans="1:25" s="806" customFormat="1" x14ac:dyDescent="0.3">
      <c r="A101" s="807"/>
      <c r="B101" s="807"/>
      <c r="C101" s="807"/>
      <c r="E101" s="807"/>
      <c r="F101" s="807"/>
      <c r="G101" s="807"/>
      <c r="H101" s="807"/>
      <c r="I101" s="807"/>
      <c r="J101" s="807"/>
      <c r="K101" s="807"/>
      <c r="L101" s="807"/>
      <c r="M101" s="797"/>
      <c r="N101" s="807"/>
      <c r="O101" s="807"/>
      <c r="P101" s="807"/>
      <c r="Q101" s="827"/>
      <c r="R101" s="801"/>
      <c r="S101" s="801"/>
      <c r="T101" s="801"/>
      <c r="U101" s="801"/>
      <c r="V101" s="801"/>
      <c r="W101" s="801"/>
      <c r="X101" s="805"/>
      <c r="Y101" s="801"/>
    </row>
    <row r="102" spans="1:25" s="806" customFormat="1" x14ac:dyDescent="0.3">
      <c r="A102" s="807"/>
      <c r="B102" s="807"/>
      <c r="C102" s="807"/>
      <c r="E102" s="807"/>
      <c r="F102" s="807"/>
      <c r="G102" s="807"/>
      <c r="H102" s="807"/>
      <c r="I102" s="807"/>
      <c r="J102" s="807"/>
      <c r="K102" s="807"/>
      <c r="L102" s="807"/>
      <c r="M102" s="797"/>
      <c r="N102" s="807"/>
      <c r="O102" s="807"/>
      <c r="P102" s="807"/>
      <c r="Q102" s="827"/>
      <c r="R102" s="801"/>
      <c r="S102" s="801"/>
      <c r="T102" s="801"/>
      <c r="U102" s="801"/>
      <c r="V102" s="801"/>
      <c r="W102" s="801"/>
      <c r="X102" s="805"/>
      <c r="Y102" s="801"/>
    </row>
    <row r="103" spans="1:25" s="806" customFormat="1" x14ac:dyDescent="0.3">
      <c r="A103" s="807"/>
      <c r="B103" s="807"/>
      <c r="C103" s="807"/>
      <c r="E103" s="807"/>
      <c r="F103" s="807"/>
      <c r="G103" s="807"/>
      <c r="H103" s="807"/>
      <c r="I103" s="807"/>
      <c r="J103" s="807"/>
      <c r="K103" s="807"/>
      <c r="L103" s="807"/>
      <c r="M103" s="797"/>
      <c r="N103" s="807"/>
      <c r="O103" s="807"/>
      <c r="P103" s="807"/>
      <c r="Q103" s="827"/>
      <c r="R103" s="801"/>
      <c r="S103" s="801"/>
      <c r="T103" s="801"/>
      <c r="U103" s="801"/>
      <c r="V103" s="801"/>
      <c r="W103" s="801"/>
      <c r="X103" s="805"/>
      <c r="Y103" s="801"/>
    </row>
    <row r="104" spans="1:25" s="806" customFormat="1" x14ac:dyDescent="0.3">
      <c r="A104" s="807"/>
      <c r="B104" s="807"/>
      <c r="C104" s="807"/>
      <c r="E104" s="807"/>
      <c r="F104" s="807"/>
      <c r="G104" s="807"/>
      <c r="H104" s="807"/>
      <c r="I104" s="807"/>
      <c r="J104" s="807"/>
      <c r="K104" s="807"/>
      <c r="L104" s="807"/>
      <c r="M104" s="797"/>
      <c r="N104" s="807"/>
      <c r="O104" s="807"/>
      <c r="P104" s="807"/>
      <c r="Q104" s="827"/>
      <c r="R104" s="801"/>
      <c r="S104" s="801"/>
      <c r="T104" s="801"/>
      <c r="U104" s="801"/>
      <c r="V104" s="801"/>
      <c r="W104" s="801"/>
      <c r="X104" s="805"/>
      <c r="Y104" s="801"/>
    </row>
    <row r="105" spans="1:25" s="806" customFormat="1" x14ac:dyDescent="0.3">
      <c r="A105" s="807"/>
      <c r="B105" s="807"/>
      <c r="C105" s="807"/>
      <c r="E105" s="807"/>
      <c r="F105" s="807"/>
      <c r="G105" s="807"/>
      <c r="H105" s="807"/>
      <c r="I105" s="807"/>
      <c r="J105" s="807"/>
      <c r="K105" s="807"/>
      <c r="L105" s="807"/>
      <c r="M105" s="797"/>
      <c r="N105" s="807"/>
      <c r="O105" s="807"/>
      <c r="P105" s="807"/>
      <c r="Q105" s="827"/>
      <c r="R105" s="801"/>
      <c r="S105" s="801"/>
      <c r="T105" s="801"/>
      <c r="U105" s="801"/>
      <c r="V105" s="801"/>
      <c r="W105" s="801"/>
      <c r="X105" s="805"/>
      <c r="Y105" s="801"/>
    </row>
    <row r="106" spans="1:25" s="806" customFormat="1" x14ac:dyDescent="0.3">
      <c r="A106" s="807"/>
      <c r="B106" s="807"/>
      <c r="C106" s="807"/>
      <c r="E106" s="807"/>
      <c r="F106" s="807"/>
      <c r="G106" s="807"/>
      <c r="H106" s="807"/>
      <c r="I106" s="807"/>
      <c r="J106" s="807"/>
      <c r="K106" s="807"/>
      <c r="L106" s="807"/>
      <c r="M106" s="797"/>
      <c r="N106" s="807"/>
      <c r="O106" s="807"/>
      <c r="P106" s="807"/>
      <c r="Q106" s="827"/>
      <c r="R106" s="801"/>
      <c r="S106" s="801"/>
      <c r="T106" s="801"/>
      <c r="U106" s="801"/>
      <c r="V106" s="801"/>
      <c r="W106" s="801"/>
      <c r="X106" s="805"/>
      <c r="Y106" s="801"/>
    </row>
    <row r="107" spans="1:25" s="806" customFormat="1" x14ac:dyDescent="0.3">
      <c r="A107" s="807"/>
      <c r="B107" s="807"/>
      <c r="C107" s="807"/>
      <c r="E107" s="807"/>
      <c r="F107" s="807"/>
      <c r="G107" s="807"/>
      <c r="H107" s="807"/>
      <c r="I107" s="807"/>
      <c r="J107" s="807"/>
      <c r="K107" s="807"/>
      <c r="L107" s="807"/>
      <c r="M107" s="797"/>
      <c r="N107" s="807"/>
      <c r="O107" s="807"/>
      <c r="P107" s="807"/>
      <c r="Q107" s="827"/>
      <c r="R107" s="801"/>
      <c r="S107" s="801"/>
      <c r="T107" s="801"/>
      <c r="U107" s="801"/>
      <c r="V107" s="801"/>
      <c r="W107" s="801"/>
      <c r="X107" s="805"/>
      <c r="Y107" s="801"/>
    </row>
    <row r="108" spans="1:25" s="806" customFormat="1" x14ac:dyDescent="0.3">
      <c r="A108" s="807"/>
      <c r="B108" s="807"/>
      <c r="C108" s="807"/>
      <c r="E108" s="807"/>
      <c r="F108" s="807"/>
      <c r="G108" s="807"/>
      <c r="H108" s="807"/>
      <c r="I108" s="807"/>
      <c r="J108" s="807"/>
      <c r="K108" s="807"/>
      <c r="L108" s="807"/>
      <c r="M108" s="797"/>
      <c r="N108" s="807"/>
      <c r="O108" s="807"/>
      <c r="P108" s="807"/>
      <c r="Q108" s="827"/>
      <c r="R108" s="801"/>
      <c r="S108" s="801"/>
      <c r="T108" s="801"/>
      <c r="U108" s="801"/>
      <c r="V108" s="801"/>
      <c r="W108" s="801"/>
      <c r="X108" s="805"/>
      <c r="Y108" s="801"/>
    </row>
    <row r="109" spans="1:25" s="806" customFormat="1" x14ac:dyDescent="0.3">
      <c r="A109" s="807"/>
      <c r="B109" s="807"/>
      <c r="C109" s="807"/>
      <c r="E109" s="807"/>
      <c r="F109" s="807"/>
      <c r="G109" s="807"/>
      <c r="H109" s="807"/>
      <c r="I109" s="807"/>
      <c r="J109" s="807"/>
      <c r="K109" s="807"/>
      <c r="L109" s="807"/>
      <c r="M109" s="797"/>
      <c r="N109" s="807"/>
      <c r="O109" s="807"/>
      <c r="P109" s="807"/>
      <c r="Q109" s="827"/>
      <c r="R109" s="801"/>
      <c r="S109" s="801"/>
      <c r="T109" s="801"/>
      <c r="U109" s="801"/>
      <c r="V109" s="801"/>
      <c r="W109" s="801"/>
      <c r="X109" s="805"/>
      <c r="Y109" s="801"/>
    </row>
    <row r="110" spans="1:25" s="806" customFormat="1" x14ac:dyDescent="0.3">
      <c r="A110" s="807"/>
      <c r="B110" s="807"/>
      <c r="C110" s="807"/>
      <c r="E110" s="807"/>
      <c r="F110" s="807"/>
      <c r="G110" s="807"/>
      <c r="H110" s="807"/>
      <c r="I110" s="807"/>
      <c r="J110" s="807"/>
      <c r="K110" s="807"/>
      <c r="L110" s="807"/>
      <c r="M110" s="797"/>
      <c r="N110" s="807"/>
      <c r="O110" s="807"/>
      <c r="P110" s="807"/>
      <c r="Q110" s="827"/>
      <c r="R110" s="801"/>
      <c r="S110" s="801"/>
      <c r="T110" s="801"/>
      <c r="U110" s="801"/>
      <c r="V110" s="801"/>
      <c r="W110" s="801"/>
      <c r="X110" s="805"/>
      <c r="Y110" s="801"/>
    </row>
    <row r="111" spans="1:25" s="806" customFormat="1" x14ac:dyDescent="0.3">
      <c r="A111" s="807"/>
      <c r="B111" s="807"/>
      <c r="C111" s="807"/>
      <c r="E111" s="807"/>
      <c r="F111" s="807"/>
      <c r="G111" s="807"/>
      <c r="H111" s="807"/>
      <c r="I111" s="807"/>
      <c r="J111" s="807"/>
      <c r="K111" s="807"/>
      <c r="L111" s="807"/>
      <c r="M111" s="797"/>
      <c r="N111" s="807"/>
      <c r="O111" s="807"/>
      <c r="P111" s="807"/>
      <c r="Q111" s="827"/>
      <c r="R111" s="801"/>
      <c r="S111" s="801"/>
      <c r="T111" s="801"/>
      <c r="U111" s="801"/>
      <c r="V111" s="801"/>
      <c r="W111" s="801"/>
      <c r="X111" s="805"/>
      <c r="Y111" s="801"/>
    </row>
    <row r="112" spans="1:25" s="806" customFormat="1" x14ac:dyDescent="0.3">
      <c r="A112" s="807"/>
      <c r="B112" s="807"/>
      <c r="C112" s="807"/>
      <c r="E112" s="807"/>
      <c r="F112" s="807"/>
      <c r="G112" s="807"/>
      <c r="H112" s="807"/>
      <c r="I112" s="807"/>
      <c r="J112" s="807"/>
      <c r="K112" s="807"/>
      <c r="L112" s="807"/>
      <c r="M112" s="797"/>
      <c r="N112" s="807"/>
      <c r="O112" s="807"/>
      <c r="P112" s="807"/>
      <c r="Q112" s="827"/>
      <c r="R112" s="801"/>
      <c r="S112" s="801"/>
      <c r="T112" s="801"/>
      <c r="U112" s="801"/>
      <c r="V112" s="801"/>
      <c r="W112" s="801"/>
      <c r="X112" s="805"/>
      <c r="Y112" s="801"/>
    </row>
    <row r="113" spans="1:25" s="806" customFormat="1" x14ac:dyDescent="0.3">
      <c r="A113" s="807"/>
      <c r="B113" s="807"/>
      <c r="C113" s="807"/>
      <c r="E113" s="807"/>
      <c r="F113" s="807"/>
      <c r="G113" s="807"/>
      <c r="H113" s="807"/>
      <c r="I113" s="807"/>
      <c r="J113" s="807"/>
      <c r="K113" s="807"/>
      <c r="L113" s="807"/>
      <c r="M113" s="797"/>
      <c r="N113" s="807"/>
      <c r="O113" s="807"/>
      <c r="P113" s="807"/>
      <c r="Q113" s="827"/>
      <c r="R113" s="801"/>
      <c r="S113" s="801"/>
      <c r="T113" s="801"/>
      <c r="U113" s="801"/>
      <c r="V113" s="801"/>
      <c r="W113" s="801"/>
      <c r="X113" s="805"/>
      <c r="Y113" s="801"/>
    </row>
    <row r="114" spans="1:25" s="806" customFormat="1" x14ac:dyDescent="0.3">
      <c r="A114" s="807"/>
      <c r="B114" s="807"/>
      <c r="C114" s="807"/>
      <c r="E114" s="807"/>
      <c r="F114" s="807"/>
      <c r="G114" s="807"/>
      <c r="H114" s="807"/>
      <c r="I114" s="807"/>
      <c r="J114" s="807"/>
      <c r="K114" s="807"/>
      <c r="L114" s="807"/>
      <c r="M114" s="797"/>
      <c r="N114" s="807"/>
      <c r="O114" s="807"/>
      <c r="P114" s="807"/>
      <c r="Q114" s="827"/>
      <c r="R114" s="801"/>
      <c r="S114" s="801"/>
      <c r="T114" s="801"/>
      <c r="U114" s="801"/>
      <c r="V114" s="801"/>
      <c r="W114" s="801"/>
      <c r="X114" s="805"/>
      <c r="Y114" s="801"/>
    </row>
    <row r="115" spans="1:25" s="806" customFormat="1" x14ac:dyDescent="0.3">
      <c r="A115" s="807"/>
      <c r="B115" s="807"/>
      <c r="C115" s="807"/>
      <c r="E115" s="807"/>
      <c r="F115" s="807"/>
      <c r="G115" s="807"/>
      <c r="H115" s="807"/>
      <c r="I115" s="807"/>
      <c r="J115" s="807"/>
      <c r="K115" s="807"/>
      <c r="L115" s="807"/>
      <c r="M115" s="797"/>
      <c r="N115" s="807"/>
      <c r="O115" s="807"/>
      <c r="P115" s="807"/>
      <c r="Q115" s="827"/>
      <c r="R115" s="801"/>
      <c r="S115" s="801"/>
      <c r="T115" s="801"/>
      <c r="U115" s="801"/>
      <c r="V115" s="801"/>
      <c r="W115" s="801"/>
      <c r="X115" s="805"/>
      <c r="Y115" s="801"/>
    </row>
    <row r="116" spans="1:25" s="806" customFormat="1" x14ac:dyDescent="0.3">
      <c r="A116" s="807"/>
      <c r="B116" s="807"/>
      <c r="C116" s="807"/>
      <c r="E116" s="807"/>
      <c r="F116" s="807"/>
      <c r="G116" s="807"/>
      <c r="H116" s="807"/>
      <c r="I116" s="807"/>
      <c r="J116" s="807"/>
      <c r="K116" s="807"/>
      <c r="L116" s="807"/>
      <c r="M116" s="797"/>
      <c r="N116" s="807"/>
      <c r="O116" s="807"/>
      <c r="P116" s="807"/>
      <c r="Q116" s="827"/>
      <c r="R116" s="801"/>
      <c r="S116" s="801"/>
      <c r="T116" s="801"/>
      <c r="U116" s="801"/>
      <c r="V116" s="801"/>
      <c r="W116" s="801"/>
      <c r="X116" s="805"/>
      <c r="Y116" s="801"/>
    </row>
    <row r="117" spans="1:25" s="806" customFormat="1" x14ac:dyDescent="0.3">
      <c r="A117" s="807"/>
      <c r="B117" s="807"/>
      <c r="C117" s="807"/>
      <c r="E117" s="807"/>
      <c r="F117" s="807"/>
      <c r="G117" s="807"/>
      <c r="H117" s="807"/>
      <c r="I117" s="807"/>
      <c r="J117" s="807"/>
      <c r="K117" s="807"/>
      <c r="L117" s="807"/>
      <c r="M117" s="797"/>
      <c r="N117" s="807"/>
      <c r="O117" s="807"/>
      <c r="P117" s="807"/>
      <c r="Q117" s="827"/>
      <c r="R117" s="801"/>
      <c r="S117" s="801"/>
      <c r="T117" s="801"/>
      <c r="U117" s="801"/>
      <c r="V117" s="801"/>
      <c r="W117" s="801"/>
      <c r="X117" s="805"/>
      <c r="Y117" s="801"/>
    </row>
    <row r="118" spans="1:25" s="806" customFormat="1" x14ac:dyDescent="0.3">
      <c r="A118" s="807"/>
      <c r="B118" s="807"/>
      <c r="C118" s="807"/>
      <c r="E118" s="807"/>
      <c r="F118" s="807"/>
      <c r="G118" s="807"/>
      <c r="H118" s="807"/>
      <c r="I118" s="807"/>
      <c r="J118" s="807"/>
      <c r="K118" s="807"/>
      <c r="L118" s="807"/>
      <c r="M118" s="797"/>
      <c r="N118" s="807"/>
      <c r="O118" s="807"/>
      <c r="P118" s="807"/>
      <c r="Q118" s="827"/>
      <c r="R118" s="801"/>
      <c r="S118" s="801"/>
      <c r="T118" s="801"/>
      <c r="U118" s="801"/>
      <c r="V118" s="801"/>
      <c r="W118" s="801"/>
      <c r="X118" s="805"/>
      <c r="Y118" s="801"/>
    </row>
    <row r="119" spans="1:25" s="806" customFormat="1" x14ac:dyDescent="0.3">
      <c r="A119" s="807"/>
      <c r="B119" s="807"/>
      <c r="C119" s="807"/>
      <c r="E119" s="807"/>
      <c r="F119" s="807"/>
      <c r="G119" s="807"/>
      <c r="H119" s="807"/>
      <c r="I119" s="807"/>
      <c r="J119" s="807"/>
      <c r="K119" s="807"/>
      <c r="L119" s="807"/>
      <c r="M119" s="797"/>
      <c r="N119" s="807"/>
      <c r="O119" s="807"/>
      <c r="P119" s="807"/>
      <c r="Q119" s="827"/>
      <c r="R119" s="801"/>
      <c r="S119" s="801"/>
      <c r="T119" s="801"/>
      <c r="U119" s="801"/>
      <c r="V119" s="801"/>
      <c r="W119" s="801"/>
      <c r="X119" s="805"/>
      <c r="Y119" s="801"/>
    </row>
    <row r="120" spans="1:25" s="806" customFormat="1" x14ac:dyDescent="0.3">
      <c r="A120" s="807"/>
      <c r="B120" s="807"/>
      <c r="C120" s="807"/>
      <c r="E120" s="807"/>
      <c r="F120" s="807"/>
      <c r="G120" s="807"/>
      <c r="H120" s="807"/>
      <c r="I120" s="807"/>
      <c r="J120" s="807"/>
      <c r="K120" s="807"/>
      <c r="L120" s="807"/>
      <c r="M120" s="797"/>
      <c r="N120" s="807"/>
      <c r="O120" s="807"/>
      <c r="P120" s="807"/>
      <c r="Q120" s="827"/>
      <c r="R120" s="801"/>
      <c r="S120" s="801"/>
      <c r="T120" s="801"/>
      <c r="U120" s="801"/>
      <c r="V120" s="801"/>
      <c r="W120" s="801"/>
      <c r="X120" s="805"/>
      <c r="Y120" s="801"/>
    </row>
  </sheetData>
  <autoFilter ref="Q7:Z32">
    <filterColumn colId="1" showButton="0"/>
    <filterColumn colId="2" showButton="0"/>
    <filterColumn colId="3" showButton="0"/>
  </autoFilter>
  <mergeCells count="19">
    <mergeCell ref="Q40:Y40"/>
    <mergeCell ref="Q36:S36"/>
    <mergeCell ref="Q39:S39"/>
    <mergeCell ref="Q35:Y35"/>
    <mergeCell ref="A7:A8"/>
    <mergeCell ref="D7:D8"/>
    <mergeCell ref="B7:C8"/>
    <mergeCell ref="R7:U7"/>
    <mergeCell ref="E7:E8"/>
    <mergeCell ref="Q7:Q8"/>
    <mergeCell ref="E2:Y2"/>
    <mergeCell ref="E3:Y3"/>
    <mergeCell ref="E4:Y4"/>
    <mergeCell ref="W7:W8"/>
    <mergeCell ref="X7:X8"/>
    <mergeCell ref="E5:AH5"/>
    <mergeCell ref="V7:V8"/>
    <mergeCell ref="Y7:Y8"/>
    <mergeCell ref="F7:P7"/>
  </mergeCells>
  <phoneticPr fontId="0" type="noConversion"/>
  <printOptions horizontalCentered="1"/>
  <pageMargins left="0.7" right="0.16" top="0.27" bottom="0.31" header="0.23" footer="0.27"/>
  <pageSetup scale="98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00FF00"/>
  </sheetPr>
  <dimension ref="A1:AL41"/>
  <sheetViews>
    <sheetView topLeftCell="A7" zoomScale="120" zoomScaleNormal="120" workbookViewId="0">
      <selection activeCell="AB10" sqref="AB10:AB21"/>
    </sheetView>
  </sheetViews>
  <sheetFormatPr defaultRowHeight="18.75" x14ac:dyDescent="0.3"/>
  <cols>
    <col min="1" max="1" width="3.09765625" style="1" customWidth="1"/>
    <col min="2" max="2" width="4.59765625" style="1" customWidth="1"/>
    <col min="3" max="3" width="4.796875" style="1" customWidth="1"/>
    <col min="4" max="4" width="16.796875" customWidth="1"/>
    <col min="5" max="5" width="7.8984375" style="1" customWidth="1"/>
    <col min="6" max="19" width="2.69921875" style="1" customWidth="1"/>
    <col min="20" max="20" width="4" style="25" customWidth="1"/>
    <col min="21" max="23" width="2.19921875" style="20" hidden="1" customWidth="1"/>
    <col min="24" max="25" width="3.3984375" style="23" hidden="1" customWidth="1"/>
    <col min="26" max="26" width="4.09765625" style="23" customWidth="1"/>
    <col min="27" max="27" width="4.3984375" style="14" hidden="1" customWidth="1"/>
    <col min="28" max="28" width="19.09765625" style="23" customWidth="1"/>
    <col min="29" max="29" width="2.09765625" customWidth="1"/>
    <col min="30" max="30" width="4.69921875" customWidth="1"/>
  </cols>
  <sheetData>
    <row r="1" spans="1:38" s="806" customFormat="1" x14ac:dyDescent="0.3">
      <c r="A1" s="807"/>
      <c r="B1" s="807"/>
      <c r="C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27"/>
      <c r="U1" s="801"/>
      <c r="V1" s="801"/>
      <c r="W1" s="801"/>
      <c r="X1" s="801"/>
      <c r="Y1" s="801"/>
      <c r="Z1" s="801"/>
      <c r="AA1" s="805"/>
      <c r="AB1" s="801"/>
    </row>
    <row r="2" spans="1:38" s="806" customFormat="1" x14ac:dyDescent="0.3">
      <c r="A2" s="807"/>
      <c r="B2" s="807"/>
      <c r="C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07"/>
      <c r="P2" s="807"/>
      <c r="Q2" s="807"/>
      <c r="R2" s="807"/>
      <c r="S2" s="807"/>
      <c r="T2" s="827"/>
      <c r="U2" s="801"/>
      <c r="V2" s="801"/>
      <c r="W2" s="801"/>
      <c r="X2" s="801"/>
      <c r="Y2" s="801"/>
      <c r="Z2" s="801"/>
      <c r="AA2" s="805"/>
      <c r="AB2" s="801"/>
    </row>
    <row r="3" spans="1:38" s="761" customFormat="1" ht="15.75" x14ac:dyDescent="0.25">
      <c r="B3" s="763"/>
      <c r="C3" s="763"/>
      <c r="D3" s="763"/>
      <c r="E3" s="1046" t="s">
        <v>2237</v>
      </c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1046"/>
      <c r="W3" s="1046"/>
      <c r="X3" s="1046"/>
      <c r="Y3" s="1046"/>
      <c r="Z3" s="1046"/>
      <c r="AA3" s="1046"/>
      <c r="AB3" s="1046"/>
    </row>
    <row r="4" spans="1:38" s="761" customFormat="1" ht="15.75" x14ac:dyDescent="0.25">
      <c r="B4" s="763"/>
      <c r="C4" s="763"/>
      <c r="D4" s="763"/>
      <c r="E4" s="1046" t="s">
        <v>2317</v>
      </c>
      <c r="F4" s="1046"/>
      <c r="G4" s="1046"/>
      <c r="H4" s="1046"/>
      <c r="I4" s="1046"/>
      <c r="J4" s="1046"/>
      <c r="K4" s="1046"/>
      <c r="L4" s="1046"/>
      <c r="M4" s="1046"/>
      <c r="N4" s="1046"/>
      <c r="O4" s="1046"/>
      <c r="P4" s="1046"/>
      <c r="Q4" s="1046"/>
      <c r="R4" s="1046"/>
      <c r="S4" s="1046"/>
      <c r="T4" s="1046"/>
      <c r="U4" s="1046"/>
      <c r="V4" s="1046"/>
      <c r="W4" s="1046"/>
      <c r="X4" s="1046"/>
      <c r="Y4" s="1046"/>
      <c r="Z4" s="1046"/>
      <c r="AA4" s="1046"/>
      <c r="AB4" s="1046"/>
    </row>
    <row r="5" spans="1:38" s="761" customFormat="1" ht="15.75" hidden="1" x14ac:dyDescent="0.25">
      <c r="B5" s="762"/>
      <c r="C5" s="762"/>
      <c r="D5" s="762"/>
      <c r="E5" s="1047" t="s">
        <v>34</v>
      </c>
      <c r="F5" s="1047"/>
      <c r="G5" s="1047"/>
      <c r="H5" s="1047"/>
      <c r="I5" s="1047"/>
      <c r="J5" s="1047"/>
      <c r="K5" s="1047"/>
      <c r="L5" s="1047"/>
      <c r="M5" s="1047"/>
      <c r="N5" s="1047"/>
      <c r="O5" s="1047"/>
      <c r="P5" s="1047"/>
      <c r="Q5" s="1047"/>
      <c r="R5" s="1047"/>
      <c r="S5" s="1047"/>
      <c r="T5" s="1047"/>
      <c r="U5" s="1047"/>
      <c r="V5" s="1047"/>
      <c r="W5" s="1047"/>
      <c r="X5" s="1047"/>
      <c r="Y5" s="1047"/>
      <c r="Z5" s="1047"/>
      <c r="AA5" s="1047"/>
      <c r="AB5" s="1047"/>
      <c r="AC5" s="762"/>
    </row>
    <row r="6" spans="1:38" s="761" customFormat="1" ht="15.75" customHeight="1" x14ac:dyDescent="0.25">
      <c r="B6" s="763"/>
      <c r="C6" s="763"/>
      <c r="D6" s="763"/>
      <c r="E6" s="1052" t="s">
        <v>2310</v>
      </c>
      <c r="F6" s="1052"/>
      <c r="G6" s="1052"/>
      <c r="H6" s="1052"/>
      <c r="I6" s="1052"/>
      <c r="J6" s="1052"/>
      <c r="K6" s="1052"/>
      <c r="L6" s="1052"/>
      <c r="M6" s="1052"/>
      <c r="N6" s="1052"/>
      <c r="O6" s="1052"/>
      <c r="P6" s="1052"/>
      <c r="Q6" s="1052"/>
      <c r="R6" s="1052"/>
      <c r="S6" s="1052"/>
      <c r="T6" s="1052"/>
      <c r="U6" s="1052"/>
      <c r="V6" s="1052"/>
      <c r="W6" s="1052"/>
      <c r="X6" s="1052"/>
      <c r="Y6" s="1052"/>
      <c r="Z6" s="1052"/>
      <c r="AA6" s="1052"/>
      <c r="AB6" s="1052"/>
      <c r="AC6" s="1052"/>
      <c r="AD6" s="1052"/>
      <c r="AE6" s="1052"/>
      <c r="AF6" s="1052"/>
      <c r="AG6" s="1052"/>
      <c r="AH6" s="1052"/>
      <c r="AI6" s="1052"/>
      <c r="AJ6" s="1052"/>
      <c r="AK6" s="1052"/>
      <c r="AL6" s="1052"/>
    </row>
    <row r="7" spans="1:38" s="761" customFormat="1" ht="16.5" thickBot="1" x14ac:dyDescent="0.3">
      <c r="A7" s="775"/>
      <c r="B7" s="775"/>
      <c r="C7" s="775"/>
      <c r="D7" s="775"/>
      <c r="E7" s="775"/>
      <c r="F7" s="775"/>
      <c r="G7" s="775"/>
      <c r="H7" s="775"/>
      <c r="I7" s="775"/>
      <c r="J7" s="775"/>
      <c r="K7" s="775"/>
      <c r="L7" s="775"/>
      <c r="M7" s="775"/>
      <c r="N7" s="775"/>
      <c r="O7" s="775"/>
      <c r="P7" s="775"/>
      <c r="Q7" s="775"/>
      <c r="R7" s="775"/>
      <c r="S7" s="775"/>
      <c r="T7" s="775"/>
      <c r="U7" s="775"/>
      <c r="V7" s="775"/>
      <c r="W7" s="775"/>
      <c r="X7" s="775"/>
      <c r="Y7" s="775"/>
      <c r="Z7" s="775"/>
      <c r="AA7" s="775"/>
      <c r="AB7" s="775"/>
    </row>
    <row r="8" spans="1:38" s="761" customFormat="1" ht="23.25" customHeight="1" thickTop="1" x14ac:dyDescent="0.25">
      <c r="A8" s="1056" t="s">
        <v>91</v>
      </c>
      <c r="B8" s="1060" t="s">
        <v>2118</v>
      </c>
      <c r="C8" s="1061"/>
      <c r="D8" s="1058" t="s">
        <v>2119</v>
      </c>
      <c r="E8" s="1058" t="s">
        <v>2120</v>
      </c>
      <c r="F8" s="1053" t="s">
        <v>2267</v>
      </c>
      <c r="G8" s="1054"/>
      <c r="H8" s="1054"/>
      <c r="I8" s="1054"/>
      <c r="J8" s="1054"/>
      <c r="K8" s="1054"/>
      <c r="L8" s="1054"/>
      <c r="M8" s="1054"/>
      <c r="N8" s="1054"/>
      <c r="O8" s="1054"/>
      <c r="P8" s="1054"/>
      <c r="Q8" s="1054"/>
      <c r="R8" s="1054"/>
      <c r="S8" s="1055"/>
      <c r="T8" s="1069" t="s">
        <v>2107</v>
      </c>
      <c r="U8" s="1053" t="s">
        <v>104</v>
      </c>
      <c r="V8" s="1054"/>
      <c r="W8" s="1054"/>
      <c r="X8" s="1055"/>
      <c r="Y8" s="1048" t="s">
        <v>99</v>
      </c>
      <c r="Z8" s="1048" t="s">
        <v>2108</v>
      </c>
      <c r="AA8" s="1048" t="s">
        <v>103</v>
      </c>
      <c r="AB8" s="1067" t="s">
        <v>2121</v>
      </c>
    </row>
    <row r="9" spans="1:38" s="761" customFormat="1" ht="159.75" customHeight="1" x14ac:dyDescent="0.25">
      <c r="A9" s="1057"/>
      <c r="B9" s="1062"/>
      <c r="C9" s="1063"/>
      <c r="D9" s="1059"/>
      <c r="E9" s="1059"/>
      <c r="F9" s="700" t="s">
        <v>2128</v>
      </c>
      <c r="G9" s="729" t="s">
        <v>2109</v>
      </c>
      <c r="H9" s="729" t="s">
        <v>2221</v>
      </c>
      <c r="I9" s="732" t="s">
        <v>2095</v>
      </c>
      <c r="J9" s="731" t="s">
        <v>2097</v>
      </c>
      <c r="K9" s="729" t="s">
        <v>2181</v>
      </c>
      <c r="L9" s="729" t="s">
        <v>2182</v>
      </c>
      <c r="M9" s="730" t="s">
        <v>2183</v>
      </c>
      <c r="N9" s="729" t="s">
        <v>2184</v>
      </c>
      <c r="O9" s="729" t="s">
        <v>2185</v>
      </c>
      <c r="P9" s="714" t="s">
        <v>2113</v>
      </c>
      <c r="Q9" s="732" t="s">
        <v>2186</v>
      </c>
      <c r="R9" s="725" t="s">
        <v>2232</v>
      </c>
      <c r="S9" s="729" t="s">
        <v>2165</v>
      </c>
      <c r="T9" s="1070"/>
      <c r="U9" s="718" t="s">
        <v>108</v>
      </c>
      <c r="V9" s="718" t="s">
        <v>97</v>
      </c>
      <c r="W9" s="718" t="s">
        <v>96</v>
      </c>
      <c r="X9" s="719" t="s">
        <v>98</v>
      </c>
      <c r="Y9" s="1049"/>
      <c r="Z9" s="1049"/>
      <c r="AA9" s="1049"/>
      <c r="AB9" s="1068"/>
      <c r="AC9" s="761" t="s">
        <v>94</v>
      </c>
    </row>
    <row r="10" spans="1:38" s="784" customFormat="1" ht="18" customHeight="1" x14ac:dyDescent="0.25">
      <c r="A10" s="741">
        <v>1</v>
      </c>
      <c r="B10" s="752"/>
      <c r="C10" s="743">
        <v>2026</v>
      </c>
      <c r="D10" s="690" t="s">
        <v>2749</v>
      </c>
      <c r="E10" s="687" t="s">
        <v>4043</v>
      </c>
      <c r="F10" s="705"/>
      <c r="G10" s="705"/>
      <c r="H10" s="705"/>
      <c r="I10" s="705"/>
      <c r="J10" s="705"/>
      <c r="K10" s="705"/>
      <c r="L10" s="705"/>
      <c r="M10" s="705"/>
      <c r="N10" s="705"/>
      <c r="O10" s="705"/>
      <c r="P10" s="705"/>
      <c r="Q10" s="705"/>
      <c r="R10" s="705"/>
      <c r="S10" s="705"/>
      <c r="T10" s="776">
        <f>SUM(F10:S10)/14</f>
        <v>0</v>
      </c>
      <c r="U10" s="705"/>
      <c r="V10" s="705"/>
      <c r="W10" s="705"/>
      <c r="X10" s="776">
        <f>SUM(U10:W10)/3</f>
        <v>0</v>
      </c>
      <c r="Y10" s="776">
        <f>SUM(T10+X10)/2</f>
        <v>0</v>
      </c>
      <c r="Z10" s="819"/>
      <c r="AA10" s="813"/>
      <c r="AB10" s="694" t="s">
        <v>4060</v>
      </c>
      <c r="AD10" s="781" t="e">
        <f t="shared" ref="AD10:AD21" si="0">AVERAGE(F10:S10)</f>
        <v>#DIV/0!</v>
      </c>
    </row>
    <row r="11" spans="1:38" s="784" customFormat="1" ht="16.5" customHeight="1" x14ac:dyDescent="0.25">
      <c r="A11" s="744">
        <v>2</v>
      </c>
      <c r="B11" s="745"/>
      <c r="C11" s="746">
        <v>2026</v>
      </c>
      <c r="D11" s="685" t="s">
        <v>4044</v>
      </c>
      <c r="E11" s="689" t="s">
        <v>3378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07"/>
      <c r="R11" s="707"/>
      <c r="S11" s="707"/>
      <c r="T11" s="782">
        <f>SUM(F11:S11)/14</f>
        <v>0</v>
      </c>
      <c r="U11" s="707"/>
      <c r="V11" s="707"/>
      <c r="W11" s="707"/>
      <c r="X11" s="782">
        <f>SUM(U11:W11)/3</f>
        <v>0</v>
      </c>
      <c r="Y11" s="782">
        <f>SUM(T11+X11)/2</f>
        <v>0</v>
      </c>
      <c r="Z11" s="778"/>
      <c r="AA11" s="814"/>
      <c r="AB11" s="695" t="s">
        <v>4042</v>
      </c>
      <c r="AD11" s="781" t="e">
        <f t="shared" si="0"/>
        <v>#DIV/0!</v>
      </c>
    </row>
    <row r="12" spans="1:38" s="784" customFormat="1" ht="18" customHeight="1" x14ac:dyDescent="0.25">
      <c r="A12" s="744">
        <v>3</v>
      </c>
      <c r="B12" s="745"/>
      <c r="C12" s="746">
        <v>2026</v>
      </c>
      <c r="D12" s="685" t="s">
        <v>4045</v>
      </c>
      <c r="E12" s="689" t="s">
        <v>4046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07"/>
      <c r="R12" s="707"/>
      <c r="S12" s="707"/>
      <c r="T12" s="782">
        <f t="shared" ref="T12:T21" si="1">SUM(F12:S12)/14</f>
        <v>0</v>
      </c>
      <c r="U12" s="707"/>
      <c r="V12" s="707"/>
      <c r="W12" s="707"/>
      <c r="X12" s="782">
        <f>SUM(U12:W12)/3</f>
        <v>0</v>
      </c>
      <c r="Y12" s="782">
        <f>SUM(T12+X12)/2</f>
        <v>0</v>
      </c>
      <c r="Z12" s="778"/>
      <c r="AA12" s="814"/>
      <c r="AB12" s="695" t="s">
        <v>4061</v>
      </c>
      <c r="AD12" s="781" t="e">
        <f t="shared" si="0"/>
        <v>#DIV/0!</v>
      </c>
    </row>
    <row r="13" spans="1:38" s="784" customFormat="1" ht="18" customHeight="1" x14ac:dyDescent="0.25">
      <c r="A13" s="744">
        <v>4</v>
      </c>
      <c r="B13" s="745"/>
      <c r="C13" s="746">
        <v>2026</v>
      </c>
      <c r="D13" s="685" t="s">
        <v>4047</v>
      </c>
      <c r="E13" s="689" t="s">
        <v>2775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07"/>
      <c r="R13" s="707"/>
      <c r="S13" s="707"/>
      <c r="T13" s="782">
        <f t="shared" si="1"/>
        <v>0</v>
      </c>
      <c r="U13" s="707"/>
      <c r="V13" s="707"/>
      <c r="W13" s="707"/>
      <c r="X13" s="782">
        <f>SUM(U13:W13)/3</f>
        <v>0</v>
      </c>
      <c r="Y13" s="782">
        <f>SUM(T13+X13)/2</f>
        <v>0</v>
      </c>
      <c r="Z13" s="778"/>
      <c r="AA13" s="814"/>
      <c r="AB13" s="695" t="s">
        <v>3811</v>
      </c>
      <c r="AD13" s="781" t="e">
        <f t="shared" si="0"/>
        <v>#DIV/0!</v>
      </c>
    </row>
    <row r="14" spans="1:38" s="784" customFormat="1" ht="18" customHeight="1" x14ac:dyDescent="0.25">
      <c r="A14" s="744">
        <v>5</v>
      </c>
      <c r="B14" s="745"/>
      <c r="C14" s="746">
        <v>2026</v>
      </c>
      <c r="D14" s="685" t="s">
        <v>4048</v>
      </c>
      <c r="E14" s="689" t="s">
        <v>3731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07"/>
      <c r="S14" s="707"/>
      <c r="T14" s="782">
        <f t="shared" si="1"/>
        <v>0</v>
      </c>
      <c r="U14" s="707"/>
      <c r="V14" s="707"/>
      <c r="W14" s="707"/>
      <c r="X14" s="782">
        <f>SUM(U14:W14)/3</f>
        <v>0</v>
      </c>
      <c r="Y14" s="782">
        <f>SUM(T14+X14)/2</f>
        <v>0</v>
      </c>
      <c r="Z14" s="778"/>
      <c r="AA14" s="814"/>
      <c r="AB14" s="695" t="s">
        <v>4062</v>
      </c>
      <c r="AD14" s="781" t="e">
        <f t="shared" si="0"/>
        <v>#DIV/0!</v>
      </c>
    </row>
    <row r="15" spans="1:38" s="784" customFormat="1" ht="18" customHeight="1" x14ac:dyDescent="0.25">
      <c r="A15" s="744">
        <v>6</v>
      </c>
      <c r="B15" s="745"/>
      <c r="C15" s="746">
        <v>2026</v>
      </c>
      <c r="D15" s="685" t="s">
        <v>4049</v>
      </c>
      <c r="E15" s="689" t="s">
        <v>4050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07"/>
      <c r="R15" s="707"/>
      <c r="S15" s="707"/>
      <c r="T15" s="782">
        <f t="shared" si="1"/>
        <v>0</v>
      </c>
      <c r="U15" s="707"/>
      <c r="V15" s="707"/>
      <c r="W15" s="707"/>
      <c r="X15" s="782"/>
      <c r="Y15" s="782"/>
      <c r="Z15" s="778"/>
      <c r="AA15" s="814"/>
      <c r="AB15" s="695" t="s">
        <v>3005</v>
      </c>
      <c r="AD15" s="781" t="e">
        <f t="shared" si="0"/>
        <v>#DIV/0!</v>
      </c>
    </row>
    <row r="16" spans="1:38" s="784" customFormat="1" ht="18" customHeight="1" x14ac:dyDescent="0.25">
      <c r="A16" s="744">
        <v>7</v>
      </c>
      <c r="B16" s="745"/>
      <c r="C16" s="746">
        <v>2026</v>
      </c>
      <c r="D16" s="685" t="s">
        <v>4051</v>
      </c>
      <c r="E16" s="689" t="s">
        <v>3331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07"/>
      <c r="R16" s="707"/>
      <c r="S16" s="707"/>
      <c r="T16" s="782">
        <f t="shared" si="1"/>
        <v>0</v>
      </c>
      <c r="U16" s="707"/>
      <c r="V16" s="707"/>
      <c r="W16" s="707"/>
      <c r="X16" s="782"/>
      <c r="Y16" s="782"/>
      <c r="Z16" s="778"/>
      <c r="AA16" s="814"/>
      <c r="AB16" s="695" t="s">
        <v>4063</v>
      </c>
      <c r="AD16" s="781" t="e">
        <f t="shared" si="0"/>
        <v>#DIV/0!</v>
      </c>
    </row>
    <row r="17" spans="1:30" s="784" customFormat="1" ht="18" customHeight="1" x14ac:dyDescent="0.25">
      <c r="A17" s="744">
        <v>8</v>
      </c>
      <c r="B17" s="745"/>
      <c r="C17" s="746">
        <v>2026</v>
      </c>
      <c r="D17" s="685" t="s">
        <v>4052</v>
      </c>
      <c r="E17" s="689" t="s">
        <v>3150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07"/>
      <c r="S17" s="707"/>
      <c r="T17" s="782">
        <f t="shared" si="1"/>
        <v>0</v>
      </c>
      <c r="U17" s="707"/>
      <c r="V17" s="707"/>
      <c r="W17" s="707"/>
      <c r="X17" s="782"/>
      <c r="Y17" s="782"/>
      <c r="Z17" s="778"/>
      <c r="AA17" s="814"/>
      <c r="AB17" s="695" t="s">
        <v>4064</v>
      </c>
      <c r="AD17" s="781" t="e">
        <f t="shared" si="0"/>
        <v>#DIV/0!</v>
      </c>
    </row>
    <row r="18" spans="1:30" s="784" customFormat="1" ht="18" customHeight="1" x14ac:dyDescent="0.25">
      <c r="A18" s="744">
        <v>9</v>
      </c>
      <c r="B18" s="745"/>
      <c r="C18" s="746">
        <v>2026</v>
      </c>
      <c r="D18" s="685" t="s">
        <v>4053</v>
      </c>
      <c r="E18" s="689" t="s">
        <v>4054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07"/>
      <c r="R18" s="707"/>
      <c r="S18" s="707"/>
      <c r="T18" s="782">
        <f t="shared" si="1"/>
        <v>0</v>
      </c>
      <c r="U18" s="707"/>
      <c r="V18" s="707"/>
      <c r="W18" s="707"/>
      <c r="X18" s="782"/>
      <c r="Y18" s="782"/>
      <c r="Z18" s="778"/>
      <c r="AA18" s="814"/>
      <c r="AB18" s="695" t="s">
        <v>3811</v>
      </c>
      <c r="AD18" s="781" t="e">
        <f t="shared" si="0"/>
        <v>#DIV/0!</v>
      </c>
    </row>
    <row r="19" spans="1:30" s="784" customFormat="1" ht="18" customHeight="1" x14ac:dyDescent="0.25">
      <c r="A19" s="744">
        <v>10</v>
      </c>
      <c r="B19" s="745"/>
      <c r="C19" s="746">
        <v>2026</v>
      </c>
      <c r="D19" s="685" t="s">
        <v>4055</v>
      </c>
      <c r="E19" s="689" t="s">
        <v>3798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07"/>
      <c r="S19" s="707"/>
      <c r="T19" s="782">
        <f t="shared" si="1"/>
        <v>0</v>
      </c>
      <c r="U19" s="707"/>
      <c r="V19" s="707"/>
      <c r="W19" s="707"/>
      <c r="X19" s="782"/>
      <c r="Y19" s="782"/>
      <c r="Z19" s="778"/>
      <c r="AA19" s="814"/>
      <c r="AB19" s="695" t="s">
        <v>2482</v>
      </c>
      <c r="AD19" s="781" t="e">
        <f t="shared" si="0"/>
        <v>#DIV/0!</v>
      </c>
    </row>
    <row r="20" spans="1:30" s="784" customFormat="1" ht="18" customHeight="1" x14ac:dyDescent="0.25">
      <c r="A20" s="744">
        <v>11</v>
      </c>
      <c r="B20" s="745"/>
      <c r="C20" s="746">
        <v>2026</v>
      </c>
      <c r="D20" s="685" t="s">
        <v>4056</v>
      </c>
      <c r="E20" s="689" t="s">
        <v>4057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82">
        <f t="shared" si="1"/>
        <v>0</v>
      </c>
      <c r="U20" s="707"/>
      <c r="V20" s="707"/>
      <c r="W20" s="707"/>
      <c r="X20" s="782"/>
      <c r="Y20" s="782"/>
      <c r="Z20" s="778"/>
      <c r="AA20" s="814"/>
      <c r="AB20" s="695" t="s">
        <v>4065</v>
      </c>
      <c r="AD20" s="781" t="e">
        <f t="shared" si="0"/>
        <v>#DIV/0!</v>
      </c>
    </row>
    <row r="21" spans="1:30" s="784" customFormat="1" ht="18" customHeight="1" x14ac:dyDescent="0.25">
      <c r="A21" s="744">
        <v>12</v>
      </c>
      <c r="B21" s="745"/>
      <c r="C21" s="746">
        <v>2026</v>
      </c>
      <c r="D21" s="685" t="s">
        <v>4058</v>
      </c>
      <c r="E21" s="689" t="s">
        <v>4059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07"/>
      <c r="R21" s="707"/>
      <c r="S21" s="707"/>
      <c r="T21" s="782">
        <f t="shared" si="1"/>
        <v>0</v>
      </c>
      <c r="U21" s="707"/>
      <c r="V21" s="707"/>
      <c r="W21" s="707"/>
      <c r="X21" s="782"/>
      <c r="Y21" s="782"/>
      <c r="Z21" s="778"/>
      <c r="AA21" s="814"/>
      <c r="AB21" s="695" t="s">
        <v>4062</v>
      </c>
      <c r="AD21" s="781" t="e">
        <f t="shared" si="0"/>
        <v>#DIV/0!</v>
      </c>
    </row>
    <row r="22" spans="1:30" s="796" customFormat="1" ht="18" customHeight="1" thickBot="1" x14ac:dyDescent="0.35">
      <c r="A22" s="790"/>
      <c r="B22" s="709"/>
      <c r="C22" s="709"/>
      <c r="D22" s="815"/>
      <c r="E22" s="709"/>
      <c r="F22" s="848"/>
      <c r="G22" s="848"/>
      <c r="H22" s="848"/>
      <c r="I22" s="848"/>
      <c r="J22" s="848"/>
      <c r="K22" s="848"/>
      <c r="L22" s="848"/>
      <c r="M22" s="848"/>
      <c r="N22" s="848"/>
      <c r="O22" s="848"/>
      <c r="P22" s="848"/>
      <c r="Q22" s="848"/>
      <c r="R22" s="848"/>
      <c r="S22" s="848"/>
      <c r="T22" s="849"/>
      <c r="U22" s="709"/>
      <c r="V22" s="709"/>
      <c r="W22" s="709"/>
      <c r="X22" s="709"/>
      <c r="Y22" s="709"/>
      <c r="Z22" s="709"/>
      <c r="AA22" s="850"/>
      <c r="AB22" s="851"/>
      <c r="AD22" s="781"/>
    </row>
    <row r="23" spans="1:30" s="796" customFormat="1" ht="19.5" thickTop="1" x14ac:dyDescent="0.3">
      <c r="A23" s="797"/>
      <c r="B23" s="797"/>
      <c r="C23" s="797"/>
      <c r="E23" s="797"/>
      <c r="F23" s="797"/>
      <c r="G23" s="797"/>
      <c r="H23" s="797"/>
      <c r="I23" s="797"/>
      <c r="J23" s="797"/>
      <c r="K23" s="797"/>
      <c r="L23" s="797"/>
      <c r="M23" s="797"/>
      <c r="N23" s="797"/>
      <c r="O23" s="797"/>
      <c r="P23" s="797"/>
      <c r="Q23" s="797"/>
      <c r="R23" s="797"/>
      <c r="S23" s="797"/>
      <c r="T23" s="803"/>
      <c r="U23" s="797"/>
      <c r="V23" s="797"/>
      <c r="W23" s="797"/>
      <c r="X23" s="797"/>
      <c r="Y23" s="797"/>
      <c r="Z23" s="797"/>
      <c r="AA23" s="799"/>
      <c r="AB23" s="852"/>
      <c r="AD23" s="781"/>
    </row>
    <row r="24" spans="1:30" s="796" customFormat="1" x14ac:dyDescent="0.3">
      <c r="A24" s="797"/>
      <c r="B24" s="797"/>
      <c r="C24" s="797"/>
      <c r="E24" s="797"/>
      <c r="F24" s="797"/>
      <c r="G24" s="797"/>
      <c r="H24" s="797"/>
      <c r="I24" s="797"/>
      <c r="J24" s="797"/>
      <c r="K24" s="797"/>
      <c r="L24" s="797"/>
      <c r="M24" s="797"/>
      <c r="N24" s="797"/>
      <c r="O24" s="797"/>
      <c r="P24" s="797"/>
      <c r="Q24" s="797"/>
      <c r="R24" s="797"/>
      <c r="S24" s="797"/>
      <c r="T24" s="803"/>
      <c r="U24" s="797"/>
      <c r="V24" s="797"/>
      <c r="W24" s="797"/>
      <c r="X24" s="797"/>
      <c r="Y24" s="797"/>
      <c r="Z24" s="797"/>
      <c r="AA24" s="799"/>
      <c r="AB24" s="797"/>
      <c r="AD24" s="781"/>
    </row>
    <row r="25" spans="1:30" s="796" customFormat="1" x14ac:dyDescent="0.3">
      <c r="A25" s="797"/>
      <c r="B25" s="797"/>
      <c r="C25" s="797"/>
      <c r="E25" s="797"/>
      <c r="F25" s="797"/>
      <c r="G25" s="797"/>
      <c r="H25" s="797"/>
      <c r="I25" s="797"/>
      <c r="J25" s="797"/>
      <c r="K25" s="797"/>
      <c r="L25" s="797"/>
      <c r="M25" s="797"/>
      <c r="N25" s="797"/>
      <c r="O25" s="797"/>
      <c r="P25" s="797"/>
      <c r="Q25" s="797"/>
      <c r="R25" s="797"/>
      <c r="S25" s="797"/>
      <c r="T25" s="803"/>
      <c r="U25" s="797"/>
      <c r="V25" s="797"/>
      <c r="W25" s="797"/>
      <c r="X25" s="797"/>
      <c r="Y25" s="797"/>
      <c r="Z25" s="797"/>
      <c r="AA25" s="799"/>
      <c r="AB25" s="797"/>
      <c r="AD25" s="781"/>
    </row>
    <row r="26" spans="1:30" s="796" customFormat="1" x14ac:dyDescent="0.3">
      <c r="A26" s="797"/>
      <c r="B26" s="797"/>
      <c r="C26" s="797"/>
      <c r="E26" s="797"/>
      <c r="F26" s="797"/>
      <c r="G26" s="797"/>
      <c r="H26" s="797"/>
      <c r="I26" s="797"/>
      <c r="J26" s="797"/>
      <c r="K26" s="797"/>
      <c r="L26" s="797"/>
      <c r="M26" s="797"/>
      <c r="N26" s="797"/>
      <c r="O26" s="797"/>
      <c r="P26" s="797"/>
      <c r="Q26" s="797"/>
      <c r="R26" s="797"/>
      <c r="S26" s="797"/>
      <c r="T26" s="803"/>
      <c r="U26" s="797"/>
      <c r="V26" s="797"/>
      <c r="W26" s="797"/>
      <c r="X26" s="797"/>
      <c r="Y26" s="797"/>
      <c r="Z26" s="797"/>
      <c r="AA26" s="799"/>
      <c r="AB26" s="797"/>
      <c r="AD26" s="781"/>
    </row>
    <row r="27" spans="1:30" s="796" customFormat="1" x14ac:dyDescent="0.3">
      <c r="A27" s="797"/>
      <c r="B27" s="797"/>
      <c r="C27" s="797"/>
      <c r="E27" s="797"/>
      <c r="F27" s="797"/>
      <c r="G27" s="797"/>
      <c r="H27" s="797"/>
      <c r="I27" s="797"/>
      <c r="J27" s="797"/>
      <c r="K27" s="797"/>
      <c r="L27" s="797"/>
      <c r="M27" s="797"/>
      <c r="N27" s="797"/>
      <c r="O27" s="797"/>
      <c r="P27" s="797"/>
      <c r="Q27" s="797"/>
      <c r="R27" s="797"/>
      <c r="S27" s="797"/>
      <c r="T27" s="803"/>
      <c r="U27" s="797"/>
      <c r="V27" s="797"/>
      <c r="W27" s="797"/>
      <c r="X27" s="797"/>
      <c r="Y27" s="797"/>
      <c r="Z27" s="797"/>
      <c r="AA27" s="799"/>
      <c r="AB27" s="797"/>
      <c r="AD27" s="781"/>
    </row>
    <row r="28" spans="1:30" s="796" customFormat="1" x14ac:dyDescent="0.3">
      <c r="A28" s="797"/>
      <c r="B28" s="797"/>
      <c r="C28" s="797"/>
      <c r="E28" s="797"/>
      <c r="F28" s="797"/>
      <c r="G28" s="797"/>
      <c r="H28" s="797"/>
      <c r="I28" s="797"/>
      <c r="J28" s="797"/>
      <c r="K28" s="797"/>
      <c r="L28" s="797"/>
      <c r="M28" s="797"/>
      <c r="N28" s="797"/>
      <c r="O28" s="797"/>
      <c r="P28" s="797"/>
      <c r="Q28" s="797"/>
      <c r="R28" s="797"/>
      <c r="S28" s="797"/>
      <c r="T28" s="803"/>
      <c r="U28" s="797"/>
      <c r="V28" s="797"/>
      <c r="W28" s="797"/>
      <c r="X28" s="797"/>
      <c r="Y28" s="797"/>
      <c r="Z28" s="797"/>
      <c r="AA28" s="799"/>
      <c r="AB28" s="852"/>
      <c r="AD28" s="781"/>
    </row>
    <row r="29" spans="1:30" s="796" customFormat="1" x14ac:dyDescent="0.3">
      <c r="A29" s="797"/>
      <c r="B29" s="797"/>
      <c r="C29" s="797"/>
      <c r="E29" s="797"/>
      <c r="F29" s="797"/>
      <c r="G29" s="797"/>
      <c r="H29" s="797"/>
      <c r="I29" s="797"/>
      <c r="J29" s="797"/>
      <c r="K29" s="797"/>
      <c r="L29" s="797"/>
      <c r="M29" s="797"/>
      <c r="N29" s="797"/>
      <c r="O29" s="797"/>
      <c r="P29" s="797"/>
      <c r="Q29" s="797"/>
      <c r="R29" s="797"/>
      <c r="S29" s="797"/>
      <c r="T29" s="803"/>
      <c r="U29" s="797"/>
      <c r="V29" s="797"/>
      <c r="W29" s="797"/>
      <c r="X29" s="797"/>
      <c r="Y29" s="797"/>
      <c r="Z29" s="797"/>
      <c r="AA29" s="799"/>
      <c r="AB29" s="797"/>
      <c r="AD29" s="781"/>
    </row>
    <row r="30" spans="1:30" s="796" customFormat="1" x14ac:dyDescent="0.3">
      <c r="A30" s="797"/>
      <c r="B30" s="797"/>
      <c r="C30" s="797"/>
      <c r="E30" s="797"/>
      <c r="F30" s="797"/>
      <c r="G30" s="797"/>
      <c r="H30" s="797"/>
      <c r="I30" s="797"/>
      <c r="J30" s="797"/>
      <c r="K30" s="797"/>
      <c r="L30" s="797"/>
      <c r="M30" s="797"/>
      <c r="N30" s="797"/>
      <c r="O30" s="797"/>
      <c r="P30" s="797"/>
      <c r="Q30" s="797"/>
      <c r="R30" s="797"/>
      <c r="S30" s="797"/>
      <c r="T30" s="803"/>
      <c r="U30" s="797"/>
      <c r="V30" s="797"/>
      <c r="W30" s="797"/>
      <c r="X30" s="797"/>
      <c r="Y30" s="797"/>
      <c r="Z30" s="797"/>
      <c r="AA30" s="799"/>
      <c r="AB30" s="797"/>
      <c r="AD30" s="781"/>
    </row>
    <row r="31" spans="1:30" s="796" customFormat="1" x14ac:dyDescent="0.3">
      <c r="A31" s="797"/>
      <c r="B31" s="797"/>
      <c r="C31" s="797"/>
      <c r="E31" s="797"/>
      <c r="F31" s="797"/>
      <c r="G31" s="797"/>
      <c r="H31" s="797"/>
      <c r="I31" s="797"/>
      <c r="J31" s="797"/>
      <c r="K31" s="797"/>
      <c r="L31" s="797"/>
      <c r="M31" s="797"/>
      <c r="N31" s="797"/>
      <c r="O31" s="797"/>
      <c r="P31" s="797"/>
      <c r="Q31" s="797"/>
      <c r="R31" s="797"/>
      <c r="S31" s="797"/>
      <c r="T31" s="803"/>
      <c r="U31" s="797"/>
      <c r="V31" s="797"/>
      <c r="W31" s="797"/>
      <c r="X31" s="797"/>
      <c r="Y31" s="797"/>
      <c r="Z31" s="797"/>
      <c r="AA31" s="799"/>
      <c r="AB31" s="797"/>
      <c r="AD31" s="781"/>
    </row>
    <row r="32" spans="1:30" s="796" customFormat="1" x14ac:dyDescent="0.3">
      <c r="A32" s="797"/>
      <c r="B32" s="797"/>
      <c r="C32" s="797"/>
      <c r="E32" s="797"/>
      <c r="F32" s="797"/>
      <c r="G32" s="797"/>
      <c r="H32" s="797"/>
      <c r="I32" s="797"/>
      <c r="J32" s="797"/>
      <c r="K32" s="797"/>
      <c r="L32" s="797"/>
      <c r="M32" s="797"/>
      <c r="N32" s="797"/>
      <c r="O32" s="797"/>
      <c r="P32" s="797"/>
      <c r="Q32" s="797"/>
      <c r="R32" s="797"/>
      <c r="S32" s="797"/>
      <c r="T32" s="803"/>
      <c r="U32" s="797"/>
      <c r="V32" s="797"/>
      <c r="W32" s="797"/>
      <c r="X32" s="797"/>
      <c r="Y32" s="797"/>
      <c r="Z32" s="797"/>
      <c r="AA32" s="799"/>
      <c r="AB32" s="797"/>
      <c r="AD32" s="781"/>
    </row>
    <row r="33" spans="1:30" s="796" customFormat="1" x14ac:dyDescent="0.3">
      <c r="A33" s="797"/>
      <c r="B33" s="797"/>
      <c r="C33" s="797"/>
      <c r="E33" s="797"/>
      <c r="F33" s="797"/>
      <c r="G33" s="797"/>
      <c r="H33" s="797"/>
      <c r="I33" s="797"/>
      <c r="J33" s="797"/>
      <c r="K33" s="797"/>
      <c r="L33" s="797"/>
      <c r="M33" s="797"/>
      <c r="N33" s="797"/>
      <c r="O33" s="797"/>
      <c r="P33" s="797"/>
      <c r="Q33" s="797"/>
      <c r="R33" s="797"/>
      <c r="S33" s="797"/>
      <c r="T33" s="803"/>
      <c r="U33" s="797"/>
      <c r="V33" s="797"/>
      <c r="W33" s="797"/>
      <c r="X33" s="797"/>
      <c r="Y33" s="797"/>
      <c r="Z33" s="797"/>
      <c r="AA33" s="799"/>
      <c r="AB33" s="797"/>
      <c r="AD33" s="781"/>
    </row>
    <row r="34" spans="1:30" s="796" customFormat="1" x14ac:dyDescent="0.3">
      <c r="A34" s="797"/>
      <c r="B34" s="797"/>
      <c r="C34" s="797"/>
      <c r="E34" s="797"/>
      <c r="F34" s="797"/>
      <c r="G34" s="797"/>
      <c r="H34" s="797"/>
      <c r="I34" s="797"/>
      <c r="J34" s="797"/>
      <c r="K34" s="797"/>
      <c r="L34" s="797"/>
      <c r="M34" s="797"/>
      <c r="N34" s="797"/>
      <c r="O34" s="797"/>
      <c r="P34" s="797"/>
      <c r="Q34" s="797"/>
      <c r="R34" s="797"/>
      <c r="S34" s="797"/>
      <c r="T34" s="803"/>
      <c r="U34" s="797"/>
      <c r="V34" s="797"/>
      <c r="W34" s="797"/>
      <c r="X34" s="797"/>
      <c r="Y34" s="797"/>
      <c r="Z34" s="797"/>
      <c r="AA34" s="799"/>
      <c r="AB34" s="797"/>
      <c r="AD34" s="781"/>
    </row>
    <row r="35" spans="1:30" s="796" customFormat="1" x14ac:dyDescent="0.3">
      <c r="A35" s="797"/>
      <c r="B35" s="797"/>
      <c r="C35" s="797"/>
      <c r="E35" s="797"/>
      <c r="F35" s="797"/>
      <c r="G35" s="797"/>
      <c r="H35" s="797"/>
      <c r="I35" s="797"/>
      <c r="J35" s="797"/>
      <c r="K35" s="797"/>
      <c r="L35" s="797"/>
      <c r="M35" s="797"/>
      <c r="N35" s="797"/>
      <c r="O35" s="797"/>
      <c r="P35" s="797"/>
      <c r="Q35" s="797"/>
      <c r="R35" s="797"/>
      <c r="S35" s="797"/>
      <c r="T35" s="803"/>
      <c r="U35" s="797"/>
      <c r="V35" s="797"/>
      <c r="W35" s="797"/>
      <c r="X35" s="797"/>
      <c r="Y35" s="797"/>
      <c r="Z35" s="797"/>
      <c r="AA35" s="799"/>
      <c r="AB35" s="797"/>
      <c r="AD35" s="781"/>
    </row>
    <row r="36" spans="1:30" x14ac:dyDescent="0.3">
      <c r="AD36" s="161"/>
    </row>
    <row r="37" spans="1:30" x14ac:dyDescent="0.3">
      <c r="AD37" s="161"/>
    </row>
    <row r="38" spans="1:30" x14ac:dyDescent="0.3">
      <c r="AD38" s="161"/>
    </row>
    <row r="39" spans="1:30" x14ac:dyDescent="0.3">
      <c r="AD39" s="161"/>
    </row>
    <row r="40" spans="1:30" x14ac:dyDescent="0.3">
      <c r="AD40" s="161"/>
    </row>
    <row r="41" spans="1:30" x14ac:dyDescent="0.3">
      <c r="AD41" s="161"/>
    </row>
  </sheetData>
  <autoFilter ref="T8:AC41">
    <filterColumn colId="1" showButton="0"/>
    <filterColumn colId="2" showButton="0"/>
    <filterColumn colId="3" showButton="0"/>
  </autoFilter>
  <mergeCells count="15">
    <mergeCell ref="E3:AB3"/>
    <mergeCell ref="E6:AL6"/>
    <mergeCell ref="A8:A9"/>
    <mergeCell ref="D8:D9"/>
    <mergeCell ref="B8:C9"/>
    <mergeCell ref="U8:X8"/>
    <mergeCell ref="E8:E9"/>
    <mergeCell ref="T8:T9"/>
    <mergeCell ref="Y8:Y9"/>
    <mergeCell ref="AB8:AB9"/>
    <mergeCell ref="Z8:Z9"/>
    <mergeCell ref="AA8:AA9"/>
    <mergeCell ref="E5:AB5"/>
    <mergeCell ref="E4:AB4"/>
    <mergeCell ref="F8:S8"/>
  </mergeCells>
  <phoneticPr fontId="0" type="noConversion"/>
  <printOptions horizontalCentered="1"/>
  <pageMargins left="0.82" right="0.16" top="0.27" bottom="0.31" header="0.23" footer="0.27"/>
  <pageSetup scale="98"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8">
    <tabColor rgb="FF00FF00"/>
  </sheetPr>
  <dimension ref="A1:AM66"/>
  <sheetViews>
    <sheetView zoomScale="120" zoomScaleNormal="120" workbookViewId="0">
      <selection activeCell="AD8" sqref="AD8:AD53"/>
    </sheetView>
  </sheetViews>
  <sheetFormatPr defaultRowHeight="18.75" x14ac:dyDescent="0.3"/>
  <cols>
    <col min="1" max="1" width="4.09765625" style="1" customWidth="1"/>
    <col min="2" max="2" width="4.5" style="1" customWidth="1"/>
    <col min="3" max="3" width="4.3984375" style="1" customWidth="1"/>
    <col min="4" max="4" width="19.69921875" customWidth="1"/>
    <col min="5" max="5" width="7.59765625" style="1" customWidth="1"/>
    <col min="6" max="21" width="2.59765625" style="1" customWidth="1"/>
    <col min="22" max="22" width="3.796875" style="25" customWidth="1"/>
    <col min="23" max="25" width="2.19921875" style="22" hidden="1" customWidth="1"/>
    <col min="26" max="27" width="3.3984375" style="1" hidden="1" customWidth="1"/>
    <col min="28" max="28" width="3.5" style="1" customWidth="1"/>
    <col min="29" max="29" width="5.3984375" style="15" hidden="1" customWidth="1"/>
    <col min="30" max="30" width="19.19921875" style="1" customWidth="1"/>
    <col min="31" max="31" width="2.796875" customWidth="1"/>
    <col min="32" max="32" width="3.69921875" style="461" customWidth="1"/>
    <col min="33" max="33" width="8.09765625" customWidth="1"/>
  </cols>
  <sheetData>
    <row r="1" spans="1:39" s="806" customFormat="1" ht="6.75" customHeight="1" x14ac:dyDescent="0.3">
      <c r="A1" s="807"/>
      <c r="B1" s="807"/>
      <c r="C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07"/>
      <c r="S1" s="807"/>
      <c r="T1" s="807"/>
      <c r="U1" s="807"/>
      <c r="V1" s="827"/>
      <c r="W1" s="807"/>
      <c r="X1" s="807"/>
      <c r="Y1" s="807"/>
      <c r="Z1" s="807"/>
      <c r="AA1" s="807"/>
      <c r="AB1" s="807"/>
      <c r="AC1" s="808"/>
      <c r="AD1" s="807"/>
    </row>
    <row r="2" spans="1:39" s="761" customFormat="1" ht="15.75" x14ac:dyDescent="0.25">
      <c r="B2" s="763"/>
      <c r="C2" s="763"/>
      <c r="D2" s="763"/>
      <c r="E2" s="1046" t="s">
        <v>2237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  <c r="X2" s="1046"/>
      <c r="Y2" s="1046"/>
      <c r="Z2" s="1046"/>
      <c r="AA2" s="1046"/>
      <c r="AB2" s="1046"/>
      <c r="AC2" s="1046"/>
      <c r="AD2" s="1046"/>
    </row>
    <row r="3" spans="1:39" s="761" customFormat="1" ht="15.75" x14ac:dyDescent="0.25">
      <c r="B3" s="763"/>
      <c r="C3" s="763"/>
      <c r="D3" s="763"/>
      <c r="E3" s="1046" t="s">
        <v>2318</v>
      </c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1046"/>
      <c r="W3" s="1046"/>
      <c r="X3" s="1046"/>
      <c r="Y3" s="1046"/>
      <c r="Z3" s="1046"/>
      <c r="AA3" s="1046"/>
      <c r="AB3" s="1046"/>
      <c r="AC3" s="1046"/>
      <c r="AD3" s="1046"/>
    </row>
    <row r="4" spans="1:39" s="761" customFormat="1" ht="15.75" customHeight="1" x14ac:dyDescent="0.25">
      <c r="B4" s="763"/>
      <c r="C4" s="763"/>
      <c r="D4" s="763"/>
      <c r="E4" s="1052" t="s">
        <v>2319</v>
      </c>
      <c r="F4" s="1052"/>
      <c r="G4" s="1052"/>
      <c r="H4" s="1052"/>
      <c r="I4" s="1052"/>
      <c r="J4" s="1052"/>
      <c r="K4" s="1052"/>
      <c r="L4" s="1052"/>
      <c r="M4" s="1052"/>
      <c r="N4" s="1052"/>
      <c r="O4" s="1052"/>
      <c r="P4" s="1052"/>
      <c r="Q4" s="1052"/>
      <c r="R4" s="1052"/>
      <c r="S4" s="1052"/>
      <c r="T4" s="1052"/>
      <c r="U4" s="1052"/>
      <c r="V4" s="1052"/>
      <c r="W4" s="1052"/>
      <c r="X4" s="1052"/>
      <c r="Y4" s="1052"/>
      <c r="Z4" s="1052"/>
      <c r="AA4" s="1052"/>
      <c r="AB4" s="1052"/>
      <c r="AC4" s="1052"/>
      <c r="AD4" s="1052"/>
      <c r="AE4" s="1052"/>
      <c r="AF4" s="1052"/>
      <c r="AG4" s="1052"/>
      <c r="AH4" s="1052"/>
      <c r="AI4" s="1052"/>
      <c r="AJ4" s="1052"/>
      <c r="AK4" s="1052"/>
      <c r="AL4" s="1052"/>
      <c r="AM4" s="1052"/>
    </row>
    <row r="5" spans="1:39" s="806" customFormat="1" ht="10.5" customHeight="1" thickBot="1" x14ac:dyDescent="0.4">
      <c r="A5" s="809"/>
      <c r="B5" s="809"/>
      <c r="C5" s="809"/>
      <c r="D5" s="809"/>
      <c r="E5" s="809"/>
      <c r="F5" s="809"/>
      <c r="G5" s="809"/>
      <c r="H5" s="809"/>
      <c r="I5" s="809"/>
      <c r="J5" s="809"/>
      <c r="K5" s="809"/>
      <c r="L5" s="809"/>
      <c r="M5" s="809"/>
      <c r="N5" s="809"/>
      <c r="O5" s="809"/>
      <c r="P5" s="809"/>
      <c r="Q5" s="809"/>
      <c r="R5" s="809"/>
      <c r="S5" s="809"/>
      <c r="T5" s="809"/>
      <c r="U5" s="809"/>
      <c r="V5" s="828"/>
      <c r="W5" s="809"/>
      <c r="X5" s="809"/>
      <c r="Y5" s="809"/>
      <c r="Z5" s="809"/>
      <c r="AA5" s="809"/>
      <c r="AB5" s="809"/>
      <c r="AC5" s="809"/>
      <c r="AD5" s="809"/>
      <c r="AE5" s="812"/>
    </row>
    <row r="6" spans="1:39" s="780" customFormat="1" ht="32.25" customHeight="1" thickTop="1" x14ac:dyDescent="0.25">
      <c r="A6" s="1056" t="s">
        <v>91</v>
      </c>
      <c r="B6" s="1060" t="s">
        <v>2118</v>
      </c>
      <c r="C6" s="1061"/>
      <c r="D6" s="1058" t="s">
        <v>2119</v>
      </c>
      <c r="E6" s="1058" t="s">
        <v>2120</v>
      </c>
      <c r="F6" s="1107" t="s">
        <v>2229</v>
      </c>
      <c r="G6" s="1108"/>
      <c r="H6" s="1108"/>
      <c r="I6" s="1108"/>
      <c r="J6" s="1108"/>
      <c r="K6" s="1108"/>
      <c r="L6" s="1108"/>
      <c r="M6" s="1108"/>
      <c r="N6" s="1108"/>
      <c r="O6" s="1108"/>
      <c r="P6" s="1108"/>
      <c r="Q6" s="1108"/>
      <c r="R6" s="1108"/>
      <c r="S6" s="1108"/>
      <c r="T6" s="1108"/>
      <c r="U6" s="1109"/>
      <c r="V6" s="1069" t="s">
        <v>2107</v>
      </c>
      <c r="W6" s="1053" t="s">
        <v>104</v>
      </c>
      <c r="X6" s="1054"/>
      <c r="Y6" s="1054"/>
      <c r="Z6" s="1055"/>
      <c r="AA6" s="1048" t="s">
        <v>99</v>
      </c>
      <c r="AB6" s="1048" t="s">
        <v>2108</v>
      </c>
      <c r="AC6" s="1048" t="s">
        <v>103</v>
      </c>
      <c r="AD6" s="1067" t="s">
        <v>2121</v>
      </c>
    </row>
    <row r="7" spans="1:39" s="780" customFormat="1" ht="164.25" customHeight="1" x14ac:dyDescent="0.25">
      <c r="A7" s="1057"/>
      <c r="B7" s="1062"/>
      <c r="C7" s="1063"/>
      <c r="D7" s="1059"/>
      <c r="E7" s="1059"/>
      <c r="F7" s="734" t="s">
        <v>2128</v>
      </c>
      <c r="G7" s="734" t="s">
        <v>2109</v>
      </c>
      <c r="H7" s="734" t="s">
        <v>2219</v>
      </c>
      <c r="I7" s="734" t="s">
        <v>2097</v>
      </c>
      <c r="J7" s="734" t="s">
        <v>2187</v>
      </c>
      <c r="K7" s="734" t="s">
        <v>2188</v>
      </c>
      <c r="L7" s="734" t="s">
        <v>2189</v>
      </c>
      <c r="M7" s="735" t="s">
        <v>2191</v>
      </c>
      <c r="N7" s="735" t="s">
        <v>2256</v>
      </c>
      <c r="O7" s="735" t="s">
        <v>2228</v>
      </c>
      <c r="P7" s="735" t="s">
        <v>2192</v>
      </c>
      <c r="Q7" s="735" t="s">
        <v>2095</v>
      </c>
      <c r="R7" s="734" t="s">
        <v>2113</v>
      </c>
      <c r="S7" s="736" t="s">
        <v>2193</v>
      </c>
      <c r="T7" s="736" t="s">
        <v>2194</v>
      </c>
      <c r="U7" s="737" t="s">
        <v>2165</v>
      </c>
      <c r="V7" s="1070"/>
      <c r="W7" s="718" t="s">
        <v>108</v>
      </c>
      <c r="X7" s="718" t="s">
        <v>97</v>
      </c>
      <c r="Y7" s="718" t="s">
        <v>96</v>
      </c>
      <c r="Z7" s="719" t="s">
        <v>98</v>
      </c>
      <c r="AA7" s="1049"/>
      <c r="AB7" s="1049"/>
      <c r="AC7" s="1049"/>
      <c r="AD7" s="1068"/>
      <c r="AE7" s="780" t="s">
        <v>94</v>
      </c>
    </row>
    <row r="8" spans="1:39" s="784" customFormat="1" ht="15.75" customHeight="1" x14ac:dyDescent="0.25">
      <c r="A8" s="741">
        <v>1</v>
      </c>
      <c r="B8" s="752"/>
      <c r="C8" s="743">
        <v>2026</v>
      </c>
      <c r="D8" s="690" t="s">
        <v>4066</v>
      </c>
      <c r="E8" s="687" t="s">
        <v>817</v>
      </c>
      <c r="F8" s="705"/>
      <c r="G8" s="705"/>
      <c r="H8" s="705"/>
      <c r="I8" s="705"/>
      <c r="J8" s="705"/>
      <c r="K8" s="705"/>
      <c r="L8" s="705"/>
      <c r="M8" s="705"/>
      <c r="N8" s="705"/>
      <c r="O8" s="705"/>
      <c r="P8" s="705"/>
      <c r="Q8" s="705"/>
      <c r="R8" s="705"/>
      <c r="S8" s="705"/>
      <c r="T8" s="705"/>
      <c r="U8" s="705"/>
      <c r="V8" s="776">
        <f>SUM(F8:U8)/16</f>
        <v>0</v>
      </c>
      <c r="W8" s="705"/>
      <c r="X8" s="705"/>
      <c r="Y8" s="705"/>
      <c r="Z8" s="776"/>
      <c r="AA8" s="776"/>
      <c r="AB8" s="819"/>
      <c r="AC8" s="813"/>
      <c r="AD8" s="694" t="s">
        <v>4138</v>
      </c>
      <c r="AF8" s="781" t="e">
        <f t="shared" ref="AF8:AF53" si="0">AVERAGE(F8:U8)</f>
        <v>#DIV/0!</v>
      </c>
    </row>
    <row r="9" spans="1:39" s="784" customFormat="1" ht="15.75" customHeight="1" x14ac:dyDescent="0.25">
      <c r="A9" s="744">
        <v>2</v>
      </c>
      <c r="B9" s="745"/>
      <c r="C9" s="746">
        <v>2026</v>
      </c>
      <c r="D9" s="685" t="s">
        <v>4067</v>
      </c>
      <c r="E9" s="689" t="s">
        <v>3741</v>
      </c>
      <c r="F9" s="707"/>
      <c r="G9" s="707"/>
      <c r="H9" s="707"/>
      <c r="I9" s="707"/>
      <c r="J9" s="707"/>
      <c r="K9" s="707"/>
      <c r="L9" s="707"/>
      <c r="M9" s="707"/>
      <c r="N9" s="707"/>
      <c r="O9" s="707"/>
      <c r="P9" s="707"/>
      <c r="Q9" s="707"/>
      <c r="R9" s="707"/>
      <c r="S9" s="707"/>
      <c r="T9" s="707"/>
      <c r="U9" s="707"/>
      <c r="V9" s="782">
        <f>SUM(F9:U9)/16</f>
        <v>0</v>
      </c>
      <c r="W9" s="707"/>
      <c r="X9" s="707"/>
      <c r="Y9" s="707"/>
      <c r="Z9" s="782"/>
      <c r="AA9" s="782"/>
      <c r="AB9" s="778"/>
      <c r="AC9" s="814"/>
      <c r="AD9" s="695" t="s">
        <v>3004</v>
      </c>
      <c r="AF9" s="781" t="e">
        <f t="shared" si="0"/>
        <v>#DIV/0!</v>
      </c>
    </row>
    <row r="10" spans="1:39" s="784" customFormat="1" ht="15.75" customHeight="1" x14ac:dyDescent="0.25">
      <c r="A10" s="744">
        <v>3</v>
      </c>
      <c r="B10" s="745"/>
      <c r="C10" s="746">
        <v>2026</v>
      </c>
      <c r="D10" s="696" t="s">
        <v>4068</v>
      </c>
      <c r="E10" s="689" t="s">
        <v>3631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7"/>
      <c r="R10" s="707"/>
      <c r="S10" s="707"/>
      <c r="T10" s="707"/>
      <c r="U10" s="707"/>
      <c r="V10" s="782">
        <f t="shared" ref="V10:V53" si="1">SUM(F10:U10)/16</f>
        <v>0</v>
      </c>
      <c r="W10" s="707"/>
      <c r="X10" s="707"/>
      <c r="Y10" s="707"/>
      <c r="Z10" s="782"/>
      <c r="AA10" s="782"/>
      <c r="AB10" s="778"/>
      <c r="AC10" s="814"/>
      <c r="AD10" s="695" t="s">
        <v>4139</v>
      </c>
      <c r="AF10" s="781" t="e">
        <f t="shared" si="0"/>
        <v>#DIV/0!</v>
      </c>
    </row>
    <row r="11" spans="1:39" s="784" customFormat="1" ht="15.75" customHeight="1" x14ac:dyDescent="0.25">
      <c r="A11" s="744">
        <v>4</v>
      </c>
      <c r="B11" s="745"/>
      <c r="C11" s="746">
        <v>2026</v>
      </c>
      <c r="D11" s="685" t="s">
        <v>4069</v>
      </c>
      <c r="E11" s="689" t="s">
        <v>2462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07"/>
      <c r="R11" s="707"/>
      <c r="S11" s="707"/>
      <c r="T11" s="707"/>
      <c r="U11" s="707"/>
      <c r="V11" s="782">
        <f t="shared" si="1"/>
        <v>0</v>
      </c>
      <c r="W11" s="707"/>
      <c r="X11" s="707"/>
      <c r="Y11" s="707"/>
      <c r="Z11" s="782"/>
      <c r="AA11" s="782"/>
      <c r="AB11" s="778"/>
      <c r="AC11" s="814"/>
      <c r="AD11" s="695" t="s">
        <v>4140</v>
      </c>
      <c r="AF11" s="781" t="e">
        <f t="shared" si="0"/>
        <v>#DIV/0!</v>
      </c>
    </row>
    <row r="12" spans="1:39" s="784" customFormat="1" ht="15.75" customHeight="1" x14ac:dyDescent="0.25">
      <c r="A12" s="744">
        <v>5</v>
      </c>
      <c r="B12" s="745"/>
      <c r="C12" s="746">
        <v>2026</v>
      </c>
      <c r="D12" s="685" t="s">
        <v>4070</v>
      </c>
      <c r="E12" s="689" t="s">
        <v>4071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07"/>
      <c r="R12" s="707"/>
      <c r="S12" s="707"/>
      <c r="T12" s="707"/>
      <c r="U12" s="707"/>
      <c r="V12" s="782">
        <f t="shared" si="1"/>
        <v>0</v>
      </c>
      <c r="W12" s="707"/>
      <c r="X12" s="707"/>
      <c r="Y12" s="707"/>
      <c r="Z12" s="782"/>
      <c r="AA12" s="782"/>
      <c r="AB12" s="778"/>
      <c r="AC12" s="814"/>
      <c r="AD12" s="695" t="s">
        <v>4141</v>
      </c>
      <c r="AF12" s="781" t="e">
        <f t="shared" si="0"/>
        <v>#DIV/0!</v>
      </c>
    </row>
    <row r="13" spans="1:39" s="784" customFormat="1" ht="15.75" customHeight="1" x14ac:dyDescent="0.25">
      <c r="A13" s="744">
        <v>6</v>
      </c>
      <c r="B13" s="745"/>
      <c r="C13" s="746">
        <v>2026</v>
      </c>
      <c r="D13" s="685" t="s">
        <v>4072</v>
      </c>
      <c r="E13" s="689" t="s">
        <v>4073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07"/>
      <c r="R13" s="707"/>
      <c r="S13" s="707"/>
      <c r="T13" s="707"/>
      <c r="U13" s="707"/>
      <c r="V13" s="782">
        <f t="shared" si="1"/>
        <v>0</v>
      </c>
      <c r="W13" s="707"/>
      <c r="X13" s="707"/>
      <c r="Y13" s="707"/>
      <c r="Z13" s="782"/>
      <c r="AA13" s="782"/>
      <c r="AB13" s="778"/>
      <c r="AC13" s="814"/>
      <c r="AD13" s="695" t="s">
        <v>2492</v>
      </c>
      <c r="AF13" s="781" t="e">
        <f t="shared" si="0"/>
        <v>#DIV/0!</v>
      </c>
    </row>
    <row r="14" spans="1:39" s="784" customFormat="1" ht="15.75" customHeight="1" x14ac:dyDescent="0.25">
      <c r="A14" s="744">
        <v>7</v>
      </c>
      <c r="B14" s="745"/>
      <c r="C14" s="746">
        <v>2026</v>
      </c>
      <c r="D14" s="685" t="s">
        <v>4074</v>
      </c>
      <c r="E14" s="689" t="s">
        <v>996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07"/>
      <c r="S14" s="707"/>
      <c r="T14" s="707"/>
      <c r="U14" s="707"/>
      <c r="V14" s="782">
        <f t="shared" si="1"/>
        <v>0</v>
      </c>
      <c r="W14" s="707"/>
      <c r="X14" s="707"/>
      <c r="Y14" s="707"/>
      <c r="Z14" s="782"/>
      <c r="AA14" s="782"/>
      <c r="AB14" s="778"/>
      <c r="AC14" s="814"/>
      <c r="AD14" s="695" t="s">
        <v>4142</v>
      </c>
      <c r="AF14" s="781" t="e">
        <f t="shared" si="0"/>
        <v>#DIV/0!</v>
      </c>
    </row>
    <row r="15" spans="1:39" s="784" customFormat="1" ht="15.75" customHeight="1" x14ac:dyDescent="0.25">
      <c r="A15" s="744">
        <v>8</v>
      </c>
      <c r="B15" s="745"/>
      <c r="C15" s="746">
        <v>2026</v>
      </c>
      <c r="D15" s="685" t="s">
        <v>4075</v>
      </c>
      <c r="E15" s="689" t="s">
        <v>4076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07"/>
      <c r="R15" s="707"/>
      <c r="S15" s="707"/>
      <c r="T15" s="707"/>
      <c r="U15" s="707"/>
      <c r="V15" s="782">
        <f t="shared" si="1"/>
        <v>0</v>
      </c>
      <c r="W15" s="707"/>
      <c r="X15" s="707"/>
      <c r="Y15" s="707"/>
      <c r="Z15" s="782"/>
      <c r="AA15" s="782"/>
      <c r="AB15" s="778"/>
      <c r="AC15" s="814"/>
      <c r="AD15" s="695" t="s">
        <v>4143</v>
      </c>
      <c r="AF15" s="781" t="e">
        <f t="shared" si="0"/>
        <v>#DIV/0!</v>
      </c>
    </row>
    <row r="16" spans="1:39" s="784" customFormat="1" ht="15.75" customHeight="1" x14ac:dyDescent="0.25">
      <c r="A16" s="744">
        <v>9</v>
      </c>
      <c r="B16" s="745"/>
      <c r="C16" s="746">
        <v>2026</v>
      </c>
      <c r="D16" s="685" t="s">
        <v>4077</v>
      </c>
      <c r="E16" s="689" t="s">
        <v>4078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07"/>
      <c r="R16" s="707"/>
      <c r="S16" s="707"/>
      <c r="T16" s="707"/>
      <c r="U16" s="707"/>
      <c r="V16" s="782">
        <f t="shared" si="1"/>
        <v>0</v>
      </c>
      <c r="W16" s="707"/>
      <c r="X16" s="707"/>
      <c r="Y16" s="707"/>
      <c r="Z16" s="782"/>
      <c r="AA16" s="782"/>
      <c r="AB16" s="778"/>
      <c r="AC16" s="814"/>
      <c r="AD16" s="695" t="s">
        <v>2487</v>
      </c>
      <c r="AF16" s="781" t="e">
        <f t="shared" si="0"/>
        <v>#DIV/0!</v>
      </c>
      <c r="AG16" s="784" t="s">
        <v>333</v>
      </c>
    </row>
    <row r="17" spans="1:32" s="784" customFormat="1" ht="15.75" customHeight="1" x14ac:dyDescent="0.25">
      <c r="A17" s="744">
        <v>10</v>
      </c>
      <c r="B17" s="745"/>
      <c r="C17" s="746">
        <v>2026</v>
      </c>
      <c r="D17" s="685" t="s">
        <v>4079</v>
      </c>
      <c r="E17" s="689" t="s">
        <v>2469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07"/>
      <c r="S17" s="707"/>
      <c r="T17" s="707"/>
      <c r="U17" s="707"/>
      <c r="V17" s="782">
        <f t="shared" si="1"/>
        <v>0</v>
      </c>
      <c r="W17" s="707"/>
      <c r="X17" s="707"/>
      <c r="Y17" s="707"/>
      <c r="Z17" s="782"/>
      <c r="AA17" s="782"/>
      <c r="AB17" s="778"/>
      <c r="AC17" s="814"/>
      <c r="AD17" s="695" t="s">
        <v>2970</v>
      </c>
      <c r="AF17" s="781" t="e">
        <f t="shared" si="0"/>
        <v>#DIV/0!</v>
      </c>
    </row>
    <row r="18" spans="1:32" s="784" customFormat="1" ht="15.75" customHeight="1" x14ac:dyDescent="0.25">
      <c r="A18" s="744">
        <v>11</v>
      </c>
      <c r="B18" s="745"/>
      <c r="C18" s="746">
        <v>2026</v>
      </c>
      <c r="D18" s="685" t="s">
        <v>3070</v>
      </c>
      <c r="E18" s="689" t="s">
        <v>4080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07"/>
      <c r="R18" s="707"/>
      <c r="S18" s="707"/>
      <c r="T18" s="707"/>
      <c r="U18" s="707"/>
      <c r="V18" s="782">
        <f t="shared" si="1"/>
        <v>0</v>
      </c>
      <c r="W18" s="707"/>
      <c r="X18" s="707"/>
      <c r="Y18" s="707"/>
      <c r="Z18" s="782"/>
      <c r="AA18" s="782"/>
      <c r="AB18" s="778"/>
      <c r="AC18" s="814"/>
      <c r="AD18" s="695" t="s">
        <v>4143</v>
      </c>
      <c r="AF18" s="781" t="e">
        <f t="shared" si="0"/>
        <v>#DIV/0!</v>
      </c>
    </row>
    <row r="19" spans="1:32" s="784" customFormat="1" ht="15.75" customHeight="1" x14ac:dyDescent="0.25">
      <c r="A19" s="744">
        <v>12</v>
      </c>
      <c r="B19" s="745"/>
      <c r="C19" s="746">
        <v>2026</v>
      </c>
      <c r="D19" s="685" t="s">
        <v>2786</v>
      </c>
      <c r="E19" s="689" t="s">
        <v>4081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07"/>
      <c r="S19" s="707"/>
      <c r="T19" s="707"/>
      <c r="U19" s="707"/>
      <c r="V19" s="782">
        <f t="shared" si="1"/>
        <v>0</v>
      </c>
      <c r="W19" s="707"/>
      <c r="X19" s="707"/>
      <c r="Y19" s="707"/>
      <c r="Z19" s="782"/>
      <c r="AA19" s="782"/>
      <c r="AB19" s="778"/>
      <c r="AC19" s="814"/>
      <c r="AD19" s="695" t="s">
        <v>4144</v>
      </c>
      <c r="AF19" s="781" t="e">
        <f t="shared" si="0"/>
        <v>#DIV/0!</v>
      </c>
    </row>
    <row r="20" spans="1:32" s="784" customFormat="1" ht="15.75" customHeight="1" x14ac:dyDescent="0.25">
      <c r="A20" s="744">
        <v>13</v>
      </c>
      <c r="B20" s="745"/>
      <c r="C20" s="746">
        <v>2026</v>
      </c>
      <c r="D20" s="685" t="s">
        <v>4082</v>
      </c>
      <c r="E20" s="689" t="s">
        <v>4083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82">
        <f t="shared" si="1"/>
        <v>0</v>
      </c>
      <c r="W20" s="707"/>
      <c r="X20" s="707"/>
      <c r="Y20" s="707"/>
      <c r="Z20" s="782"/>
      <c r="AA20" s="782"/>
      <c r="AB20" s="778"/>
      <c r="AC20" s="814"/>
      <c r="AD20" s="695" t="s">
        <v>4145</v>
      </c>
      <c r="AF20" s="781" t="e">
        <f t="shared" si="0"/>
        <v>#DIV/0!</v>
      </c>
    </row>
    <row r="21" spans="1:32" s="784" customFormat="1" ht="15.75" customHeight="1" x14ac:dyDescent="0.25">
      <c r="A21" s="744">
        <v>14</v>
      </c>
      <c r="B21" s="745"/>
      <c r="C21" s="746">
        <v>2026</v>
      </c>
      <c r="D21" s="685" t="s">
        <v>4084</v>
      </c>
      <c r="E21" s="689" t="s">
        <v>4085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07"/>
      <c r="R21" s="707"/>
      <c r="S21" s="707"/>
      <c r="T21" s="707"/>
      <c r="U21" s="707"/>
      <c r="V21" s="782">
        <f t="shared" si="1"/>
        <v>0</v>
      </c>
      <c r="W21" s="707"/>
      <c r="X21" s="707"/>
      <c r="Y21" s="707"/>
      <c r="Z21" s="782"/>
      <c r="AA21" s="782"/>
      <c r="AB21" s="778"/>
      <c r="AC21" s="814"/>
      <c r="AD21" s="695" t="s">
        <v>4146</v>
      </c>
      <c r="AF21" s="781" t="e">
        <f t="shared" si="0"/>
        <v>#DIV/0!</v>
      </c>
    </row>
    <row r="22" spans="1:32" s="784" customFormat="1" ht="15.75" customHeight="1" x14ac:dyDescent="0.25">
      <c r="A22" s="744">
        <v>15</v>
      </c>
      <c r="B22" s="745"/>
      <c r="C22" s="746">
        <v>2026</v>
      </c>
      <c r="D22" s="685" t="s">
        <v>4086</v>
      </c>
      <c r="E22" s="689" t="s">
        <v>4087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07"/>
      <c r="R22" s="707"/>
      <c r="S22" s="707"/>
      <c r="T22" s="707"/>
      <c r="U22" s="707"/>
      <c r="V22" s="782">
        <f t="shared" si="1"/>
        <v>0</v>
      </c>
      <c r="W22" s="707"/>
      <c r="X22" s="707"/>
      <c r="Y22" s="707"/>
      <c r="Z22" s="782"/>
      <c r="AA22" s="782"/>
      <c r="AB22" s="778"/>
      <c r="AC22" s="814"/>
      <c r="AD22" s="695" t="s">
        <v>4138</v>
      </c>
      <c r="AF22" s="781" t="e">
        <f t="shared" si="0"/>
        <v>#DIV/0!</v>
      </c>
    </row>
    <row r="23" spans="1:32" s="784" customFormat="1" ht="15.75" customHeight="1" x14ac:dyDescent="0.25">
      <c r="A23" s="744">
        <v>16</v>
      </c>
      <c r="B23" s="745"/>
      <c r="C23" s="746">
        <v>2026</v>
      </c>
      <c r="D23" s="685" t="s">
        <v>4088</v>
      </c>
      <c r="E23" s="689" t="s">
        <v>2338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07"/>
      <c r="R23" s="707"/>
      <c r="S23" s="707"/>
      <c r="T23" s="707"/>
      <c r="U23" s="707"/>
      <c r="V23" s="782">
        <f t="shared" si="1"/>
        <v>0</v>
      </c>
      <c r="W23" s="707"/>
      <c r="X23" s="707"/>
      <c r="Y23" s="707"/>
      <c r="Z23" s="782"/>
      <c r="AA23" s="782"/>
      <c r="AB23" s="778"/>
      <c r="AC23" s="814"/>
      <c r="AD23" s="695" t="s">
        <v>4147</v>
      </c>
      <c r="AF23" s="781" t="e">
        <f t="shared" si="0"/>
        <v>#DIV/0!</v>
      </c>
    </row>
    <row r="24" spans="1:32" s="784" customFormat="1" ht="15.75" customHeight="1" x14ac:dyDescent="0.25">
      <c r="A24" s="744">
        <v>17</v>
      </c>
      <c r="B24" s="745"/>
      <c r="C24" s="746">
        <v>2026</v>
      </c>
      <c r="D24" s="685" t="s">
        <v>4089</v>
      </c>
      <c r="E24" s="689" t="s">
        <v>2394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07"/>
      <c r="R24" s="707"/>
      <c r="S24" s="707"/>
      <c r="T24" s="707"/>
      <c r="U24" s="707"/>
      <c r="V24" s="782">
        <f t="shared" si="1"/>
        <v>0</v>
      </c>
      <c r="W24" s="707"/>
      <c r="X24" s="707"/>
      <c r="Y24" s="707"/>
      <c r="Z24" s="782"/>
      <c r="AA24" s="782"/>
      <c r="AB24" s="778"/>
      <c r="AC24" s="814"/>
      <c r="AD24" s="695" t="s">
        <v>2976</v>
      </c>
      <c r="AF24" s="781" t="e">
        <f t="shared" si="0"/>
        <v>#DIV/0!</v>
      </c>
    </row>
    <row r="25" spans="1:32" s="784" customFormat="1" ht="15.75" customHeight="1" x14ac:dyDescent="0.25">
      <c r="A25" s="744">
        <v>18</v>
      </c>
      <c r="B25" s="745"/>
      <c r="C25" s="746">
        <v>2026</v>
      </c>
      <c r="D25" s="685" t="s">
        <v>4090</v>
      </c>
      <c r="E25" s="689" t="s">
        <v>3801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07"/>
      <c r="R25" s="707"/>
      <c r="S25" s="707"/>
      <c r="T25" s="707"/>
      <c r="U25" s="707"/>
      <c r="V25" s="782">
        <f t="shared" si="1"/>
        <v>0</v>
      </c>
      <c r="W25" s="707"/>
      <c r="X25" s="707"/>
      <c r="Y25" s="707"/>
      <c r="Z25" s="782"/>
      <c r="AA25" s="782"/>
      <c r="AB25" s="778"/>
      <c r="AC25" s="814"/>
      <c r="AD25" s="695" t="s">
        <v>4148</v>
      </c>
      <c r="AF25" s="781" t="e">
        <f t="shared" si="0"/>
        <v>#DIV/0!</v>
      </c>
    </row>
    <row r="26" spans="1:32" s="784" customFormat="1" ht="15.75" customHeight="1" x14ac:dyDescent="0.25">
      <c r="A26" s="744">
        <v>19</v>
      </c>
      <c r="B26" s="745"/>
      <c r="C26" s="746">
        <v>2026</v>
      </c>
      <c r="D26" s="685" t="s">
        <v>4091</v>
      </c>
      <c r="E26" s="689" t="s">
        <v>4092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07"/>
      <c r="R26" s="707"/>
      <c r="S26" s="707"/>
      <c r="T26" s="707"/>
      <c r="U26" s="707"/>
      <c r="V26" s="782">
        <f t="shared" si="1"/>
        <v>0</v>
      </c>
      <c r="W26" s="707"/>
      <c r="X26" s="707"/>
      <c r="Y26" s="707"/>
      <c r="Z26" s="782"/>
      <c r="AA26" s="782"/>
      <c r="AB26" s="778"/>
      <c r="AC26" s="814"/>
      <c r="AD26" s="695" t="s">
        <v>4142</v>
      </c>
      <c r="AF26" s="781" t="e">
        <f t="shared" si="0"/>
        <v>#DIV/0!</v>
      </c>
    </row>
    <row r="27" spans="1:32" s="784" customFormat="1" ht="15.75" customHeight="1" x14ac:dyDescent="0.25">
      <c r="A27" s="744">
        <v>20</v>
      </c>
      <c r="B27" s="745"/>
      <c r="C27" s="746">
        <v>2026</v>
      </c>
      <c r="D27" s="685" t="s">
        <v>4093</v>
      </c>
      <c r="E27" s="689" t="s">
        <v>4094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07"/>
      <c r="R27" s="707"/>
      <c r="S27" s="707"/>
      <c r="T27" s="707"/>
      <c r="U27" s="707"/>
      <c r="V27" s="782">
        <f t="shared" si="1"/>
        <v>0</v>
      </c>
      <c r="W27" s="707"/>
      <c r="X27" s="707"/>
      <c r="Y27" s="707"/>
      <c r="Z27" s="782"/>
      <c r="AA27" s="782"/>
      <c r="AB27" s="778"/>
      <c r="AC27" s="814"/>
      <c r="AD27" s="695" t="s">
        <v>4149</v>
      </c>
      <c r="AF27" s="781" t="e">
        <f t="shared" si="0"/>
        <v>#DIV/0!</v>
      </c>
    </row>
    <row r="28" spans="1:32" s="784" customFormat="1" ht="15.75" customHeight="1" x14ac:dyDescent="0.25">
      <c r="A28" s="744">
        <v>21</v>
      </c>
      <c r="B28" s="745"/>
      <c r="C28" s="746">
        <v>2026</v>
      </c>
      <c r="D28" s="685" t="s">
        <v>4095</v>
      </c>
      <c r="E28" s="689" t="s">
        <v>4096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07"/>
      <c r="R28" s="707"/>
      <c r="S28" s="707"/>
      <c r="T28" s="707"/>
      <c r="U28" s="707"/>
      <c r="V28" s="782">
        <f t="shared" si="1"/>
        <v>0</v>
      </c>
      <c r="W28" s="707"/>
      <c r="X28" s="707"/>
      <c r="Y28" s="707"/>
      <c r="Z28" s="782"/>
      <c r="AA28" s="782"/>
      <c r="AB28" s="778"/>
      <c r="AC28" s="814"/>
      <c r="AD28" s="695" t="s">
        <v>4150</v>
      </c>
      <c r="AF28" s="781" t="e">
        <f t="shared" si="0"/>
        <v>#DIV/0!</v>
      </c>
    </row>
    <row r="29" spans="1:32" s="784" customFormat="1" ht="15.75" customHeight="1" x14ac:dyDescent="0.25">
      <c r="A29" s="744">
        <v>22</v>
      </c>
      <c r="B29" s="745"/>
      <c r="C29" s="746">
        <v>2026</v>
      </c>
      <c r="D29" s="685" t="s">
        <v>4097</v>
      </c>
      <c r="E29" s="689" t="s">
        <v>3491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07"/>
      <c r="R29" s="707"/>
      <c r="S29" s="707"/>
      <c r="T29" s="707"/>
      <c r="U29" s="707"/>
      <c r="V29" s="782">
        <f t="shared" si="1"/>
        <v>0</v>
      </c>
      <c r="W29" s="707"/>
      <c r="X29" s="707"/>
      <c r="Y29" s="707"/>
      <c r="Z29" s="782"/>
      <c r="AA29" s="782"/>
      <c r="AB29" s="778"/>
      <c r="AC29" s="814"/>
      <c r="AD29" s="695" t="s">
        <v>3004</v>
      </c>
      <c r="AF29" s="781" t="e">
        <f t="shared" si="0"/>
        <v>#DIV/0!</v>
      </c>
    </row>
    <row r="30" spans="1:32" s="784" customFormat="1" ht="15.75" customHeight="1" x14ac:dyDescent="0.25">
      <c r="A30" s="744">
        <v>23</v>
      </c>
      <c r="B30" s="745"/>
      <c r="C30" s="746">
        <v>2026</v>
      </c>
      <c r="D30" s="685" t="s">
        <v>3130</v>
      </c>
      <c r="E30" s="689" t="s">
        <v>4098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07"/>
      <c r="R30" s="707"/>
      <c r="S30" s="707"/>
      <c r="T30" s="707"/>
      <c r="U30" s="707"/>
      <c r="V30" s="782">
        <f t="shared" si="1"/>
        <v>0</v>
      </c>
      <c r="W30" s="707"/>
      <c r="X30" s="707"/>
      <c r="Y30" s="707"/>
      <c r="Z30" s="782"/>
      <c r="AA30" s="782"/>
      <c r="AB30" s="778"/>
      <c r="AC30" s="814"/>
      <c r="AD30" s="695" t="s">
        <v>2497</v>
      </c>
      <c r="AF30" s="781" t="e">
        <f t="shared" si="0"/>
        <v>#DIV/0!</v>
      </c>
    </row>
    <row r="31" spans="1:32" s="784" customFormat="1" ht="15.75" customHeight="1" x14ac:dyDescent="0.25">
      <c r="A31" s="744">
        <v>24</v>
      </c>
      <c r="B31" s="745"/>
      <c r="C31" s="746">
        <v>2026</v>
      </c>
      <c r="D31" s="685" t="s">
        <v>4099</v>
      </c>
      <c r="E31" s="689" t="s">
        <v>4100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07"/>
      <c r="R31" s="707"/>
      <c r="S31" s="707"/>
      <c r="T31" s="707"/>
      <c r="U31" s="707"/>
      <c r="V31" s="782">
        <f t="shared" si="1"/>
        <v>0</v>
      </c>
      <c r="W31" s="707"/>
      <c r="X31" s="707"/>
      <c r="Y31" s="707"/>
      <c r="Z31" s="782"/>
      <c r="AA31" s="782"/>
      <c r="AB31" s="778"/>
      <c r="AC31" s="814"/>
      <c r="AD31" s="695" t="s">
        <v>2497</v>
      </c>
      <c r="AF31" s="781" t="e">
        <f t="shared" si="0"/>
        <v>#DIV/0!</v>
      </c>
    </row>
    <row r="32" spans="1:32" s="784" customFormat="1" ht="15.75" customHeight="1" x14ac:dyDescent="0.25">
      <c r="A32" s="744">
        <v>25</v>
      </c>
      <c r="B32" s="745"/>
      <c r="C32" s="746">
        <v>2026</v>
      </c>
      <c r="D32" s="685" t="s">
        <v>4101</v>
      </c>
      <c r="E32" s="689" t="s">
        <v>3090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07"/>
      <c r="R32" s="707"/>
      <c r="S32" s="707"/>
      <c r="T32" s="707"/>
      <c r="U32" s="707"/>
      <c r="V32" s="782">
        <f t="shared" si="1"/>
        <v>0</v>
      </c>
      <c r="W32" s="707"/>
      <c r="X32" s="707"/>
      <c r="Y32" s="707"/>
      <c r="Z32" s="782"/>
      <c r="AA32" s="782"/>
      <c r="AB32" s="778"/>
      <c r="AC32" s="814"/>
      <c r="AD32" s="695" t="s">
        <v>3004</v>
      </c>
      <c r="AF32" s="781" t="e">
        <f t="shared" si="0"/>
        <v>#DIV/0!</v>
      </c>
    </row>
    <row r="33" spans="1:32" s="784" customFormat="1" ht="15.75" customHeight="1" x14ac:dyDescent="0.25">
      <c r="A33" s="744">
        <v>26</v>
      </c>
      <c r="B33" s="745"/>
      <c r="C33" s="746">
        <v>2026</v>
      </c>
      <c r="D33" s="685" t="s">
        <v>4102</v>
      </c>
      <c r="E33" s="689" t="s">
        <v>4103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07"/>
      <c r="S33" s="707"/>
      <c r="T33" s="707"/>
      <c r="U33" s="707"/>
      <c r="V33" s="782">
        <f t="shared" si="1"/>
        <v>0</v>
      </c>
      <c r="W33" s="707"/>
      <c r="X33" s="707"/>
      <c r="Y33" s="707"/>
      <c r="Z33" s="782"/>
      <c r="AA33" s="782"/>
      <c r="AB33" s="778"/>
      <c r="AC33" s="814"/>
      <c r="AD33" s="695" t="s">
        <v>4143</v>
      </c>
      <c r="AF33" s="781" t="e">
        <f t="shared" si="0"/>
        <v>#DIV/0!</v>
      </c>
    </row>
    <row r="34" spans="1:32" s="784" customFormat="1" ht="15.75" customHeight="1" x14ac:dyDescent="0.25">
      <c r="A34" s="744">
        <v>27</v>
      </c>
      <c r="B34" s="745"/>
      <c r="C34" s="746">
        <v>2026</v>
      </c>
      <c r="D34" s="685" t="s">
        <v>4104</v>
      </c>
      <c r="E34" s="689" t="s">
        <v>4105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07"/>
      <c r="S34" s="707"/>
      <c r="T34" s="707"/>
      <c r="U34" s="707"/>
      <c r="V34" s="782">
        <f t="shared" si="1"/>
        <v>0</v>
      </c>
      <c r="W34" s="707"/>
      <c r="X34" s="707"/>
      <c r="Y34" s="707"/>
      <c r="Z34" s="782"/>
      <c r="AA34" s="782"/>
      <c r="AB34" s="778"/>
      <c r="AC34" s="814"/>
      <c r="AD34" s="695" t="s">
        <v>4151</v>
      </c>
      <c r="AF34" s="781" t="e">
        <f t="shared" si="0"/>
        <v>#DIV/0!</v>
      </c>
    </row>
    <row r="35" spans="1:32" s="784" customFormat="1" ht="15.75" customHeight="1" x14ac:dyDescent="0.25">
      <c r="A35" s="744">
        <v>28</v>
      </c>
      <c r="B35" s="745"/>
      <c r="C35" s="746">
        <v>2026</v>
      </c>
      <c r="D35" s="685" t="s">
        <v>4106</v>
      </c>
      <c r="E35" s="689" t="s">
        <v>3801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07"/>
      <c r="S35" s="707"/>
      <c r="T35" s="707"/>
      <c r="U35" s="707"/>
      <c r="V35" s="782">
        <f t="shared" si="1"/>
        <v>0</v>
      </c>
      <c r="W35" s="707"/>
      <c r="X35" s="707"/>
      <c r="Y35" s="707"/>
      <c r="Z35" s="782"/>
      <c r="AA35" s="782"/>
      <c r="AB35" s="778"/>
      <c r="AC35" s="814"/>
      <c r="AD35" s="695" t="s">
        <v>3004</v>
      </c>
      <c r="AF35" s="781" t="e">
        <f t="shared" si="0"/>
        <v>#DIV/0!</v>
      </c>
    </row>
    <row r="36" spans="1:32" s="784" customFormat="1" ht="15.75" customHeight="1" x14ac:dyDescent="0.25">
      <c r="A36" s="744">
        <v>29</v>
      </c>
      <c r="B36" s="745"/>
      <c r="C36" s="746">
        <v>2026</v>
      </c>
      <c r="D36" s="685" t="s">
        <v>3883</v>
      </c>
      <c r="E36" s="689" t="s">
        <v>4107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7"/>
      <c r="Q36" s="707"/>
      <c r="R36" s="707"/>
      <c r="S36" s="707"/>
      <c r="T36" s="707"/>
      <c r="U36" s="707"/>
      <c r="V36" s="782">
        <f t="shared" si="1"/>
        <v>0</v>
      </c>
      <c r="W36" s="707"/>
      <c r="X36" s="707"/>
      <c r="Y36" s="707"/>
      <c r="Z36" s="782"/>
      <c r="AA36" s="782"/>
      <c r="AB36" s="778"/>
      <c r="AC36" s="814"/>
      <c r="AD36" s="695" t="s">
        <v>4143</v>
      </c>
      <c r="AF36" s="781" t="e">
        <f t="shared" si="0"/>
        <v>#DIV/0!</v>
      </c>
    </row>
    <row r="37" spans="1:32" s="784" customFormat="1" ht="15.75" customHeight="1" x14ac:dyDescent="0.25">
      <c r="A37" s="744">
        <v>30</v>
      </c>
      <c r="B37" s="745"/>
      <c r="C37" s="746">
        <v>2026</v>
      </c>
      <c r="D37" s="685" t="s">
        <v>4108</v>
      </c>
      <c r="E37" s="689" t="s">
        <v>4109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7"/>
      <c r="Q37" s="707"/>
      <c r="R37" s="707"/>
      <c r="S37" s="707"/>
      <c r="T37" s="707"/>
      <c r="U37" s="707"/>
      <c r="V37" s="782">
        <f t="shared" si="1"/>
        <v>0</v>
      </c>
      <c r="W37" s="707"/>
      <c r="X37" s="707"/>
      <c r="Y37" s="707"/>
      <c r="Z37" s="782"/>
      <c r="AA37" s="782"/>
      <c r="AB37" s="778"/>
      <c r="AC37" s="814"/>
      <c r="AD37" s="695" t="s">
        <v>4143</v>
      </c>
      <c r="AF37" s="781" t="e">
        <f t="shared" si="0"/>
        <v>#DIV/0!</v>
      </c>
    </row>
    <row r="38" spans="1:32" s="784" customFormat="1" ht="15.75" customHeight="1" x14ac:dyDescent="0.25">
      <c r="A38" s="744">
        <v>31</v>
      </c>
      <c r="B38" s="745"/>
      <c r="C38" s="746">
        <v>2026</v>
      </c>
      <c r="D38" s="685" t="s">
        <v>4110</v>
      </c>
      <c r="E38" s="689" t="s">
        <v>4111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7"/>
      <c r="Q38" s="707"/>
      <c r="R38" s="707"/>
      <c r="S38" s="707"/>
      <c r="T38" s="707"/>
      <c r="U38" s="707"/>
      <c r="V38" s="782">
        <f t="shared" si="1"/>
        <v>0</v>
      </c>
      <c r="W38" s="707"/>
      <c r="X38" s="707"/>
      <c r="Y38" s="707"/>
      <c r="Z38" s="782"/>
      <c r="AA38" s="782"/>
      <c r="AB38" s="778"/>
      <c r="AC38" s="814"/>
      <c r="AD38" s="695" t="s">
        <v>4152</v>
      </c>
      <c r="AF38" s="781" t="e">
        <f t="shared" si="0"/>
        <v>#DIV/0!</v>
      </c>
    </row>
    <row r="39" spans="1:32" s="784" customFormat="1" ht="15.75" customHeight="1" x14ac:dyDescent="0.25">
      <c r="A39" s="744">
        <v>32</v>
      </c>
      <c r="B39" s="745"/>
      <c r="C39" s="746">
        <v>2026</v>
      </c>
      <c r="D39" s="685" t="s">
        <v>4112</v>
      </c>
      <c r="E39" s="689" t="s">
        <v>4113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82">
        <f t="shared" si="1"/>
        <v>0</v>
      </c>
      <c r="W39" s="707"/>
      <c r="X39" s="707"/>
      <c r="Y39" s="707"/>
      <c r="Z39" s="782"/>
      <c r="AA39" s="782"/>
      <c r="AB39" s="778"/>
      <c r="AC39" s="814"/>
      <c r="AD39" s="695" t="s">
        <v>4153</v>
      </c>
      <c r="AF39" s="781" t="e">
        <f t="shared" si="0"/>
        <v>#DIV/0!</v>
      </c>
    </row>
    <row r="40" spans="1:32" s="784" customFormat="1" ht="15.75" customHeight="1" x14ac:dyDescent="0.25">
      <c r="A40" s="744">
        <v>33</v>
      </c>
      <c r="B40" s="745"/>
      <c r="C40" s="746">
        <v>2026</v>
      </c>
      <c r="D40" s="685" t="s">
        <v>4114</v>
      </c>
      <c r="E40" s="689" t="s">
        <v>4115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07"/>
      <c r="R40" s="707"/>
      <c r="S40" s="707"/>
      <c r="T40" s="707"/>
      <c r="U40" s="707"/>
      <c r="V40" s="782">
        <f t="shared" si="1"/>
        <v>0</v>
      </c>
      <c r="W40" s="707"/>
      <c r="X40" s="707"/>
      <c r="Y40" s="707"/>
      <c r="Z40" s="782"/>
      <c r="AA40" s="782"/>
      <c r="AB40" s="778"/>
      <c r="AC40" s="814"/>
      <c r="AD40" s="695" t="s">
        <v>4154</v>
      </c>
      <c r="AF40" s="781" t="e">
        <f t="shared" si="0"/>
        <v>#DIV/0!</v>
      </c>
    </row>
    <row r="41" spans="1:32" s="784" customFormat="1" ht="15.75" customHeight="1" x14ac:dyDescent="0.25">
      <c r="A41" s="744">
        <v>34</v>
      </c>
      <c r="B41" s="745"/>
      <c r="C41" s="746">
        <v>2026</v>
      </c>
      <c r="D41" s="685" t="s">
        <v>4116</v>
      </c>
      <c r="E41" s="689" t="s">
        <v>4117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07"/>
      <c r="R41" s="707"/>
      <c r="S41" s="707"/>
      <c r="T41" s="707"/>
      <c r="U41" s="707"/>
      <c r="V41" s="782">
        <f t="shared" si="1"/>
        <v>0</v>
      </c>
      <c r="W41" s="707"/>
      <c r="X41" s="707"/>
      <c r="Y41" s="707"/>
      <c r="Z41" s="782"/>
      <c r="AA41" s="782"/>
      <c r="AB41" s="778"/>
      <c r="AC41" s="814"/>
      <c r="AD41" s="695" t="s">
        <v>4155</v>
      </c>
      <c r="AF41" s="781" t="e">
        <f t="shared" si="0"/>
        <v>#DIV/0!</v>
      </c>
    </row>
    <row r="42" spans="1:32" s="784" customFormat="1" ht="15.75" customHeight="1" x14ac:dyDescent="0.25">
      <c r="A42" s="744">
        <v>35</v>
      </c>
      <c r="B42" s="745"/>
      <c r="C42" s="746">
        <v>2026</v>
      </c>
      <c r="D42" s="685" t="s">
        <v>4118</v>
      </c>
      <c r="E42" s="689" t="s">
        <v>4119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07"/>
      <c r="R42" s="707"/>
      <c r="S42" s="707"/>
      <c r="T42" s="707"/>
      <c r="U42" s="707"/>
      <c r="V42" s="782">
        <f t="shared" si="1"/>
        <v>0</v>
      </c>
      <c r="W42" s="707"/>
      <c r="X42" s="707"/>
      <c r="Y42" s="707"/>
      <c r="Z42" s="782"/>
      <c r="AA42" s="782"/>
      <c r="AB42" s="778"/>
      <c r="AC42" s="814"/>
      <c r="AD42" s="695" t="s">
        <v>4156</v>
      </c>
      <c r="AF42" s="781" t="e">
        <f t="shared" si="0"/>
        <v>#DIV/0!</v>
      </c>
    </row>
    <row r="43" spans="1:32" s="784" customFormat="1" ht="15.75" customHeight="1" x14ac:dyDescent="0.25">
      <c r="A43" s="744">
        <v>36</v>
      </c>
      <c r="B43" s="745"/>
      <c r="C43" s="746">
        <v>2026</v>
      </c>
      <c r="D43" s="685" t="s">
        <v>4120</v>
      </c>
      <c r="E43" s="689" t="s">
        <v>4121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07"/>
      <c r="R43" s="707"/>
      <c r="S43" s="707"/>
      <c r="T43" s="707"/>
      <c r="U43" s="707"/>
      <c r="V43" s="782">
        <f t="shared" si="1"/>
        <v>0</v>
      </c>
      <c r="W43" s="707"/>
      <c r="X43" s="707"/>
      <c r="Y43" s="707"/>
      <c r="Z43" s="782"/>
      <c r="AA43" s="782"/>
      <c r="AB43" s="778"/>
      <c r="AC43" s="814"/>
      <c r="AD43" s="695" t="s">
        <v>4157</v>
      </c>
      <c r="AF43" s="781" t="e">
        <f t="shared" si="0"/>
        <v>#DIV/0!</v>
      </c>
    </row>
    <row r="44" spans="1:32" s="784" customFormat="1" ht="15.75" customHeight="1" x14ac:dyDescent="0.25">
      <c r="A44" s="744">
        <v>37</v>
      </c>
      <c r="B44" s="745"/>
      <c r="C44" s="746">
        <v>2026</v>
      </c>
      <c r="D44" s="685" t="s">
        <v>4122</v>
      </c>
      <c r="E44" s="689" t="s">
        <v>4123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07"/>
      <c r="S44" s="707"/>
      <c r="T44" s="707"/>
      <c r="U44" s="707"/>
      <c r="V44" s="782">
        <f t="shared" si="1"/>
        <v>0</v>
      </c>
      <c r="W44" s="707"/>
      <c r="X44" s="707"/>
      <c r="Y44" s="707"/>
      <c r="Z44" s="782"/>
      <c r="AA44" s="782"/>
      <c r="AB44" s="778"/>
      <c r="AC44" s="814"/>
      <c r="AD44" s="695" t="s">
        <v>3008</v>
      </c>
      <c r="AF44" s="781" t="e">
        <f t="shared" si="0"/>
        <v>#DIV/0!</v>
      </c>
    </row>
    <row r="45" spans="1:32" s="784" customFormat="1" ht="15.75" customHeight="1" x14ac:dyDescent="0.25">
      <c r="A45" s="744">
        <v>38</v>
      </c>
      <c r="B45" s="745"/>
      <c r="C45" s="746">
        <v>2026</v>
      </c>
      <c r="D45" s="685" t="s">
        <v>4124</v>
      </c>
      <c r="E45" s="689" t="s">
        <v>4125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07"/>
      <c r="R45" s="707"/>
      <c r="S45" s="707"/>
      <c r="T45" s="707"/>
      <c r="U45" s="707"/>
      <c r="V45" s="782">
        <f t="shared" si="1"/>
        <v>0</v>
      </c>
      <c r="W45" s="707"/>
      <c r="X45" s="707"/>
      <c r="Y45" s="707"/>
      <c r="Z45" s="782"/>
      <c r="AA45" s="782"/>
      <c r="AB45" s="778"/>
      <c r="AC45" s="814"/>
      <c r="AD45" s="695" t="s">
        <v>4148</v>
      </c>
      <c r="AF45" s="781" t="e">
        <f t="shared" si="0"/>
        <v>#DIV/0!</v>
      </c>
    </row>
    <row r="46" spans="1:32" s="784" customFormat="1" ht="15.75" customHeight="1" x14ac:dyDescent="0.25">
      <c r="A46" s="744">
        <v>39</v>
      </c>
      <c r="B46" s="745"/>
      <c r="C46" s="746">
        <v>2026</v>
      </c>
      <c r="D46" s="685" t="s">
        <v>3526</v>
      </c>
      <c r="E46" s="689" t="s">
        <v>3283</v>
      </c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07"/>
      <c r="S46" s="707"/>
      <c r="T46" s="707"/>
      <c r="U46" s="707"/>
      <c r="V46" s="782">
        <f t="shared" si="1"/>
        <v>0</v>
      </c>
      <c r="W46" s="707"/>
      <c r="X46" s="707"/>
      <c r="Y46" s="707"/>
      <c r="Z46" s="782"/>
      <c r="AA46" s="782"/>
      <c r="AB46" s="778"/>
      <c r="AC46" s="814"/>
      <c r="AD46" s="695" t="s">
        <v>4140</v>
      </c>
      <c r="AF46" s="781" t="e">
        <f t="shared" si="0"/>
        <v>#DIV/0!</v>
      </c>
    </row>
    <row r="47" spans="1:32" s="784" customFormat="1" ht="15.75" customHeight="1" x14ac:dyDescent="0.25">
      <c r="A47" s="744">
        <v>40</v>
      </c>
      <c r="B47" s="745"/>
      <c r="C47" s="746">
        <v>2026</v>
      </c>
      <c r="D47" s="685" t="s">
        <v>4126</v>
      </c>
      <c r="E47" s="689" t="s">
        <v>4127</v>
      </c>
      <c r="F47" s="707"/>
      <c r="G47" s="707"/>
      <c r="H47" s="707"/>
      <c r="I47" s="707"/>
      <c r="J47" s="707"/>
      <c r="K47" s="707"/>
      <c r="L47" s="707"/>
      <c r="M47" s="707"/>
      <c r="N47" s="707"/>
      <c r="O47" s="707"/>
      <c r="P47" s="707"/>
      <c r="Q47" s="707"/>
      <c r="R47" s="707"/>
      <c r="S47" s="707"/>
      <c r="T47" s="707"/>
      <c r="U47" s="707"/>
      <c r="V47" s="782">
        <f t="shared" si="1"/>
        <v>0</v>
      </c>
      <c r="W47" s="707"/>
      <c r="X47" s="707"/>
      <c r="Y47" s="707"/>
      <c r="Z47" s="782"/>
      <c r="AA47" s="782"/>
      <c r="AB47" s="778"/>
      <c r="AC47" s="814"/>
      <c r="AD47" s="695" t="s">
        <v>4153</v>
      </c>
      <c r="AF47" s="781" t="e">
        <f t="shared" si="0"/>
        <v>#DIV/0!</v>
      </c>
    </row>
    <row r="48" spans="1:32" s="784" customFormat="1" ht="15.75" customHeight="1" x14ac:dyDescent="0.25">
      <c r="A48" s="744">
        <v>41</v>
      </c>
      <c r="B48" s="745"/>
      <c r="C48" s="746">
        <v>2026</v>
      </c>
      <c r="D48" s="685" t="s">
        <v>4128</v>
      </c>
      <c r="E48" s="689" t="s">
        <v>3331</v>
      </c>
      <c r="F48" s="707"/>
      <c r="G48" s="707"/>
      <c r="H48" s="707"/>
      <c r="I48" s="707"/>
      <c r="J48" s="707"/>
      <c r="K48" s="707"/>
      <c r="L48" s="707"/>
      <c r="M48" s="707"/>
      <c r="N48" s="707"/>
      <c r="O48" s="707"/>
      <c r="P48" s="707"/>
      <c r="Q48" s="707"/>
      <c r="R48" s="707"/>
      <c r="S48" s="707"/>
      <c r="T48" s="707"/>
      <c r="U48" s="707"/>
      <c r="V48" s="782">
        <f t="shared" si="1"/>
        <v>0</v>
      </c>
      <c r="W48" s="707"/>
      <c r="X48" s="707"/>
      <c r="Y48" s="707"/>
      <c r="Z48" s="782"/>
      <c r="AA48" s="782"/>
      <c r="AB48" s="778"/>
      <c r="AC48" s="814"/>
      <c r="AD48" s="695" t="s">
        <v>4158</v>
      </c>
      <c r="AF48" s="781" t="e">
        <f t="shared" si="0"/>
        <v>#DIV/0!</v>
      </c>
    </row>
    <row r="49" spans="1:32" s="784" customFormat="1" ht="15.75" customHeight="1" x14ac:dyDescent="0.25">
      <c r="A49" s="744">
        <v>42</v>
      </c>
      <c r="B49" s="745"/>
      <c r="C49" s="746">
        <v>2026</v>
      </c>
      <c r="D49" s="685" t="s">
        <v>4129</v>
      </c>
      <c r="E49" s="689" t="s">
        <v>4130</v>
      </c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82">
        <f t="shared" si="1"/>
        <v>0</v>
      </c>
      <c r="W49" s="707"/>
      <c r="X49" s="707"/>
      <c r="Y49" s="707"/>
      <c r="Z49" s="782"/>
      <c r="AA49" s="782"/>
      <c r="AB49" s="778"/>
      <c r="AC49" s="814"/>
      <c r="AD49" s="695" t="s">
        <v>4138</v>
      </c>
      <c r="AF49" s="781" t="e">
        <f t="shared" si="0"/>
        <v>#DIV/0!</v>
      </c>
    </row>
    <row r="50" spans="1:32" s="784" customFormat="1" ht="15.75" customHeight="1" x14ac:dyDescent="0.25">
      <c r="A50" s="744">
        <v>43</v>
      </c>
      <c r="B50" s="745"/>
      <c r="C50" s="746">
        <v>2026</v>
      </c>
      <c r="D50" s="685" t="s">
        <v>4131</v>
      </c>
      <c r="E50" s="689" t="s">
        <v>2357</v>
      </c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07"/>
      <c r="R50" s="707"/>
      <c r="S50" s="707"/>
      <c r="T50" s="707"/>
      <c r="U50" s="707"/>
      <c r="V50" s="782">
        <f t="shared" si="1"/>
        <v>0</v>
      </c>
      <c r="W50" s="707"/>
      <c r="X50" s="707"/>
      <c r="Y50" s="707"/>
      <c r="Z50" s="782"/>
      <c r="AA50" s="782"/>
      <c r="AB50" s="778"/>
      <c r="AC50" s="814"/>
      <c r="AD50" s="695" t="s">
        <v>4151</v>
      </c>
      <c r="AF50" s="781" t="e">
        <f t="shared" si="0"/>
        <v>#DIV/0!</v>
      </c>
    </row>
    <row r="51" spans="1:32" s="784" customFormat="1" ht="15.75" customHeight="1" x14ac:dyDescent="0.25">
      <c r="A51" s="744">
        <v>44</v>
      </c>
      <c r="B51" s="745"/>
      <c r="C51" s="746">
        <v>2026</v>
      </c>
      <c r="D51" s="685" t="s">
        <v>4132</v>
      </c>
      <c r="E51" s="689" t="s">
        <v>4133</v>
      </c>
      <c r="F51" s="707"/>
      <c r="G51" s="707"/>
      <c r="H51" s="707"/>
      <c r="I51" s="707"/>
      <c r="J51" s="707"/>
      <c r="K51" s="707"/>
      <c r="L51" s="707"/>
      <c r="M51" s="707"/>
      <c r="N51" s="707"/>
      <c r="O51" s="707"/>
      <c r="P51" s="707"/>
      <c r="Q51" s="707"/>
      <c r="R51" s="707"/>
      <c r="S51" s="707"/>
      <c r="T51" s="707"/>
      <c r="U51" s="707"/>
      <c r="V51" s="782">
        <f t="shared" si="1"/>
        <v>0</v>
      </c>
      <c r="W51" s="707"/>
      <c r="X51" s="707"/>
      <c r="Y51" s="707"/>
      <c r="Z51" s="782"/>
      <c r="AA51" s="782"/>
      <c r="AB51" s="778"/>
      <c r="AC51" s="814"/>
      <c r="AD51" s="695" t="s">
        <v>4148</v>
      </c>
      <c r="AF51" s="781" t="e">
        <f t="shared" si="0"/>
        <v>#DIV/0!</v>
      </c>
    </row>
    <row r="52" spans="1:32" s="784" customFormat="1" ht="15.75" customHeight="1" x14ac:dyDescent="0.25">
      <c r="A52" s="744">
        <v>45</v>
      </c>
      <c r="B52" s="745"/>
      <c r="C52" s="746">
        <v>2026</v>
      </c>
      <c r="D52" s="685" t="s">
        <v>4134</v>
      </c>
      <c r="E52" s="689" t="s">
        <v>4135</v>
      </c>
      <c r="F52" s="707"/>
      <c r="G52" s="707"/>
      <c r="H52" s="707"/>
      <c r="I52" s="707"/>
      <c r="J52" s="707"/>
      <c r="K52" s="707"/>
      <c r="L52" s="707"/>
      <c r="M52" s="707"/>
      <c r="N52" s="707"/>
      <c r="O52" s="707"/>
      <c r="P52" s="707"/>
      <c r="Q52" s="707"/>
      <c r="R52" s="707"/>
      <c r="S52" s="707"/>
      <c r="T52" s="707"/>
      <c r="U52" s="707"/>
      <c r="V52" s="782">
        <f t="shared" si="1"/>
        <v>0</v>
      </c>
      <c r="W52" s="707"/>
      <c r="X52" s="707"/>
      <c r="Y52" s="707"/>
      <c r="Z52" s="782"/>
      <c r="AA52" s="782"/>
      <c r="AB52" s="778"/>
      <c r="AC52" s="814"/>
      <c r="AD52" s="695" t="s">
        <v>2492</v>
      </c>
      <c r="AF52" s="781" t="e">
        <f t="shared" si="0"/>
        <v>#DIV/0!</v>
      </c>
    </row>
    <row r="53" spans="1:32" s="784" customFormat="1" ht="15.75" customHeight="1" x14ac:dyDescent="0.25">
      <c r="A53" s="744">
        <v>46</v>
      </c>
      <c r="B53" s="745"/>
      <c r="C53" s="746">
        <v>2026</v>
      </c>
      <c r="D53" s="685" t="s">
        <v>4136</v>
      </c>
      <c r="E53" s="689" t="s">
        <v>4137</v>
      </c>
      <c r="F53" s="707"/>
      <c r="G53" s="707"/>
      <c r="H53" s="707"/>
      <c r="I53" s="707"/>
      <c r="J53" s="707"/>
      <c r="K53" s="707"/>
      <c r="L53" s="707"/>
      <c r="M53" s="707"/>
      <c r="N53" s="707"/>
      <c r="O53" s="707"/>
      <c r="P53" s="707"/>
      <c r="Q53" s="707"/>
      <c r="R53" s="707"/>
      <c r="S53" s="707"/>
      <c r="T53" s="707"/>
      <c r="U53" s="707"/>
      <c r="V53" s="782">
        <f t="shared" si="1"/>
        <v>0</v>
      </c>
      <c r="W53" s="707"/>
      <c r="X53" s="707"/>
      <c r="Y53" s="707"/>
      <c r="Z53" s="782"/>
      <c r="AA53" s="782"/>
      <c r="AB53" s="778"/>
      <c r="AC53" s="814"/>
      <c r="AD53" s="695" t="s">
        <v>4154</v>
      </c>
      <c r="AF53" s="781" t="e">
        <f t="shared" si="0"/>
        <v>#DIV/0!</v>
      </c>
    </row>
    <row r="54" spans="1:32" s="796" customFormat="1" ht="15.75" customHeight="1" thickBot="1" x14ac:dyDescent="0.35">
      <c r="A54" s="790"/>
      <c r="B54" s="709"/>
      <c r="C54" s="709"/>
      <c r="D54" s="815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849"/>
      <c r="W54" s="709"/>
      <c r="X54" s="709"/>
      <c r="Y54" s="709"/>
      <c r="Z54" s="709"/>
      <c r="AA54" s="709"/>
      <c r="AB54" s="709"/>
      <c r="AC54" s="850"/>
      <c r="AD54" s="878"/>
    </row>
    <row r="55" spans="1:32" s="796" customFormat="1" ht="19.5" thickTop="1" x14ac:dyDescent="0.3">
      <c r="A55" s="797"/>
      <c r="B55" s="797"/>
      <c r="C55" s="797"/>
      <c r="E55" s="797"/>
      <c r="F55" s="797"/>
      <c r="G55" s="797"/>
      <c r="H55" s="797"/>
      <c r="I55" s="797"/>
      <c r="J55" s="797"/>
      <c r="K55" s="797"/>
      <c r="L55" s="797"/>
      <c r="M55" s="797"/>
      <c r="N55" s="797"/>
      <c r="O55" s="797"/>
      <c r="P55" s="797"/>
      <c r="Q55" s="797"/>
      <c r="R55" s="797"/>
      <c r="S55" s="797"/>
      <c r="T55" s="797"/>
      <c r="U55" s="797"/>
      <c r="V55" s="803"/>
      <c r="W55" s="797"/>
      <c r="X55" s="797"/>
      <c r="Y55" s="797"/>
      <c r="Z55" s="797"/>
      <c r="AA55" s="797"/>
      <c r="AB55" s="797"/>
      <c r="AC55" s="799"/>
      <c r="AD55" s="797"/>
    </row>
    <row r="56" spans="1:32" s="796" customFormat="1" x14ac:dyDescent="0.3">
      <c r="A56" s="797"/>
      <c r="B56" s="797"/>
      <c r="C56" s="797"/>
      <c r="E56" s="797"/>
      <c r="F56" s="797"/>
      <c r="G56" s="797"/>
      <c r="H56" s="797"/>
      <c r="I56" s="797"/>
      <c r="J56" s="797"/>
      <c r="K56" s="797"/>
      <c r="L56" s="797"/>
      <c r="M56" s="797"/>
      <c r="N56" s="797"/>
      <c r="O56" s="797"/>
      <c r="P56" s="797"/>
      <c r="Q56" s="797"/>
      <c r="R56" s="797"/>
      <c r="S56" s="797"/>
      <c r="T56" s="797"/>
      <c r="U56" s="797"/>
      <c r="V56" s="1071"/>
      <c r="W56" s="1071"/>
      <c r="X56" s="1071"/>
      <c r="Y56" s="1071"/>
      <c r="Z56" s="1071"/>
      <c r="AA56" s="1071"/>
      <c r="AB56" s="1071"/>
      <c r="AC56" s="1071"/>
      <c r="AD56" s="1071"/>
    </row>
    <row r="57" spans="1:32" s="796" customFormat="1" x14ac:dyDescent="0.3">
      <c r="A57" s="797"/>
      <c r="B57" s="797"/>
      <c r="C57" s="797"/>
      <c r="E57" s="797"/>
      <c r="F57" s="797"/>
      <c r="G57" s="797"/>
      <c r="H57" s="797"/>
      <c r="I57" s="797"/>
      <c r="J57" s="797"/>
      <c r="K57" s="797"/>
      <c r="L57" s="797"/>
      <c r="M57" s="797"/>
      <c r="N57" s="797"/>
      <c r="O57" s="797"/>
      <c r="P57" s="797"/>
      <c r="Q57" s="797"/>
      <c r="R57" s="797"/>
      <c r="S57" s="797"/>
      <c r="T57" s="797"/>
      <c r="U57" s="797"/>
      <c r="V57" s="1071"/>
      <c r="W57" s="1071"/>
      <c r="X57" s="1071"/>
      <c r="Y57" s="797"/>
      <c r="Z57" s="797"/>
      <c r="AA57" s="797"/>
      <c r="AB57" s="797"/>
      <c r="AC57" s="799"/>
      <c r="AD57" s="797"/>
    </row>
    <row r="58" spans="1:32" s="796" customFormat="1" x14ac:dyDescent="0.3">
      <c r="A58" s="797"/>
      <c r="B58" s="797"/>
      <c r="C58" s="797"/>
      <c r="E58" s="797"/>
      <c r="F58" s="797"/>
      <c r="G58" s="797"/>
      <c r="H58" s="797"/>
      <c r="I58" s="797"/>
      <c r="J58" s="797"/>
      <c r="K58" s="797"/>
      <c r="L58" s="797"/>
      <c r="M58" s="797"/>
      <c r="N58" s="797"/>
      <c r="O58" s="797"/>
      <c r="P58" s="797"/>
      <c r="Q58" s="797"/>
      <c r="R58" s="797"/>
      <c r="S58" s="797"/>
      <c r="T58" s="797"/>
      <c r="U58" s="797"/>
      <c r="V58" s="800"/>
      <c r="W58" s="780"/>
      <c r="X58" s="780"/>
      <c r="Y58" s="797"/>
      <c r="Z58" s="797"/>
      <c r="AA58" s="797"/>
      <c r="AB58" s="797"/>
      <c r="AC58" s="799"/>
      <c r="AD58" s="797"/>
    </row>
    <row r="59" spans="1:32" s="796" customFormat="1" x14ac:dyDescent="0.3">
      <c r="A59" s="797"/>
      <c r="B59" s="797"/>
      <c r="C59" s="797"/>
      <c r="E59" s="797"/>
      <c r="F59" s="797"/>
      <c r="G59" s="797"/>
      <c r="H59" s="797"/>
      <c r="I59" s="797"/>
      <c r="J59" s="797"/>
      <c r="K59" s="797"/>
      <c r="L59" s="797"/>
      <c r="M59" s="797"/>
      <c r="N59" s="797"/>
      <c r="O59" s="797"/>
      <c r="P59" s="797"/>
      <c r="Q59" s="797"/>
      <c r="R59" s="797"/>
      <c r="S59" s="797"/>
      <c r="T59" s="797"/>
      <c r="U59" s="797"/>
      <c r="V59" s="800"/>
      <c r="W59" s="780"/>
      <c r="X59" s="780"/>
      <c r="Y59" s="797"/>
      <c r="Z59" s="797"/>
      <c r="AA59" s="797"/>
      <c r="AB59" s="797"/>
      <c r="AC59" s="799"/>
      <c r="AD59" s="797"/>
    </row>
    <row r="60" spans="1:32" s="796" customFormat="1" x14ac:dyDescent="0.3">
      <c r="A60" s="797"/>
      <c r="B60" s="797"/>
      <c r="C60" s="797"/>
      <c r="E60" s="797"/>
      <c r="F60" s="797"/>
      <c r="G60" s="797"/>
      <c r="H60" s="797"/>
      <c r="I60" s="797"/>
      <c r="J60" s="797"/>
      <c r="K60" s="797"/>
      <c r="L60" s="797"/>
      <c r="M60" s="797"/>
      <c r="N60" s="797"/>
      <c r="O60" s="797"/>
      <c r="P60" s="797"/>
      <c r="Q60" s="797"/>
      <c r="R60" s="797"/>
      <c r="S60" s="797"/>
      <c r="T60" s="797"/>
      <c r="U60" s="797"/>
      <c r="V60" s="1072"/>
      <c r="W60" s="1072"/>
      <c r="X60" s="1072"/>
      <c r="Y60" s="797"/>
      <c r="Z60" s="797"/>
      <c r="AA60" s="797"/>
      <c r="AB60" s="797"/>
      <c r="AC60" s="799"/>
      <c r="AD60" s="797"/>
    </row>
    <row r="61" spans="1:32" s="796" customFormat="1" x14ac:dyDescent="0.3">
      <c r="A61" s="797"/>
      <c r="B61" s="797"/>
      <c r="C61" s="797"/>
      <c r="E61" s="797"/>
      <c r="F61" s="797"/>
      <c r="G61" s="797"/>
      <c r="H61" s="797"/>
      <c r="I61" s="797"/>
      <c r="J61" s="797"/>
      <c r="K61" s="797"/>
      <c r="L61" s="797"/>
      <c r="M61" s="797"/>
      <c r="N61" s="797"/>
      <c r="O61" s="797"/>
      <c r="P61" s="797"/>
      <c r="Q61" s="797"/>
      <c r="R61" s="797"/>
      <c r="S61" s="797"/>
      <c r="T61" s="797"/>
      <c r="U61" s="797"/>
      <c r="V61" s="1071"/>
      <c r="W61" s="1071"/>
      <c r="X61" s="1071"/>
      <c r="Y61" s="1071"/>
      <c r="Z61" s="1071"/>
      <c r="AA61" s="1071"/>
      <c r="AB61" s="1071"/>
      <c r="AC61" s="1071"/>
      <c r="AD61" s="1071"/>
    </row>
    <row r="62" spans="1:32" s="806" customFormat="1" x14ac:dyDescent="0.3">
      <c r="A62" s="801"/>
      <c r="B62" s="801"/>
      <c r="C62" s="801"/>
      <c r="D62" s="802"/>
      <c r="E62" s="801"/>
      <c r="F62" s="801"/>
      <c r="G62" s="801"/>
      <c r="H62" s="801"/>
      <c r="I62" s="801"/>
      <c r="J62" s="801"/>
      <c r="K62" s="801"/>
      <c r="L62" s="801"/>
      <c r="M62" s="801"/>
      <c r="N62" s="801"/>
      <c r="O62" s="801"/>
      <c r="P62" s="801"/>
      <c r="Q62" s="801"/>
      <c r="R62" s="801"/>
      <c r="S62" s="801"/>
      <c r="T62" s="801"/>
      <c r="U62" s="801"/>
      <c r="V62" s="827"/>
      <c r="W62" s="801"/>
      <c r="X62" s="801"/>
      <c r="Y62" s="801"/>
      <c r="Z62" s="801"/>
      <c r="AA62" s="801"/>
      <c r="AB62" s="801"/>
      <c r="AC62" s="805"/>
      <c r="AD62" s="801"/>
    </row>
    <row r="63" spans="1:32" s="806" customFormat="1" x14ac:dyDescent="0.3">
      <c r="A63" s="807"/>
      <c r="B63" s="807"/>
      <c r="C63" s="807"/>
      <c r="E63" s="807"/>
      <c r="F63" s="807"/>
      <c r="G63" s="807"/>
      <c r="H63" s="807"/>
      <c r="I63" s="807"/>
      <c r="J63" s="807"/>
      <c r="K63" s="807"/>
      <c r="L63" s="807"/>
      <c r="M63" s="807"/>
      <c r="N63" s="807"/>
      <c r="O63" s="807"/>
      <c r="P63" s="807"/>
      <c r="Q63" s="807"/>
      <c r="R63" s="807"/>
      <c r="S63" s="807"/>
      <c r="T63" s="807"/>
      <c r="U63" s="807"/>
      <c r="V63" s="827"/>
      <c r="W63" s="807"/>
      <c r="X63" s="807"/>
      <c r="Y63" s="807"/>
      <c r="Z63" s="807"/>
      <c r="AA63" s="807"/>
      <c r="AB63" s="807"/>
      <c r="AC63" s="808"/>
      <c r="AD63" s="807"/>
    </row>
    <row r="64" spans="1:32" s="806" customFormat="1" x14ac:dyDescent="0.3">
      <c r="A64" s="807"/>
      <c r="B64" s="807"/>
      <c r="C64" s="807"/>
      <c r="E64" s="807"/>
      <c r="F64" s="807"/>
      <c r="G64" s="807"/>
      <c r="H64" s="807"/>
      <c r="I64" s="807"/>
      <c r="J64" s="807"/>
      <c r="K64" s="807"/>
      <c r="L64" s="807"/>
      <c r="M64" s="807"/>
      <c r="N64" s="807"/>
      <c r="O64" s="807"/>
      <c r="P64" s="807"/>
      <c r="Q64" s="807"/>
      <c r="R64" s="807"/>
      <c r="S64" s="807"/>
      <c r="T64" s="807"/>
      <c r="U64" s="807"/>
      <c r="V64" s="827"/>
      <c r="W64" s="807"/>
      <c r="X64" s="807"/>
      <c r="Y64" s="807"/>
      <c r="Z64" s="807"/>
      <c r="AA64" s="807"/>
      <c r="AB64" s="807"/>
      <c r="AC64" s="808"/>
      <c r="AD64" s="807"/>
    </row>
    <row r="65" spans="1:30" s="806" customFormat="1" x14ac:dyDescent="0.3">
      <c r="A65" s="807"/>
      <c r="B65" s="807"/>
      <c r="C65" s="807"/>
      <c r="E65" s="807"/>
      <c r="F65" s="807"/>
      <c r="G65" s="807"/>
      <c r="H65" s="807"/>
      <c r="I65" s="807"/>
      <c r="J65" s="807"/>
      <c r="K65" s="807"/>
      <c r="L65" s="807"/>
      <c r="M65" s="807"/>
      <c r="N65" s="807"/>
      <c r="O65" s="807"/>
      <c r="P65" s="807"/>
      <c r="Q65" s="807"/>
      <c r="R65" s="807"/>
      <c r="S65" s="807"/>
      <c r="T65" s="807"/>
      <c r="U65" s="807"/>
      <c r="V65" s="827"/>
      <c r="W65" s="807"/>
      <c r="X65" s="807"/>
      <c r="Y65" s="807"/>
      <c r="Z65" s="807"/>
      <c r="AA65" s="807"/>
      <c r="AB65" s="807"/>
      <c r="AC65" s="808"/>
      <c r="AD65" s="807"/>
    </row>
    <row r="66" spans="1:30" s="806" customFormat="1" x14ac:dyDescent="0.3">
      <c r="A66" s="807"/>
      <c r="B66" s="807"/>
      <c r="C66" s="807"/>
      <c r="E66" s="807"/>
      <c r="F66" s="807"/>
      <c r="G66" s="807"/>
      <c r="H66" s="807"/>
      <c r="I66" s="807"/>
      <c r="J66" s="807"/>
      <c r="K66" s="807"/>
      <c r="L66" s="807"/>
      <c r="M66" s="807"/>
      <c r="N66" s="807"/>
      <c r="O66" s="807"/>
      <c r="P66" s="807"/>
      <c r="Q66" s="807"/>
      <c r="R66" s="807"/>
      <c r="S66" s="807"/>
      <c r="T66" s="807"/>
      <c r="U66" s="807"/>
      <c r="V66" s="827"/>
      <c r="W66" s="807"/>
      <c r="X66" s="807"/>
      <c r="Y66" s="807"/>
      <c r="Z66" s="807"/>
      <c r="AA66" s="807"/>
      <c r="AB66" s="807"/>
      <c r="AC66" s="808"/>
      <c r="AD66" s="807"/>
    </row>
  </sheetData>
  <autoFilter ref="V6:AE53">
    <filterColumn colId="1" showButton="0"/>
    <filterColumn colId="2" showButton="0"/>
    <filterColumn colId="3" showButton="0"/>
  </autoFilter>
  <mergeCells count="18">
    <mergeCell ref="E2:AD2"/>
    <mergeCell ref="E3:AD3"/>
    <mergeCell ref="AB6:AB7"/>
    <mergeCell ref="AC6:AC7"/>
    <mergeCell ref="E4:AM4"/>
    <mergeCell ref="AD6:AD7"/>
    <mergeCell ref="AA6:AA7"/>
    <mergeCell ref="V61:AD61"/>
    <mergeCell ref="V57:X57"/>
    <mergeCell ref="V60:X60"/>
    <mergeCell ref="V56:AD56"/>
    <mergeCell ref="A6:A7"/>
    <mergeCell ref="D6:D7"/>
    <mergeCell ref="B6:C7"/>
    <mergeCell ref="W6:Z6"/>
    <mergeCell ref="E6:E7"/>
    <mergeCell ref="V6:V7"/>
    <mergeCell ref="F6:U6"/>
  </mergeCells>
  <phoneticPr fontId="0" type="noConversion"/>
  <printOptions horizontalCentered="1"/>
  <pageMargins left="0.82677165354330717" right="0.15748031496062992" top="0.27559055118110237" bottom="0.31496062992125984" header="0.23622047244094491" footer="0.27559055118110237"/>
  <pageSetup scale="98" orientation="landscape" r:id="rId1"/>
  <headerFooter alignWithMargins="0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G74"/>
  <sheetViews>
    <sheetView topLeftCell="A5" zoomScale="120" zoomScaleNormal="120" workbookViewId="0">
      <selection activeCell="W10" sqref="W10:W42"/>
    </sheetView>
  </sheetViews>
  <sheetFormatPr defaultRowHeight="18.75" x14ac:dyDescent="0.3"/>
  <cols>
    <col min="1" max="1" width="4.296875" style="1" customWidth="1"/>
    <col min="2" max="2" width="4.59765625" style="1" customWidth="1"/>
    <col min="3" max="3" width="4.19921875" style="1" customWidth="1"/>
    <col min="4" max="4" width="17" customWidth="1"/>
    <col min="5" max="5" width="8.09765625" style="1" customWidth="1"/>
    <col min="6" max="8" width="2.8984375" style="1" customWidth="1"/>
    <col min="9" max="9" width="2.8984375" style="237" customWidth="1"/>
    <col min="10" max="13" width="2.8984375" style="1" customWidth="1"/>
    <col min="14" max="14" width="2.8984375" style="200" customWidth="1"/>
    <col min="15" max="15" width="4.59765625" style="25" customWidth="1"/>
    <col min="16" max="18" width="2.19921875" style="20" hidden="1" customWidth="1"/>
    <col min="19" max="20" width="3.3984375" style="235" hidden="1" customWidth="1"/>
    <col min="21" max="21" width="4.69921875" style="235" customWidth="1"/>
    <col min="22" max="22" width="4.3984375" style="14" hidden="1" customWidth="1"/>
    <col min="23" max="23" width="26.5" style="235" customWidth="1"/>
    <col min="24" max="24" width="3.09765625" customWidth="1"/>
    <col min="25" max="25" width="10.19921875" customWidth="1"/>
  </cols>
  <sheetData>
    <row r="1" spans="1:33" s="806" customFormat="1" x14ac:dyDescent="0.3">
      <c r="A1" s="807"/>
      <c r="B1" s="807"/>
      <c r="C1" s="807"/>
      <c r="E1" s="807"/>
      <c r="F1" s="807"/>
      <c r="G1" s="807"/>
      <c r="H1" s="807"/>
      <c r="I1" s="801"/>
      <c r="J1" s="807"/>
      <c r="K1" s="807"/>
      <c r="L1" s="807"/>
      <c r="M1" s="807"/>
      <c r="N1" s="804"/>
      <c r="O1" s="827"/>
      <c r="P1" s="801"/>
      <c r="Q1" s="801"/>
      <c r="R1" s="801"/>
      <c r="S1" s="801"/>
      <c r="T1" s="801"/>
      <c r="U1" s="801"/>
      <c r="V1" s="805"/>
      <c r="W1" s="801"/>
    </row>
    <row r="2" spans="1:33" s="761" customFormat="1" ht="15.75" x14ac:dyDescent="0.25">
      <c r="B2" s="763"/>
      <c r="C2" s="763"/>
      <c r="D2" s="763"/>
      <c r="E2" s="1046" t="s">
        <v>2237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</row>
    <row r="3" spans="1:33" s="761" customFormat="1" ht="15.75" x14ac:dyDescent="0.25">
      <c r="B3" s="763"/>
      <c r="C3" s="763"/>
      <c r="D3" s="763"/>
      <c r="E3" s="1046" t="s">
        <v>2320</v>
      </c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1046"/>
      <c r="W3" s="1046"/>
    </row>
    <row r="4" spans="1:33" s="761" customFormat="1" ht="15.75" hidden="1" x14ac:dyDescent="0.25">
      <c r="B4" s="762"/>
      <c r="C4" s="762"/>
      <c r="D4" s="762"/>
      <c r="E4" s="1047" t="s">
        <v>34</v>
      </c>
      <c r="F4" s="1047"/>
      <c r="G4" s="1047"/>
      <c r="H4" s="1047"/>
      <c r="I4" s="1047"/>
      <c r="J4" s="1047"/>
      <c r="K4" s="1047"/>
      <c r="L4" s="1047"/>
      <c r="M4" s="1047"/>
      <c r="N4" s="1047"/>
      <c r="O4" s="1047"/>
      <c r="P4" s="1047"/>
      <c r="Q4" s="1047"/>
      <c r="R4" s="1047"/>
      <c r="S4" s="1047"/>
      <c r="T4" s="1047"/>
      <c r="U4" s="1047"/>
      <c r="V4" s="1047"/>
      <c r="W4" s="1047"/>
      <c r="X4" s="762"/>
    </row>
    <row r="5" spans="1:33" s="761" customFormat="1" ht="15.75" customHeight="1" x14ac:dyDescent="0.25">
      <c r="B5" s="763"/>
      <c r="C5" s="763"/>
      <c r="D5" s="763"/>
      <c r="E5" s="1052" t="s">
        <v>2308</v>
      </c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1052"/>
      <c r="V5" s="1052"/>
      <c r="W5" s="1052"/>
      <c r="X5" s="1052"/>
      <c r="Y5" s="1052"/>
      <c r="Z5" s="1052"/>
      <c r="AA5" s="1052"/>
      <c r="AB5" s="1052"/>
      <c r="AC5" s="1052"/>
      <c r="AD5" s="1052"/>
      <c r="AE5" s="1052"/>
      <c r="AF5" s="1052"/>
      <c r="AG5" s="1052"/>
    </row>
    <row r="6" spans="1:33" s="761" customFormat="1" ht="7.5" customHeight="1" x14ac:dyDescent="0.25">
      <c r="A6" s="775"/>
      <c r="B6" s="775"/>
      <c r="C6" s="775"/>
      <c r="D6" s="775"/>
      <c r="E6" s="775"/>
      <c r="F6" s="775"/>
      <c r="G6" s="775"/>
      <c r="H6" s="775"/>
      <c r="I6" s="775"/>
      <c r="J6" s="775"/>
      <c r="K6" s="775"/>
      <c r="L6" s="775"/>
      <c r="M6" s="775"/>
      <c r="N6" s="883"/>
      <c r="O6" s="775"/>
      <c r="P6" s="775"/>
      <c r="Q6" s="775"/>
      <c r="R6" s="775"/>
      <c r="S6" s="775"/>
      <c r="T6" s="775"/>
      <c r="U6" s="775"/>
      <c r="V6" s="775"/>
      <c r="W6" s="775"/>
    </row>
    <row r="7" spans="1:33" s="806" customFormat="1" ht="20.25" thickBot="1" x14ac:dyDescent="0.4">
      <c r="A7" s="809"/>
      <c r="B7" s="809"/>
      <c r="C7" s="809"/>
      <c r="D7" s="809"/>
      <c r="E7" s="809"/>
      <c r="F7" s="841"/>
      <c r="G7" s="841"/>
      <c r="H7" s="841"/>
      <c r="I7" s="843"/>
      <c r="J7" s="841"/>
      <c r="K7" s="841"/>
      <c r="L7" s="841"/>
      <c r="M7" s="841"/>
      <c r="N7" s="842"/>
      <c r="O7" s="828"/>
      <c r="P7" s="828"/>
      <c r="Q7" s="828"/>
      <c r="R7" s="828"/>
      <c r="S7" s="828"/>
      <c r="T7" s="828"/>
      <c r="U7" s="828"/>
      <c r="V7" s="828"/>
      <c r="W7" s="828"/>
      <c r="X7" s="812"/>
    </row>
    <row r="8" spans="1:33" s="780" customFormat="1" ht="23.25" customHeight="1" thickTop="1" x14ac:dyDescent="0.25">
      <c r="A8" s="1056" t="s">
        <v>91</v>
      </c>
      <c r="B8" s="1060" t="s">
        <v>2118</v>
      </c>
      <c r="C8" s="1061"/>
      <c r="D8" s="1058" t="s">
        <v>2119</v>
      </c>
      <c r="E8" s="1058" t="s">
        <v>2120</v>
      </c>
      <c r="F8" s="1053" t="s">
        <v>2200</v>
      </c>
      <c r="G8" s="1054"/>
      <c r="H8" s="1054"/>
      <c r="I8" s="1054"/>
      <c r="J8" s="1054"/>
      <c r="K8" s="1054"/>
      <c r="L8" s="1054"/>
      <c r="M8" s="1054"/>
      <c r="N8" s="1055"/>
      <c r="O8" s="1069" t="s">
        <v>2107</v>
      </c>
      <c r="P8" s="1053" t="s">
        <v>104</v>
      </c>
      <c r="Q8" s="1054"/>
      <c r="R8" s="1054"/>
      <c r="S8" s="1055"/>
      <c r="T8" s="1048" t="s">
        <v>99</v>
      </c>
      <c r="U8" s="1048" t="s">
        <v>2108</v>
      </c>
      <c r="V8" s="1048" t="s">
        <v>103</v>
      </c>
      <c r="W8" s="1067" t="s">
        <v>2121</v>
      </c>
    </row>
    <row r="9" spans="1:33" s="780" customFormat="1" ht="136.5" customHeight="1" x14ac:dyDescent="0.25">
      <c r="A9" s="1057"/>
      <c r="B9" s="1062"/>
      <c r="C9" s="1063"/>
      <c r="D9" s="1059"/>
      <c r="E9" s="1059"/>
      <c r="F9" s="724" t="s">
        <v>2190</v>
      </c>
      <c r="G9" s="714" t="s">
        <v>2128</v>
      </c>
      <c r="H9" s="724" t="s">
        <v>2201</v>
      </c>
      <c r="I9" s="724" t="s">
        <v>2114</v>
      </c>
      <c r="J9" s="727" t="s">
        <v>2202</v>
      </c>
      <c r="K9" s="725" t="s">
        <v>2095</v>
      </c>
      <c r="L9" s="714" t="s">
        <v>2113</v>
      </c>
      <c r="M9" s="728" t="s">
        <v>2156</v>
      </c>
      <c r="N9" s="729" t="s">
        <v>2165</v>
      </c>
      <c r="O9" s="1070"/>
      <c r="P9" s="718" t="s">
        <v>108</v>
      </c>
      <c r="Q9" s="718" t="s">
        <v>97</v>
      </c>
      <c r="R9" s="718" t="s">
        <v>96</v>
      </c>
      <c r="S9" s="719" t="s">
        <v>98</v>
      </c>
      <c r="T9" s="1049"/>
      <c r="U9" s="1049"/>
      <c r="V9" s="1049"/>
      <c r="W9" s="1068"/>
      <c r="X9" s="780" t="s">
        <v>94</v>
      </c>
    </row>
    <row r="10" spans="1:33" s="784" customFormat="1" ht="18" customHeight="1" x14ac:dyDescent="0.25">
      <c r="A10" s="741">
        <v>1</v>
      </c>
      <c r="B10" s="752"/>
      <c r="C10" s="743">
        <v>2026</v>
      </c>
      <c r="D10" s="690" t="s">
        <v>3945</v>
      </c>
      <c r="E10" s="1033" t="s">
        <v>3716</v>
      </c>
      <c r="F10" s="1034"/>
      <c r="G10" s="1034"/>
      <c r="H10" s="1034"/>
      <c r="I10" s="1034"/>
      <c r="J10" s="1034"/>
      <c r="K10" s="1034"/>
      <c r="L10" s="1034"/>
      <c r="M10" s="1034"/>
      <c r="N10" s="1034"/>
      <c r="O10" s="776">
        <f>SUM(F10:N10)/9</f>
        <v>0</v>
      </c>
      <c r="P10" s="705"/>
      <c r="Q10" s="705"/>
      <c r="R10" s="705"/>
      <c r="S10" s="776">
        <f>SUM(P10:R10)/3</f>
        <v>0</v>
      </c>
      <c r="T10" s="776">
        <f>SUM(O10+S10)/2</f>
        <v>0</v>
      </c>
      <c r="U10" s="819"/>
      <c r="V10" s="813"/>
      <c r="W10" s="694" t="s">
        <v>2537</v>
      </c>
      <c r="Y10" s="781" t="e">
        <f>AVERAGE(F10:N10)</f>
        <v>#DIV/0!</v>
      </c>
    </row>
    <row r="11" spans="1:33" s="784" customFormat="1" ht="18" customHeight="1" x14ac:dyDescent="0.25">
      <c r="A11" s="744">
        <v>2</v>
      </c>
      <c r="B11" s="745"/>
      <c r="C11" s="746">
        <v>2026</v>
      </c>
      <c r="D11" s="685" t="s">
        <v>3946</v>
      </c>
      <c r="E11" s="685" t="s">
        <v>2606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82">
        <f t="shared" ref="O11:O42" si="0">SUM(F11:N11)/9</f>
        <v>0</v>
      </c>
      <c r="P11" s="707"/>
      <c r="Q11" s="707"/>
      <c r="R11" s="707"/>
      <c r="S11" s="782">
        <f t="shared" ref="S11:S38" si="1">SUM(P11:R11)/3</f>
        <v>0</v>
      </c>
      <c r="T11" s="782">
        <f t="shared" ref="T11:T38" si="2">SUM(O11+S11)/2</f>
        <v>0</v>
      </c>
      <c r="U11" s="778"/>
      <c r="V11" s="814"/>
      <c r="W11" s="695" t="s">
        <v>3644</v>
      </c>
      <c r="Y11" s="781" t="e">
        <f t="shared" ref="Y11:Y42" si="3">AVERAGE(F11:N11)</f>
        <v>#DIV/0!</v>
      </c>
    </row>
    <row r="12" spans="1:33" s="784" customFormat="1" ht="18" customHeight="1" x14ac:dyDescent="0.25">
      <c r="A12" s="744">
        <v>3</v>
      </c>
      <c r="B12" s="745"/>
      <c r="C12" s="746">
        <v>2026</v>
      </c>
      <c r="D12" s="685" t="s">
        <v>3947</v>
      </c>
      <c r="E12" s="685" t="s">
        <v>3948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82">
        <f t="shared" si="0"/>
        <v>0</v>
      </c>
      <c r="P12" s="707"/>
      <c r="Q12" s="707"/>
      <c r="R12" s="707"/>
      <c r="S12" s="782">
        <f t="shared" si="1"/>
        <v>0</v>
      </c>
      <c r="T12" s="782">
        <f t="shared" si="2"/>
        <v>0</v>
      </c>
      <c r="U12" s="778"/>
      <c r="V12" s="814"/>
      <c r="W12" s="695" t="s">
        <v>3644</v>
      </c>
      <c r="Y12" s="781" t="e">
        <f t="shared" si="3"/>
        <v>#DIV/0!</v>
      </c>
      <c r="Z12" s="781"/>
      <c r="AA12" s="781"/>
    </row>
    <row r="13" spans="1:33" s="784" customFormat="1" ht="18" customHeight="1" x14ac:dyDescent="0.25">
      <c r="A13" s="744">
        <v>4</v>
      </c>
      <c r="B13" s="745"/>
      <c r="C13" s="746">
        <v>2026</v>
      </c>
      <c r="D13" s="685" t="s">
        <v>3949</v>
      </c>
      <c r="E13" s="685" t="s">
        <v>3950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82">
        <f t="shared" si="0"/>
        <v>0</v>
      </c>
      <c r="P13" s="707"/>
      <c r="Q13" s="707"/>
      <c r="R13" s="707"/>
      <c r="S13" s="782"/>
      <c r="T13" s="782"/>
      <c r="U13" s="778"/>
      <c r="V13" s="814"/>
      <c r="W13" s="695" t="s">
        <v>2979</v>
      </c>
      <c r="Y13" s="781" t="e">
        <f t="shared" si="3"/>
        <v>#DIV/0!</v>
      </c>
    </row>
    <row r="14" spans="1:33" s="784" customFormat="1" ht="18" customHeight="1" x14ac:dyDescent="0.25">
      <c r="A14" s="744">
        <v>5</v>
      </c>
      <c r="B14" s="745"/>
      <c r="C14" s="746">
        <v>2026</v>
      </c>
      <c r="D14" s="685" t="s">
        <v>3951</v>
      </c>
      <c r="E14" s="685" t="s">
        <v>3952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82">
        <f t="shared" si="0"/>
        <v>0</v>
      </c>
      <c r="P14" s="707"/>
      <c r="Q14" s="707"/>
      <c r="R14" s="707"/>
      <c r="S14" s="782"/>
      <c r="T14" s="782"/>
      <c r="U14" s="778"/>
      <c r="V14" s="814"/>
      <c r="W14" s="695" t="s">
        <v>2532</v>
      </c>
      <c r="Y14" s="781" t="e">
        <f t="shared" si="3"/>
        <v>#DIV/0!</v>
      </c>
    </row>
    <row r="15" spans="1:33" s="784" customFormat="1" ht="18" customHeight="1" x14ac:dyDescent="0.25">
      <c r="A15" s="744">
        <v>6</v>
      </c>
      <c r="B15" s="745"/>
      <c r="C15" s="746">
        <v>2026</v>
      </c>
      <c r="D15" s="685" t="s">
        <v>2597</v>
      </c>
      <c r="E15" s="685" t="s">
        <v>3953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82">
        <f t="shared" si="0"/>
        <v>0</v>
      </c>
      <c r="P15" s="707"/>
      <c r="Q15" s="707"/>
      <c r="R15" s="707"/>
      <c r="S15" s="782"/>
      <c r="T15" s="782"/>
      <c r="U15" s="778"/>
      <c r="V15" s="814"/>
      <c r="W15" s="695" t="s">
        <v>3813</v>
      </c>
      <c r="Y15" s="781" t="e">
        <f t="shared" si="3"/>
        <v>#DIV/0!</v>
      </c>
    </row>
    <row r="16" spans="1:33" s="784" customFormat="1" ht="18" customHeight="1" x14ac:dyDescent="0.25">
      <c r="A16" s="744">
        <v>7</v>
      </c>
      <c r="B16" s="745"/>
      <c r="C16" s="746">
        <v>2026</v>
      </c>
      <c r="D16" s="685" t="s">
        <v>3954</v>
      </c>
      <c r="E16" s="685" t="s">
        <v>3955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82">
        <f t="shared" si="0"/>
        <v>0</v>
      </c>
      <c r="P16" s="707"/>
      <c r="Q16" s="707"/>
      <c r="R16" s="707"/>
      <c r="S16" s="782"/>
      <c r="T16" s="782"/>
      <c r="U16" s="778"/>
      <c r="V16" s="814"/>
      <c r="W16" s="695" t="s">
        <v>3821</v>
      </c>
      <c r="Y16" s="781" t="e">
        <f t="shared" si="3"/>
        <v>#DIV/0!</v>
      </c>
    </row>
    <row r="17" spans="1:25" s="784" customFormat="1" ht="18" customHeight="1" x14ac:dyDescent="0.25">
      <c r="A17" s="744">
        <v>8</v>
      </c>
      <c r="B17" s="745"/>
      <c r="C17" s="746">
        <v>2026</v>
      </c>
      <c r="D17" s="685" t="s">
        <v>3956</v>
      </c>
      <c r="E17" s="685" t="s">
        <v>653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82">
        <f t="shared" si="0"/>
        <v>0</v>
      </c>
      <c r="P17" s="707"/>
      <c r="Q17" s="707"/>
      <c r="R17" s="707"/>
      <c r="S17" s="782"/>
      <c r="T17" s="782"/>
      <c r="U17" s="778"/>
      <c r="V17" s="814"/>
      <c r="W17" s="695" t="s">
        <v>2532</v>
      </c>
      <c r="Y17" s="781" t="e">
        <f t="shared" si="3"/>
        <v>#DIV/0!</v>
      </c>
    </row>
    <row r="18" spans="1:25" s="784" customFormat="1" ht="18" customHeight="1" x14ac:dyDescent="0.25">
      <c r="A18" s="744">
        <v>9</v>
      </c>
      <c r="B18" s="745"/>
      <c r="C18" s="746">
        <v>2026</v>
      </c>
      <c r="D18" s="685" t="s">
        <v>3957</v>
      </c>
      <c r="E18" s="685" t="s">
        <v>2876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82">
        <f t="shared" si="0"/>
        <v>0</v>
      </c>
      <c r="P18" s="707"/>
      <c r="Q18" s="707"/>
      <c r="R18" s="707"/>
      <c r="S18" s="782"/>
      <c r="T18" s="782"/>
      <c r="U18" s="778"/>
      <c r="V18" s="814"/>
      <c r="W18" s="695" t="s">
        <v>3644</v>
      </c>
      <c r="Y18" s="781" t="e">
        <f t="shared" si="3"/>
        <v>#DIV/0!</v>
      </c>
    </row>
    <row r="19" spans="1:25" s="784" customFormat="1" ht="18" customHeight="1" x14ac:dyDescent="0.25">
      <c r="A19" s="744">
        <v>10</v>
      </c>
      <c r="B19" s="745"/>
      <c r="C19" s="746">
        <v>2026</v>
      </c>
      <c r="D19" s="685" t="s">
        <v>3958</v>
      </c>
      <c r="E19" s="685" t="s">
        <v>3447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82">
        <f t="shared" si="0"/>
        <v>0</v>
      </c>
      <c r="P19" s="707"/>
      <c r="Q19" s="707"/>
      <c r="R19" s="707"/>
      <c r="S19" s="782"/>
      <c r="T19" s="782"/>
      <c r="U19" s="778"/>
      <c r="V19" s="814"/>
      <c r="W19" s="695" t="s">
        <v>3818</v>
      </c>
      <c r="Y19" s="781" t="e">
        <f t="shared" si="3"/>
        <v>#DIV/0!</v>
      </c>
    </row>
    <row r="20" spans="1:25" s="784" customFormat="1" ht="18" customHeight="1" x14ac:dyDescent="0.25">
      <c r="A20" s="744">
        <v>11</v>
      </c>
      <c r="B20" s="745"/>
      <c r="C20" s="746">
        <v>2026</v>
      </c>
      <c r="D20" s="685" t="s">
        <v>3959</v>
      </c>
      <c r="E20" s="685" t="s">
        <v>2369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82">
        <f t="shared" si="0"/>
        <v>0</v>
      </c>
      <c r="P20" s="707"/>
      <c r="Q20" s="707"/>
      <c r="R20" s="707"/>
      <c r="S20" s="782"/>
      <c r="T20" s="782"/>
      <c r="U20" s="778"/>
      <c r="V20" s="814"/>
      <c r="W20" s="695" t="s">
        <v>3993</v>
      </c>
      <c r="Y20" s="781" t="e">
        <f t="shared" si="3"/>
        <v>#DIV/0!</v>
      </c>
    </row>
    <row r="21" spans="1:25" s="784" customFormat="1" ht="18" customHeight="1" x14ac:dyDescent="0.25">
      <c r="A21" s="744">
        <v>12</v>
      </c>
      <c r="B21" s="745"/>
      <c r="C21" s="746">
        <v>2026</v>
      </c>
      <c r="D21" s="685" t="s">
        <v>3960</v>
      </c>
      <c r="E21" s="685" t="s">
        <v>2681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82">
        <f t="shared" si="0"/>
        <v>0</v>
      </c>
      <c r="P21" s="707"/>
      <c r="Q21" s="707"/>
      <c r="R21" s="707"/>
      <c r="S21" s="782"/>
      <c r="T21" s="782"/>
      <c r="U21" s="778"/>
      <c r="V21" s="814"/>
      <c r="W21" s="695" t="s">
        <v>2537</v>
      </c>
      <c r="Y21" s="781" t="e">
        <f t="shared" si="3"/>
        <v>#DIV/0!</v>
      </c>
    </row>
    <row r="22" spans="1:25" s="784" customFormat="1" ht="18" customHeight="1" x14ac:dyDescent="0.25">
      <c r="A22" s="744">
        <v>13</v>
      </c>
      <c r="B22" s="745"/>
      <c r="C22" s="746">
        <v>2026</v>
      </c>
      <c r="D22" s="685" t="s">
        <v>3961</v>
      </c>
      <c r="E22" s="685" t="s">
        <v>3962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82">
        <f t="shared" si="0"/>
        <v>0</v>
      </c>
      <c r="P22" s="707"/>
      <c r="Q22" s="707"/>
      <c r="R22" s="707"/>
      <c r="S22" s="782"/>
      <c r="T22" s="782"/>
      <c r="U22" s="778"/>
      <c r="V22" s="814"/>
      <c r="W22" s="695" t="s">
        <v>3203</v>
      </c>
      <c r="Y22" s="781" t="e">
        <f t="shared" si="3"/>
        <v>#DIV/0!</v>
      </c>
    </row>
    <row r="23" spans="1:25" s="784" customFormat="1" ht="18" customHeight="1" x14ac:dyDescent="0.25">
      <c r="A23" s="744">
        <v>14</v>
      </c>
      <c r="B23" s="745"/>
      <c r="C23" s="746">
        <v>2026</v>
      </c>
      <c r="D23" s="685" t="s">
        <v>3963</v>
      </c>
      <c r="E23" s="685" t="s">
        <v>3964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82">
        <f t="shared" si="0"/>
        <v>0</v>
      </c>
      <c r="P23" s="707"/>
      <c r="Q23" s="707"/>
      <c r="R23" s="707"/>
      <c r="S23" s="782"/>
      <c r="T23" s="782"/>
      <c r="U23" s="778"/>
      <c r="V23" s="814"/>
      <c r="W23" s="695" t="s">
        <v>3639</v>
      </c>
      <c r="Y23" s="781" t="e">
        <f t="shared" si="3"/>
        <v>#DIV/0!</v>
      </c>
    </row>
    <row r="24" spans="1:25" s="784" customFormat="1" ht="18" customHeight="1" x14ac:dyDescent="0.25">
      <c r="A24" s="744">
        <v>15</v>
      </c>
      <c r="B24" s="745"/>
      <c r="C24" s="746">
        <v>2026</v>
      </c>
      <c r="D24" s="685" t="s">
        <v>3965</v>
      </c>
      <c r="E24" s="685" t="s">
        <v>3966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82">
        <f t="shared" si="0"/>
        <v>0</v>
      </c>
      <c r="P24" s="707"/>
      <c r="Q24" s="707"/>
      <c r="R24" s="707"/>
      <c r="S24" s="782"/>
      <c r="T24" s="782"/>
      <c r="U24" s="778"/>
      <c r="V24" s="814"/>
      <c r="W24" s="695" t="s">
        <v>3242</v>
      </c>
      <c r="Y24" s="781" t="e">
        <f t="shared" si="3"/>
        <v>#DIV/0!</v>
      </c>
    </row>
    <row r="25" spans="1:25" s="784" customFormat="1" ht="18" customHeight="1" x14ac:dyDescent="0.25">
      <c r="A25" s="744">
        <v>16</v>
      </c>
      <c r="B25" s="745"/>
      <c r="C25" s="746">
        <v>2026</v>
      </c>
      <c r="D25" s="685" t="s">
        <v>3967</v>
      </c>
      <c r="E25" s="685" t="s">
        <v>2675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82">
        <f t="shared" si="0"/>
        <v>0</v>
      </c>
      <c r="P25" s="707"/>
      <c r="Q25" s="707"/>
      <c r="R25" s="707"/>
      <c r="S25" s="782"/>
      <c r="T25" s="782"/>
      <c r="U25" s="778"/>
      <c r="V25" s="814"/>
      <c r="W25" s="695" t="s">
        <v>3994</v>
      </c>
      <c r="Y25" s="781" t="e">
        <f t="shared" si="3"/>
        <v>#DIV/0!</v>
      </c>
    </row>
    <row r="26" spans="1:25" s="784" customFormat="1" ht="18" customHeight="1" x14ac:dyDescent="0.25">
      <c r="A26" s="744">
        <v>17</v>
      </c>
      <c r="B26" s="745"/>
      <c r="C26" s="746">
        <v>2026</v>
      </c>
      <c r="D26" s="685" t="s">
        <v>3968</v>
      </c>
      <c r="E26" s="685" t="s">
        <v>3969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82">
        <f t="shared" si="0"/>
        <v>0</v>
      </c>
      <c r="P26" s="707"/>
      <c r="Q26" s="707"/>
      <c r="R26" s="707"/>
      <c r="S26" s="782"/>
      <c r="T26" s="782"/>
      <c r="U26" s="778"/>
      <c r="V26" s="814"/>
      <c r="W26" s="695" t="s">
        <v>2532</v>
      </c>
      <c r="Y26" s="781" t="e">
        <f t="shared" si="3"/>
        <v>#DIV/0!</v>
      </c>
    </row>
    <row r="27" spans="1:25" s="784" customFormat="1" ht="18" customHeight="1" x14ac:dyDescent="0.25">
      <c r="A27" s="744">
        <v>18</v>
      </c>
      <c r="B27" s="745"/>
      <c r="C27" s="746">
        <v>2026</v>
      </c>
      <c r="D27" s="685" t="s">
        <v>3970</v>
      </c>
      <c r="E27" s="685" t="s">
        <v>3796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82">
        <f t="shared" si="0"/>
        <v>0</v>
      </c>
      <c r="P27" s="707"/>
      <c r="Q27" s="707"/>
      <c r="R27" s="707"/>
      <c r="S27" s="782"/>
      <c r="T27" s="782"/>
      <c r="U27" s="778"/>
      <c r="V27" s="814"/>
      <c r="W27" s="695" t="s">
        <v>2990</v>
      </c>
      <c r="Y27" s="781" t="e">
        <f t="shared" si="3"/>
        <v>#DIV/0!</v>
      </c>
    </row>
    <row r="28" spans="1:25" s="784" customFormat="1" ht="18" customHeight="1" x14ac:dyDescent="0.25">
      <c r="A28" s="744">
        <v>19</v>
      </c>
      <c r="B28" s="745"/>
      <c r="C28" s="746">
        <v>2026</v>
      </c>
      <c r="D28" s="685" t="s">
        <v>3971</v>
      </c>
      <c r="E28" s="685" t="s">
        <v>3972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82">
        <f t="shared" si="0"/>
        <v>0</v>
      </c>
      <c r="P28" s="707"/>
      <c r="Q28" s="707"/>
      <c r="R28" s="707"/>
      <c r="S28" s="782">
        <f t="shared" si="1"/>
        <v>0</v>
      </c>
      <c r="T28" s="782">
        <f t="shared" si="2"/>
        <v>0</v>
      </c>
      <c r="U28" s="778"/>
      <c r="V28" s="814"/>
      <c r="W28" s="695" t="s">
        <v>3643</v>
      </c>
      <c r="Y28" s="781" t="e">
        <f t="shared" si="3"/>
        <v>#DIV/0!</v>
      </c>
    </row>
    <row r="29" spans="1:25" s="784" customFormat="1" ht="18" customHeight="1" x14ac:dyDescent="0.25">
      <c r="A29" s="744">
        <v>20</v>
      </c>
      <c r="B29" s="745"/>
      <c r="C29" s="746">
        <v>2026</v>
      </c>
      <c r="D29" s="685" t="s">
        <v>3973</v>
      </c>
      <c r="E29" s="685" t="s">
        <v>3974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82">
        <f t="shared" si="0"/>
        <v>0</v>
      </c>
      <c r="P29" s="707"/>
      <c r="Q29" s="707"/>
      <c r="R29" s="707"/>
      <c r="S29" s="782"/>
      <c r="T29" s="782"/>
      <c r="U29" s="778"/>
      <c r="V29" s="814"/>
      <c r="W29" s="695" t="s">
        <v>3995</v>
      </c>
      <c r="Y29" s="781" t="e">
        <f t="shared" si="3"/>
        <v>#DIV/0!</v>
      </c>
    </row>
    <row r="30" spans="1:25" s="784" customFormat="1" ht="18" customHeight="1" x14ac:dyDescent="0.25">
      <c r="A30" s="744">
        <v>21</v>
      </c>
      <c r="B30" s="745"/>
      <c r="C30" s="746">
        <v>2026</v>
      </c>
      <c r="D30" s="685" t="s">
        <v>3975</v>
      </c>
      <c r="E30" s="685" t="s">
        <v>3976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82">
        <f t="shared" si="0"/>
        <v>0</v>
      </c>
      <c r="P30" s="707"/>
      <c r="Q30" s="707"/>
      <c r="R30" s="707"/>
      <c r="S30" s="782"/>
      <c r="T30" s="782"/>
      <c r="U30" s="778"/>
      <c r="V30" s="814"/>
      <c r="W30" s="695" t="s">
        <v>3996</v>
      </c>
      <c r="Y30" s="781" t="e">
        <f t="shared" si="3"/>
        <v>#DIV/0!</v>
      </c>
    </row>
    <row r="31" spans="1:25" s="784" customFormat="1" ht="18" customHeight="1" x14ac:dyDescent="0.25">
      <c r="A31" s="744">
        <v>22</v>
      </c>
      <c r="B31" s="745"/>
      <c r="C31" s="746">
        <v>2026</v>
      </c>
      <c r="D31" s="685" t="s">
        <v>3977</v>
      </c>
      <c r="E31" s="685" t="s">
        <v>2371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82">
        <f t="shared" si="0"/>
        <v>0</v>
      </c>
      <c r="P31" s="707"/>
      <c r="Q31" s="707"/>
      <c r="R31" s="707"/>
      <c r="S31" s="782"/>
      <c r="T31" s="782"/>
      <c r="U31" s="778"/>
      <c r="V31" s="814"/>
      <c r="W31" s="695" t="s">
        <v>3818</v>
      </c>
      <c r="Y31" s="781" t="e">
        <f t="shared" si="3"/>
        <v>#DIV/0!</v>
      </c>
    </row>
    <row r="32" spans="1:25" s="784" customFormat="1" ht="18" customHeight="1" x14ac:dyDescent="0.25">
      <c r="A32" s="744">
        <v>23</v>
      </c>
      <c r="B32" s="745"/>
      <c r="C32" s="746">
        <v>2026</v>
      </c>
      <c r="D32" s="685" t="s">
        <v>3978</v>
      </c>
      <c r="E32" s="685" t="s">
        <v>2553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82">
        <f t="shared" si="0"/>
        <v>0</v>
      </c>
      <c r="P32" s="707"/>
      <c r="Q32" s="707"/>
      <c r="R32" s="707"/>
      <c r="S32" s="782"/>
      <c r="T32" s="782"/>
      <c r="U32" s="778"/>
      <c r="V32" s="814"/>
      <c r="W32" s="695" t="s">
        <v>3644</v>
      </c>
      <c r="Y32" s="781" t="e">
        <f t="shared" si="3"/>
        <v>#DIV/0!</v>
      </c>
    </row>
    <row r="33" spans="1:25" s="784" customFormat="1" ht="18" customHeight="1" x14ac:dyDescent="0.25">
      <c r="A33" s="744">
        <v>24</v>
      </c>
      <c r="B33" s="745"/>
      <c r="C33" s="746">
        <v>2026</v>
      </c>
      <c r="D33" s="685" t="s">
        <v>3979</v>
      </c>
      <c r="E33" s="685" t="s">
        <v>3980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82">
        <f t="shared" si="0"/>
        <v>0</v>
      </c>
      <c r="P33" s="707"/>
      <c r="Q33" s="707"/>
      <c r="R33" s="707"/>
      <c r="S33" s="782"/>
      <c r="T33" s="782"/>
      <c r="U33" s="778"/>
      <c r="V33" s="814"/>
      <c r="W33" s="695" t="s">
        <v>3995</v>
      </c>
      <c r="Y33" s="781" t="e">
        <f t="shared" si="3"/>
        <v>#DIV/0!</v>
      </c>
    </row>
    <row r="34" spans="1:25" s="784" customFormat="1" ht="18" customHeight="1" x14ac:dyDescent="0.25">
      <c r="A34" s="744">
        <v>25</v>
      </c>
      <c r="B34" s="745"/>
      <c r="C34" s="746">
        <v>2026</v>
      </c>
      <c r="D34" s="685" t="s">
        <v>3981</v>
      </c>
      <c r="E34" s="685" t="s">
        <v>996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82">
        <f t="shared" si="0"/>
        <v>0</v>
      </c>
      <c r="P34" s="707"/>
      <c r="Q34" s="707"/>
      <c r="R34" s="707"/>
      <c r="S34" s="782"/>
      <c r="T34" s="782"/>
      <c r="U34" s="778"/>
      <c r="V34" s="814"/>
      <c r="W34" s="695" t="s">
        <v>3993</v>
      </c>
      <c r="Y34" s="781" t="e">
        <f t="shared" si="3"/>
        <v>#DIV/0!</v>
      </c>
    </row>
    <row r="35" spans="1:25" s="784" customFormat="1" ht="18" customHeight="1" x14ac:dyDescent="0.25">
      <c r="A35" s="744">
        <v>26</v>
      </c>
      <c r="B35" s="745"/>
      <c r="C35" s="746">
        <v>2026</v>
      </c>
      <c r="D35" s="685" t="s">
        <v>3982</v>
      </c>
      <c r="E35" s="685" t="s">
        <v>2347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82">
        <f t="shared" si="0"/>
        <v>0</v>
      </c>
      <c r="P35" s="707"/>
      <c r="Q35" s="707"/>
      <c r="R35" s="707"/>
      <c r="S35" s="782">
        <f t="shared" si="1"/>
        <v>0</v>
      </c>
      <c r="T35" s="782">
        <f t="shared" si="2"/>
        <v>0</v>
      </c>
      <c r="U35" s="778"/>
      <c r="V35" s="814"/>
      <c r="W35" s="695" t="s">
        <v>3997</v>
      </c>
      <c r="Y35" s="781" t="e">
        <f t="shared" si="3"/>
        <v>#DIV/0!</v>
      </c>
    </row>
    <row r="36" spans="1:25" s="784" customFormat="1" ht="18" customHeight="1" x14ac:dyDescent="0.25">
      <c r="A36" s="744">
        <v>27</v>
      </c>
      <c r="B36" s="745"/>
      <c r="C36" s="746">
        <v>2026</v>
      </c>
      <c r="D36" s="685" t="s">
        <v>3983</v>
      </c>
      <c r="E36" s="685" t="s">
        <v>3984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82">
        <f t="shared" si="0"/>
        <v>0</v>
      </c>
      <c r="P36" s="707"/>
      <c r="Q36" s="707"/>
      <c r="R36" s="707"/>
      <c r="S36" s="782">
        <f t="shared" si="1"/>
        <v>0</v>
      </c>
      <c r="T36" s="782">
        <f t="shared" si="2"/>
        <v>0</v>
      </c>
      <c r="U36" s="778"/>
      <c r="V36" s="814"/>
      <c r="W36" s="695" t="s">
        <v>2499</v>
      </c>
      <c r="Y36" s="781" t="e">
        <f t="shared" si="3"/>
        <v>#DIV/0!</v>
      </c>
    </row>
    <row r="37" spans="1:25" s="784" customFormat="1" ht="18" customHeight="1" x14ac:dyDescent="0.25">
      <c r="A37" s="744">
        <v>28</v>
      </c>
      <c r="B37" s="745"/>
      <c r="C37" s="746">
        <v>2026</v>
      </c>
      <c r="D37" s="685" t="s">
        <v>3985</v>
      </c>
      <c r="E37" s="685" t="s">
        <v>2754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82">
        <f t="shared" si="0"/>
        <v>0</v>
      </c>
      <c r="P37" s="707"/>
      <c r="Q37" s="707"/>
      <c r="R37" s="707"/>
      <c r="S37" s="782">
        <f t="shared" si="1"/>
        <v>0</v>
      </c>
      <c r="T37" s="782">
        <f t="shared" si="2"/>
        <v>0</v>
      </c>
      <c r="U37" s="778"/>
      <c r="V37" s="814"/>
      <c r="W37" s="695" t="s">
        <v>2532</v>
      </c>
      <c r="Y37" s="781" t="e">
        <f t="shared" si="3"/>
        <v>#DIV/0!</v>
      </c>
    </row>
    <row r="38" spans="1:25" s="784" customFormat="1" ht="18" customHeight="1" x14ac:dyDescent="0.25">
      <c r="A38" s="744">
        <v>29</v>
      </c>
      <c r="B38" s="745"/>
      <c r="C38" s="746">
        <v>2026</v>
      </c>
      <c r="D38" s="685" t="s">
        <v>3986</v>
      </c>
      <c r="E38" s="685" t="s">
        <v>967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82">
        <f t="shared" si="0"/>
        <v>0</v>
      </c>
      <c r="P38" s="707">
        <f>SUM(F38:O38)/10</f>
        <v>0</v>
      </c>
      <c r="Q38" s="707"/>
      <c r="R38" s="707"/>
      <c r="S38" s="782">
        <f t="shared" si="1"/>
        <v>0</v>
      </c>
      <c r="T38" s="782">
        <f t="shared" si="2"/>
        <v>0</v>
      </c>
      <c r="U38" s="778"/>
      <c r="V38" s="814"/>
      <c r="W38" s="695" t="s">
        <v>3643</v>
      </c>
      <c r="Y38" s="781" t="e">
        <f t="shared" si="3"/>
        <v>#DIV/0!</v>
      </c>
    </row>
    <row r="39" spans="1:25" s="784" customFormat="1" ht="18" customHeight="1" x14ac:dyDescent="0.25">
      <c r="A39" s="744">
        <v>30</v>
      </c>
      <c r="B39" s="745"/>
      <c r="C39" s="746">
        <v>2026</v>
      </c>
      <c r="D39" s="685" t="s">
        <v>3987</v>
      </c>
      <c r="E39" s="685" t="s">
        <v>3988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82">
        <f t="shared" si="0"/>
        <v>0</v>
      </c>
      <c r="P39" s="707"/>
      <c r="Q39" s="707"/>
      <c r="R39" s="707"/>
      <c r="S39" s="782">
        <f>SUM(P39:R39)/3</f>
        <v>0</v>
      </c>
      <c r="T39" s="782">
        <f>SUM(O39+S39)/2</f>
        <v>0</v>
      </c>
      <c r="U39" s="778"/>
      <c r="V39" s="814"/>
      <c r="W39" s="695" t="s">
        <v>3457</v>
      </c>
      <c r="Y39" s="781" t="e">
        <f t="shared" si="3"/>
        <v>#DIV/0!</v>
      </c>
    </row>
    <row r="40" spans="1:25" s="784" customFormat="1" ht="18" customHeight="1" x14ac:dyDescent="0.25">
      <c r="A40" s="744">
        <v>31</v>
      </c>
      <c r="B40" s="745"/>
      <c r="C40" s="746">
        <v>2026</v>
      </c>
      <c r="D40" s="685" t="s">
        <v>3989</v>
      </c>
      <c r="E40" s="685" t="s">
        <v>2859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82">
        <f t="shared" si="0"/>
        <v>0</v>
      </c>
      <c r="P40" s="707"/>
      <c r="Q40" s="707"/>
      <c r="R40" s="707"/>
      <c r="S40" s="782">
        <f>SUM(P40:R40)/3</f>
        <v>0</v>
      </c>
      <c r="T40" s="782">
        <f>SUM(O40+S40)/2</f>
        <v>0</v>
      </c>
      <c r="U40" s="778"/>
      <c r="V40" s="814"/>
      <c r="W40" s="695" t="s">
        <v>3998</v>
      </c>
      <c r="Y40" s="781" t="e">
        <f t="shared" si="3"/>
        <v>#DIV/0!</v>
      </c>
    </row>
    <row r="41" spans="1:25" s="784" customFormat="1" ht="18" customHeight="1" x14ac:dyDescent="0.25">
      <c r="A41" s="744">
        <v>32</v>
      </c>
      <c r="B41" s="745"/>
      <c r="C41" s="746">
        <v>2026</v>
      </c>
      <c r="D41" s="685" t="s">
        <v>3990</v>
      </c>
      <c r="E41" s="685" t="s">
        <v>3991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82">
        <f t="shared" si="0"/>
        <v>0</v>
      </c>
      <c r="P41" s="707"/>
      <c r="Q41" s="707"/>
      <c r="R41" s="707"/>
      <c r="S41" s="782"/>
      <c r="T41" s="782"/>
      <c r="U41" s="778"/>
      <c r="V41" s="814"/>
      <c r="W41" s="695" t="s">
        <v>3999</v>
      </c>
      <c r="Y41" s="781" t="e">
        <f t="shared" si="3"/>
        <v>#DIV/0!</v>
      </c>
    </row>
    <row r="42" spans="1:25" s="784" customFormat="1" ht="18" customHeight="1" x14ac:dyDescent="0.25">
      <c r="A42" s="744">
        <v>33</v>
      </c>
      <c r="B42" s="745"/>
      <c r="C42" s="746">
        <v>2026</v>
      </c>
      <c r="D42" s="685" t="s">
        <v>3992</v>
      </c>
      <c r="E42" s="685" t="s">
        <v>2553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82">
        <f t="shared" si="0"/>
        <v>0</v>
      </c>
      <c r="P42" s="707"/>
      <c r="Q42" s="707"/>
      <c r="R42" s="707"/>
      <c r="S42" s="782">
        <f>SUM(P42:R42)/3</f>
        <v>0</v>
      </c>
      <c r="T42" s="782">
        <f>SUM(O42+S42)/2</f>
        <v>0</v>
      </c>
      <c r="U42" s="778"/>
      <c r="V42" s="814"/>
      <c r="W42" s="695" t="s">
        <v>3203</v>
      </c>
      <c r="Y42" s="781" t="e">
        <f t="shared" si="3"/>
        <v>#DIV/0!</v>
      </c>
    </row>
    <row r="43" spans="1:25" s="796" customFormat="1" ht="18" customHeight="1" thickBot="1" x14ac:dyDescent="0.35">
      <c r="A43" s="790"/>
      <c r="B43" s="709"/>
      <c r="C43" s="709"/>
      <c r="D43" s="815"/>
      <c r="E43" s="709"/>
      <c r="F43" s="709"/>
      <c r="G43" s="709"/>
      <c r="H43" s="709"/>
      <c r="I43" s="709"/>
      <c r="J43" s="709"/>
      <c r="K43" s="709"/>
      <c r="L43" s="709"/>
      <c r="M43" s="709"/>
      <c r="N43" s="709"/>
      <c r="O43" s="877"/>
      <c r="P43" s="709">
        <f>SUM(F43:O43)/10</f>
        <v>0</v>
      </c>
      <c r="Q43" s="709"/>
      <c r="R43" s="709"/>
      <c r="S43" s="709"/>
      <c r="T43" s="709"/>
      <c r="U43" s="709"/>
      <c r="V43" s="850"/>
      <c r="W43" s="878"/>
    </row>
    <row r="44" spans="1:25" s="796" customFormat="1" ht="18" customHeight="1" thickTop="1" x14ac:dyDescent="0.3">
      <c r="A44" s="797"/>
      <c r="B44" s="797"/>
      <c r="C44" s="797"/>
      <c r="E44" s="797"/>
      <c r="F44" s="797"/>
      <c r="G44" s="797"/>
      <c r="H44" s="797"/>
      <c r="I44" s="797"/>
      <c r="J44" s="797"/>
      <c r="K44" s="797"/>
      <c r="L44" s="797"/>
      <c r="M44" s="797"/>
      <c r="N44" s="797"/>
      <c r="O44" s="803"/>
      <c r="P44" s="797"/>
      <c r="Q44" s="797"/>
      <c r="R44" s="797"/>
      <c r="S44" s="797"/>
      <c r="T44" s="797"/>
      <c r="U44" s="797"/>
      <c r="V44" s="799" t="s">
        <v>101</v>
      </c>
      <c r="W44" s="797"/>
    </row>
    <row r="45" spans="1:25" s="796" customFormat="1" ht="18" customHeight="1" x14ac:dyDescent="0.3">
      <c r="A45" s="797"/>
      <c r="B45" s="797"/>
      <c r="C45" s="797"/>
      <c r="E45" s="797"/>
      <c r="F45" s="797"/>
      <c r="G45" s="797"/>
      <c r="H45" s="797"/>
      <c r="I45" s="797"/>
      <c r="J45" s="797"/>
      <c r="K45" s="797"/>
      <c r="L45" s="797"/>
      <c r="M45" s="797"/>
      <c r="N45" s="797"/>
      <c r="O45" s="1071"/>
      <c r="P45" s="1071"/>
      <c r="Q45" s="1071"/>
      <c r="R45" s="1071"/>
      <c r="S45" s="1071"/>
      <c r="T45" s="1071"/>
      <c r="U45" s="1071"/>
      <c r="V45" s="1071"/>
      <c r="W45" s="1071"/>
    </row>
    <row r="46" spans="1:25" s="796" customFormat="1" ht="18" customHeight="1" x14ac:dyDescent="0.3">
      <c r="A46" s="797"/>
      <c r="B46" s="797"/>
      <c r="C46" s="797"/>
      <c r="E46" s="797"/>
      <c r="F46" s="797"/>
      <c r="G46" s="797"/>
      <c r="H46" s="797"/>
      <c r="I46" s="797"/>
      <c r="J46" s="797"/>
      <c r="K46" s="797"/>
      <c r="L46" s="797"/>
      <c r="M46" s="797"/>
      <c r="N46" s="797"/>
      <c r="O46" s="1071"/>
      <c r="P46" s="1071"/>
      <c r="Q46" s="1071"/>
      <c r="R46" s="797"/>
      <c r="S46" s="797"/>
      <c r="T46" s="797"/>
      <c r="U46" s="797"/>
      <c r="V46" s="799" t="s">
        <v>101</v>
      </c>
      <c r="W46" s="797"/>
    </row>
    <row r="47" spans="1:25" s="796" customFormat="1" ht="18" customHeight="1" x14ac:dyDescent="0.3">
      <c r="A47" s="797"/>
      <c r="B47" s="797"/>
      <c r="C47" s="797"/>
      <c r="E47" s="797"/>
      <c r="F47" s="797"/>
      <c r="G47" s="797"/>
      <c r="H47" s="797"/>
      <c r="I47" s="797"/>
      <c r="J47" s="797"/>
      <c r="K47" s="797"/>
      <c r="L47" s="797"/>
      <c r="M47" s="797"/>
      <c r="N47" s="797"/>
      <c r="O47" s="800"/>
      <c r="P47" s="780"/>
      <c r="Q47" s="780"/>
      <c r="R47" s="797"/>
      <c r="S47" s="797"/>
      <c r="T47" s="797"/>
      <c r="U47" s="797"/>
      <c r="V47" s="799" t="s">
        <v>101</v>
      </c>
      <c r="W47" s="797"/>
    </row>
    <row r="48" spans="1:25" s="796" customFormat="1" ht="18" customHeight="1" x14ac:dyDescent="0.3">
      <c r="A48" s="797"/>
      <c r="B48" s="797"/>
      <c r="C48" s="797"/>
      <c r="E48" s="797"/>
      <c r="F48" s="797"/>
      <c r="G48" s="797"/>
      <c r="H48" s="797"/>
      <c r="I48" s="797"/>
      <c r="J48" s="797"/>
      <c r="K48" s="797"/>
      <c r="L48" s="797"/>
      <c r="M48" s="797"/>
      <c r="N48" s="797"/>
      <c r="O48" s="800"/>
      <c r="P48" s="780"/>
      <c r="Q48" s="780"/>
      <c r="R48" s="797"/>
      <c r="S48" s="797"/>
      <c r="T48" s="797"/>
      <c r="U48" s="797"/>
      <c r="V48" s="799" t="s">
        <v>101</v>
      </c>
      <c r="W48" s="797"/>
    </row>
    <row r="49" spans="1:33" s="796" customFormat="1" ht="18" customHeight="1" x14ac:dyDescent="0.3">
      <c r="A49" s="797"/>
      <c r="B49" s="797"/>
      <c r="C49" s="797"/>
      <c r="E49" s="797"/>
      <c r="F49" s="797"/>
      <c r="G49" s="797"/>
      <c r="H49" s="797"/>
      <c r="I49" s="797"/>
      <c r="J49" s="797"/>
      <c r="K49" s="797"/>
      <c r="L49" s="797"/>
      <c r="M49" s="797"/>
      <c r="N49" s="797"/>
      <c r="O49" s="1072"/>
      <c r="P49" s="1072"/>
      <c r="Q49" s="1072"/>
      <c r="R49" s="797"/>
      <c r="S49" s="797"/>
      <c r="T49" s="797"/>
      <c r="U49" s="797"/>
      <c r="V49" s="799" t="s">
        <v>101</v>
      </c>
      <c r="W49" s="797"/>
    </row>
    <row r="50" spans="1:33" s="796" customFormat="1" ht="18" customHeight="1" x14ac:dyDescent="0.3">
      <c r="A50" s="797"/>
      <c r="B50" s="797"/>
      <c r="C50" s="797"/>
      <c r="E50" s="797"/>
      <c r="F50" s="797"/>
      <c r="G50" s="797"/>
      <c r="H50" s="797"/>
      <c r="I50" s="797"/>
      <c r="J50" s="797"/>
      <c r="K50" s="797"/>
      <c r="L50" s="797"/>
      <c r="M50" s="797"/>
      <c r="N50" s="797"/>
      <c r="O50" s="1071"/>
      <c r="P50" s="1071"/>
      <c r="Q50" s="1071"/>
      <c r="R50" s="1071"/>
      <c r="S50" s="1071"/>
      <c r="T50" s="1071"/>
      <c r="U50" s="1071"/>
      <c r="V50" s="1071"/>
      <c r="W50" s="1071"/>
      <c r="Y50" s="796" t="s">
        <v>114</v>
      </c>
    </row>
    <row r="51" spans="1:33" s="796" customFormat="1" ht="18" customHeight="1" x14ac:dyDescent="0.3">
      <c r="A51" s="797"/>
      <c r="B51" s="797"/>
      <c r="C51" s="797"/>
      <c r="E51" s="797"/>
      <c r="F51" s="797"/>
      <c r="G51" s="797"/>
      <c r="H51" s="797"/>
      <c r="I51" s="797"/>
      <c r="J51" s="797"/>
      <c r="K51" s="797"/>
      <c r="L51" s="797"/>
      <c r="M51" s="797"/>
      <c r="N51" s="797"/>
      <c r="O51" s="803"/>
      <c r="P51" s="797"/>
      <c r="Q51" s="797"/>
      <c r="R51" s="797"/>
      <c r="S51" s="797"/>
      <c r="T51" s="797"/>
      <c r="U51" s="797"/>
      <c r="V51" s="799" t="s">
        <v>101</v>
      </c>
      <c r="W51" s="797"/>
    </row>
    <row r="52" spans="1:33" s="796" customFormat="1" ht="18" customHeight="1" x14ac:dyDescent="0.3">
      <c r="A52" s="797"/>
      <c r="B52" s="797"/>
      <c r="C52" s="797"/>
      <c r="E52" s="797"/>
      <c r="F52" s="797"/>
      <c r="G52" s="797"/>
      <c r="H52" s="797"/>
      <c r="I52" s="797"/>
      <c r="J52" s="797"/>
      <c r="K52" s="797"/>
      <c r="L52" s="797"/>
      <c r="M52" s="797"/>
      <c r="N52" s="797"/>
      <c r="O52" s="803"/>
      <c r="P52" s="797"/>
      <c r="Q52" s="797"/>
      <c r="R52" s="797"/>
      <c r="S52" s="797"/>
      <c r="T52" s="797"/>
      <c r="U52" s="797"/>
      <c r="V52" s="799" t="s">
        <v>101</v>
      </c>
      <c r="W52" s="797"/>
    </row>
    <row r="53" spans="1:33" s="796" customFormat="1" ht="18" customHeight="1" x14ac:dyDescent="0.3">
      <c r="A53" s="797"/>
      <c r="B53" s="797"/>
      <c r="C53" s="797"/>
      <c r="E53" s="797"/>
      <c r="F53" s="797"/>
      <c r="G53" s="797"/>
      <c r="H53" s="797"/>
      <c r="I53" s="797"/>
      <c r="J53" s="797"/>
      <c r="K53" s="797"/>
      <c r="L53" s="797"/>
      <c r="M53" s="797"/>
      <c r="N53" s="797"/>
      <c r="O53" s="803"/>
      <c r="P53" s="797"/>
      <c r="Q53" s="797"/>
      <c r="R53" s="797"/>
      <c r="S53" s="797"/>
      <c r="T53" s="797"/>
      <c r="U53" s="797"/>
      <c r="V53" s="799" t="s">
        <v>101</v>
      </c>
      <c r="W53" s="797"/>
    </row>
    <row r="54" spans="1:33" s="796" customFormat="1" ht="18" customHeight="1" x14ac:dyDescent="0.3">
      <c r="A54" s="797"/>
      <c r="B54" s="797"/>
      <c r="C54" s="797"/>
      <c r="E54" s="797"/>
      <c r="F54" s="797"/>
      <c r="G54" s="797"/>
      <c r="H54" s="797"/>
      <c r="I54" s="797"/>
      <c r="J54" s="797"/>
      <c r="K54" s="797"/>
      <c r="L54" s="797"/>
      <c r="M54" s="797"/>
      <c r="N54" s="797"/>
      <c r="O54" s="803"/>
      <c r="P54" s="797"/>
      <c r="Q54" s="797"/>
      <c r="R54" s="797"/>
      <c r="S54" s="797"/>
      <c r="T54" s="797"/>
      <c r="U54" s="797"/>
      <c r="V54" s="799" t="s">
        <v>101</v>
      </c>
      <c r="W54" s="797"/>
    </row>
    <row r="55" spans="1:33" s="796" customFormat="1" ht="18" customHeight="1" x14ac:dyDescent="0.3">
      <c r="A55" s="797"/>
      <c r="B55" s="797"/>
      <c r="C55" s="797"/>
      <c r="E55" s="797"/>
      <c r="F55" s="797"/>
      <c r="G55" s="797"/>
      <c r="H55" s="797"/>
      <c r="I55" s="797"/>
      <c r="J55" s="797"/>
      <c r="K55" s="797"/>
      <c r="L55" s="797"/>
      <c r="M55" s="797"/>
      <c r="N55" s="797"/>
      <c r="O55" s="803"/>
      <c r="P55" s="797"/>
      <c r="Q55" s="797"/>
      <c r="R55" s="797"/>
      <c r="S55" s="797"/>
      <c r="T55" s="797"/>
      <c r="U55" s="797"/>
      <c r="V55" s="799" t="s">
        <v>101</v>
      </c>
      <c r="W55" s="797"/>
    </row>
    <row r="56" spans="1:33" s="796" customFormat="1" ht="18" customHeight="1" x14ac:dyDescent="0.3">
      <c r="A56" s="797"/>
      <c r="B56" s="797"/>
      <c r="C56" s="797"/>
      <c r="E56" s="797"/>
      <c r="F56" s="797"/>
      <c r="G56" s="797"/>
      <c r="H56" s="797"/>
      <c r="I56" s="797"/>
      <c r="J56" s="797"/>
      <c r="K56" s="797"/>
      <c r="L56" s="797"/>
      <c r="M56" s="797"/>
      <c r="N56" s="797"/>
      <c r="O56" s="803"/>
      <c r="P56" s="797"/>
      <c r="Q56" s="797"/>
      <c r="R56" s="797"/>
      <c r="S56" s="797"/>
      <c r="T56" s="797"/>
      <c r="U56" s="797"/>
      <c r="V56" s="799" t="s">
        <v>101</v>
      </c>
      <c r="W56" s="797"/>
    </row>
    <row r="57" spans="1:33" s="796" customFormat="1" ht="18" customHeight="1" x14ac:dyDescent="0.3">
      <c r="A57" s="797"/>
      <c r="B57" s="797"/>
      <c r="C57" s="797"/>
      <c r="E57" s="797"/>
      <c r="F57" s="797"/>
      <c r="G57" s="797"/>
      <c r="H57" s="797"/>
      <c r="I57" s="797"/>
      <c r="J57" s="797"/>
      <c r="K57" s="797"/>
      <c r="L57" s="797"/>
      <c r="M57" s="797"/>
      <c r="N57" s="797"/>
      <c r="O57" s="803"/>
      <c r="P57" s="797"/>
      <c r="Q57" s="797"/>
      <c r="R57" s="797"/>
      <c r="S57" s="797"/>
      <c r="T57" s="797"/>
      <c r="U57" s="797"/>
      <c r="V57" s="852"/>
      <c r="W57" s="797"/>
    </row>
    <row r="58" spans="1:33" s="796" customFormat="1" ht="18" customHeight="1" x14ac:dyDescent="0.3">
      <c r="A58" s="797"/>
      <c r="B58" s="797"/>
      <c r="C58" s="797"/>
      <c r="E58" s="797"/>
      <c r="F58" s="797"/>
      <c r="G58" s="797"/>
      <c r="H58" s="797"/>
      <c r="I58" s="797"/>
      <c r="J58" s="797"/>
      <c r="K58" s="797"/>
      <c r="L58" s="797"/>
      <c r="M58" s="797"/>
      <c r="N58" s="797"/>
      <c r="O58" s="803"/>
      <c r="P58" s="797"/>
      <c r="Q58" s="797"/>
      <c r="R58" s="797"/>
      <c r="S58" s="797"/>
      <c r="T58" s="797"/>
      <c r="U58" s="797"/>
      <c r="V58" s="799" t="s">
        <v>101</v>
      </c>
      <c r="W58" s="797"/>
    </row>
    <row r="59" spans="1:33" s="796" customFormat="1" ht="18" customHeight="1" x14ac:dyDescent="0.3">
      <c r="A59" s="797"/>
      <c r="B59" s="797"/>
      <c r="C59" s="797"/>
      <c r="E59" s="797"/>
      <c r="F59" s="797"/>
      <c r="G59" s="797"/>
      <c r="H59" s="797"/>
      <c r="I59" s="797"/>
      <c r="J59" s="797"/>
      <c r="K59" s="797"/>
      <c r="L59" s="797"/>
      <c r="M59" s="797"/>
      <c r="N59" s="797"/>
      <c r="O59" s="803"/>
      <c r="P59" s="797"/>
      <c r="Q59" s="797"/>
      <c r="R59" s="797"/>
      <c r="S59" s="797"/>
      <c r="T59" s="797"/>
      <c r="U59" s="797"/>
      <c r="V59" s="799" t="s">
        <v>101</v>
      </c>
      <c r="W59" s="797"/>
    </row>
    <row r="60" spans="1:33" s="796" customFormat="1" ht="18" customHeight="1" x14ac:dyDescent="0.3">
      <c r="A60" s="797"/>
      <c r="B60" s="797"/>
      <c r="C60" s="797"/>
      <c r="E60" s="797"/>
      <c r="F60" s="797"/>
      <c r="G60" s="797"/>
      <c r="H60" s="797"/>
      <c r="I60" s="797"/>
      <c r="J60" s="797"/>
      <c r="K60" s="797"/>
      <c r="L60" s="797"/>
      <c r="M60" s="797"/>
      <c r="N60" s="797"/>
      <c r="O60" s="803"/>
      <c r="P60" s="797"/>
      <c r="Q60" s="797"/>
      <c r="R60" s="797"/>
      <c r="S60" s="797"/>
      <c r="T60" s="797"/>
      <c r="U60" s="797"/>
      <c r="V60" s="799" t="s">
        <v>101</v>
      </c>
      <c r="W60" s="797"/>
    </row>
    <row r="61" spans="1:33" s="796" customFormat="1" ht="18" customHeight="1" x14ac:dyDescent="0.3">
      <c r="A61" s="797"/>
      <c r="B61" s="797"/>
      <c r="C61" s="797"/>
      <c r="E61" s="797"/>
      <c r="F61" s="797"/>
      <c r="G61" s="797"/>
      <c r="H61" s="797"/>
      <c r="I61" s="797"/>
      <c r="J61" s="797"/>
      <c r="K61" s="797"/>
      <c r="L61" s="797"/>
      <c r="M61" s="797"/>
      <c r="N61" s="797"/>
      <c r="O61" s="803"/>
      <c r="P61" s="797"/>
      <c r="Q61" s="797"/>
      <c r="R61" s="797"/>
      <c r="S61" s="797"/>
      <c r="T61" s="797"/>
      <c r="U61" s="797"/>
      <c r="V61" s="799" t="s">
        <v>101</v>
      </c>
      <c r="W61" s="797"/>
    </row>
    <row r="62" spans="1:33" s="796" customFormat="1" ht="18" customHeight="1" x14ac:dyDescent="0.3">
      <c r="A62" s="797"/>
      <c r="B62" s="797"/>
      <c r="C62" s="797"/>
      <c r="E62" s="797"/>
      <c r="F62" s="797"/>
      <c r="G62" s="797"/>
      <c r="H62" s="797"/>
      <c r="I62" s="797"/>
      <c r="J62" s="797"/>
      <c r="K62" s="797"/>
      <c r="L62" s="797"/>
      <c r="M62" s="797"/>
      <c r="N62" s="797"/>
      <c r="O62" s="803"/>
      <c r="P62" s="797"/>
      <c r="Q62" s="797"/>
      <c r="R62" s="797"/>
      <c r="S62" s="797"/>
      <c r="T62" s="797"/>
      <c r="U62" s="797"/>
      <c r="V62" s="799" t="s">
        <v>101</v>
      </c>
      <c r="W62" s="797"/>
    </row>
    <row r="63" spans="1:33" s="797" customFormat="1" ht="18" customHeight="1" x14ac:dyDescent="0.3">
      <c r="D63" s="796"/>
      <c r="O63" s="803"/>
      <c r="V63" s="799" t="s">
        <v>101</v>
      </c>
      <c r="X63" s="796"/>
      <c r="Y63" s="796"/>
      <c r="Z63" s="796"/>
      <c r="AA63" s="796"/>
      <c r="AB63" s="796"/>
      <c r="AC63" s="796"/>
      <c r="AD63" s="796"/>
      <c r="AE63" s="796"/>
      <c r="AF63" s="796"/>
      <c r="AG63" s="796"/>
    </row>
    <row r="64" spans="1:33" s="797" customFormat="1" ht="18" customHeight="1" x14ac:dyDescent="0.3">
      <c r="D64" s="796"/>
      <c r="O64" s="803"/>
      <c r="V64" s="799" t="s">
        <v>101</v>
      </c>
      <c r="X64" s="796"/>
      <c r="Y64" s="796"/>
      <c r="Z64" s="796"/>
      <c r="AA64" s="796"/>
      <c r="AB64" s="796"/>
      <c r="AC64" s="796"/>
      <c r="AD64" s="796"/>
      <c r="AE64" s="796"/>
      <c r="AF64" s="796"/>
      <c r="AG64" s="796"/>
    </row>
    <row r="65" spans="1:33" s="797" customFormat="1" ht="18" customHeight="1" x14ac:dyDescent="0.3">
      <c r="D65" s="796"/>
      <c r="O65" s="803"/>
      <c r="V65" s="799" t="s">
        <v>101</v>
      </c>
      <c r="X65" s="796"/>
      <c r="Y65" s="796"/>
      <c r="Z65" s="796"/>
      <c r="AA65" s="796"/>
      <c r="AB65" s="796"/>
      <c r="AC65" s="796"/>
      <c r="AD65" s="796"/>
      <c r="AE65" s="796"/>
      <c r="AF65" s="796"/>
      <c r="AG65" s="796"/>
    </row>
    <row r="66" spans="1:33" s="797" customFormat="1" ht="18" customHeight="1" x14ac:dyDescent="0.3">
      <c r="D66" s="796"/>
      <c r="O66" s="803"/>
      <c r="V66" s="799" t="s">
        <v>101</v>
      </c>
      <c r="X66" s="796"/>
      <c r="Y66" s="796"/>
      <c r="Z66" s="796"/>
      <c r="AA66" s="796"/>
      <c r="AB66" s="796"/>
      <c r="AC66" s="796"/>
      <c r="AD66" s="796"/>
      <c r="AE66" s="796"/>
      <c r="AF66" s="796"/>
      <c r="AG66" s="796"/>
    </row>
    <row r="67" spans="1:33" s="797" customFormat="1" ht="18" customHeight="1" x14ac:dyDescent="0.3">
      <c r="D67" s="796"/>
      <c r="O67" s="803"/>
      <c r="V67" s="799" t="s">
        <v>101</v>
      </c>
      <c r="X67" s="796"/>
      <c r="Y67" s="796"/>
      <c r="Z67" s="796"/>
      <c r="AA67" s="796"/>
      <c r="AB67" s="796"/>
      <c r="AC67" s="796"/>
      <c r="AD67" s="796"/>
      <c r="AE67" s="796"/>
      <c r="AF67" s="796"/>
      <c r="AG67" s="796"/>
    </row>
    <row r="68" spans="1:33" s="797" customFormat="1" ht="18" customHeight="1" x14ac:dyDescent="0.3">
      <c r="D68" s="796"/>
      <c r="O68" s="803"/>
      <c r="V68" s="799" t="s">
        <v>101</v>
      </c>
      <c r="X68" s="796"/>
      <c r="Y68" s="796"/>
      <c r="Z68" s="796"/>
      <c r="AA68" s="796"/>
      <c r="AB68" s="796"/>
      <c r="AC68" s="796"/>
      <c r="AD68" s="796"/>
      <c r="AE68" s="796"/>
      <c r="AF68" s="796"/>
      <c r="AG68" s="796"/>
    </row>
    <row r="69" spans="1:33" s="797" customFormat="1" ht="18" customHeight="1" x14ac:dyDescent="0.3">
      <c r="D69" s="796"/>
      <c r="O69" s="803"/>
      <c r="V69" s="799" t="s">
        <v>101</v>
      </c>
      <c r="X69" s="796"/>
      <c r="Y69" s="796"/>
      <c r="Z69" s="796"/>
      <c r="AA69" s="796"/>
      <c r="AB69" s="796"/>
      <c r="AC69" s="796"/>
      <c r="AD69" s="796"/>
      <c r="AE69" s="796"/>
      <c r="AF69" s="796"/>
      <c r="AG69" s="796"/>
    </row>
    <row r="70" spans="1:33" s="797" customFormat="1" ht="18" customHeight="1" x14ac:dyDescent="0.3">
      <c r="D70" s="796"/>
      <c r="O70" s="803"/>
      <c r="V70" s="799" t="s">
        <v>101</v>
      </c>
      <c r="X70" s="796"/>
      <c r="Y70" s="796"/>
      <c r="Z70" s="796"/>
      <c r="AA70" s="796"/>
      <c r="AB70" s="796"/>
      <c r="AC70" s="796"/>
      <c r="AD70" s="796"/>
      <c r="AE70" s="796"/>
      <c r="AF70" s="796"/>
      <c r="AG70" s="796"/>
    </row>
    <row r="71" spans="1:33" s="797" customFormat="1" ht="18" customHeight="1" x14ac:dyDescent="0.3">
      <c r="D71" s="796"/>
      <c r="O71" s="803"/>
      <c r="V71" s="799" t="s">
        <v>101</v>
      </c>
      <c r="X71" s="796"/>
      <c r="Y71" s="796"/>
      <c r="Z71" s="796"/>
      <c r="AA71" s="796"/>
      <c r="AB71" s="796"/>
      <c r="AC71" s="796"/>
      <c r="AD71" s="796"/>
      <c r="AE71" s="796"/>
      <c r="AF71" s="796"/>
      <c r="AG71" s="796"/>
    </row>
    <row r="72" spans="1:33" s="797" customFormat="1" ht="18" customHeight="1" x14ac:dyDescent="0.3">
      <c r="D72" s="796"/>
      <c r="O72" s="803"/>
      <c r="V72" s="799" t="s">
        <v>101</v>
      </c>
      <c r="X72" s="796"/>
      <c r="Y72" s="796"/>
      <c r="Z72" s="796"/>
      <c r="AA72" s="796"/>
      <c r="AB72" s="796"/>
      <c r="AC72" s="796"/>
      <c r="AD72" s="796"/>
      <c r="AE72" s="796"/>
      <c r="AF72" s="796"/>
      <c r="AG72" s="796"/>
    </row>
    <row r="73" spans="1:33" s="235" customFormat="1" ht="18" customHeight="1" x14ac:dyDescent="0.3">
      <c r="A73" s="1"/>
      <c r="B73" s="1"/>
      <c r="C73" s="1"/>
      <c r="D73"/>
      <c r="E73" s="1"/>
      <c r="F73" s="1"/>
      <c r="G73" s="1"/>
      <c r="H73" s="1"/>
      <c r="I73" s="237"/>
      <c r="J73" s="1"/>
      <c r="K73" s="1"/>
      <c r="L73" s="1"/>
      <c r="M73" s="1"/>
      <c r="N73" s="200"/>
      <c r="O73" s="25"/>
      <c r="P73" s="20"/>
      <c r="Q73" s="20"/>
      <c r="R73" s="20"/>
      <c r="V73" s="14" t="s">
        <v>101</v>
      </c>
      <c r="X73"/>
      <c r="Y73"/>
      <c r="Z73"/>
      <c r="AA73"/>
      <c r="AB73"/>
      <c r="AC73"/>
      <c r="AD73"/>
      <c r="AE73"/>
      <c r="AF73"/>
      <c r="AG73"/>
    </row>
    <row r="74" spans="1:33" s="235" customFormat="1" ht="18" customHeight="1" x14ac:dyDescent="0.3">
      <c r="A74" s="1"/>
      <c r="B74" s="1"/>
      <c r="C74" s="1"/>
      <c r="D74"/>
      <c r="E74" s="1"/>
      <c r="F74" s="1"/>
      <c r="G74" s="1"/>
      <c r="H74" s="1"/>
      <c r="I74" s="237"/>
      <c r="J74" s="1"/>
      <c r="K74" s="1"/>
      <c r="L74" s="1"/>
      <c r="M74" s="1"/>
      <c r="N74" s="200"/>
      <c r="O74" s="25"/>
      <c r="P74" s="20"/>
      <c r="Q74" s="20"/>
      <c r="R74" s="20"/>
      <c r="V74" s="14" t="s">
        <v>101</v>
      </c>
      <c r="X74"/>
      <c r="Y74"/>
      <c r="Z74"/>
      <c r="AA74"/>
      <c r="AB74"/>
      <c r="AC74"/>
      <c r="AD74"/>
      <c r="AE74"/>
      <c r="AF74"/>
      <c r="AG74"/>
    </row>
  </sheetData>
  <autoFilter ref="O8:X56">
    <filterColumn colId="1" showButton="0"/>
    <filterColumn colId="2" showButton="0"/>
    <filterColumn colId="3" showButton="0"/>
  </autoFilter>
  <mergeCells count="19">
    <mergeCell ref="O46:Q46"/>
    <mergeCell ref="O49:Q49"/>
    <mergeCell ref="O50:W50"/>
    <mergeCell ref="P8:S8"/>
    <mergeCell ref="T8:T9"/>
    <mergeCell ref="U8:U9"/>
    <mergeCell ref="V8:V9"/>
    <mergeCell ref="W8:W9"/>
    <mergeCell ref="O45:W45"/>
    <mergeCell ref="E2:W2"/>
    <mergeCell ref="E3:W3"/>
    <mergeCell ref="E4:W4"/>
    <mergeCell ref="E5:AG5"/>
    <mergeCell ref="A8:A9"/>
    <mergeCell ref="B8:C9"/>
    <mergeCell ref="D8:D9"/>
    <mergeCell ref="E8:E9"/>
    <mergeCell ref="F8:N8"/>
    <mergeCell ref="O8:O9"/>
  </mergeCells>
  <printOptions horizontalCentered="1"/>
  <pageMargins left="0.96" right="0.16" top="0.27" bottom="0.31" header="0.23" footer="0.27"/>
  <pageSetup scale="98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FF00"/>
  </sheetPr>
  <dimension ref="A1:AG59"/>
  <sheetViews>
    <sheetView topLeftCell="A23" zoomScale="120" zoomScaleNormal="120" workbookViewId="0">
      <selection activeCell="W10" sqref="W10:W27"/>
    </sheetView>
  </sheetViews>
  <sheetFormatPr defaultRowHeight="18.75" x14ac:dyDescent="0.3"/>
  <cols>
    <col min="1" max="1" width="4.296875" style="1" customWidth="1"/>
    <col min="2" max="2" width="4.59765625" style="1" customWidth="1"/>
    <col min="3" max="3" width="4.19921875" style="1" customWidth="1"/>
    <col min="4" max="4" width="16" customWidth="1"/>
    <col min="5" max="5" width="8.19921875" style="1" customWidth="1"/>
    <col min="6" max="8" width="2.8984375" style="1" customWidth="1"/>
    <col min="9" max="9" width="2.8984375" style="237" customWidth="1"/>
    <col min="10" max="13" width="2.8984375" style="1" customWidth="1"/>
    <col min="14" max="14" width="2.8984375" style="200" customWidth="1"/>
    <col min="15" max="15" width="4.59765625" style="25" customWidth="1"/>
    <col min="16" max="18" width="2.19921875" style="20" hidden="1" customWidth="1"/>
    <col min="19" max="20" width="3.3984375" style="23" hidden="1" customWidth="1"/>
    <col min="21" max="21" width="4.69921875" style="23" customWidth="1"/>
    <col min="22" max="22" width="4.3984375" style="14" hidden="1" customWidth="1"/>
    <col min="23" max="23" width="25.19921875" style="23" customWidth="1"/>
    <col min="24" max="24" width="3.09765625" customWidth="1"/>
    <col min="25" max="25" width="10.19921875" customWidth="1"/>
  </cols>
  <sheetData>
    <row r="1" spans="1:33" s="806" customFormat="1" x14ac:dyDescent="0.3">
      <c r="A1" s="807"/>
      <c r="B1" s="807"/>
      <c r="C1" s="807"/>
      <c r="E1" s="807"/>
      <c r="F1" s="807"/>
      <c r="G1" s="807"/>
      <c r="H1" s="807"/>
      <c r="I1" s="801"/>
      <c r="J1" s="807"/>
      <c r="K1" s="807"/>
      <c r="L1" s="807"/>
      <c r="M1" s="807"/>
      <c r="N1" s="804"/>
      <c r="O1" s="827"/>
      <c r="P1" s="801"/>
      <c r="Q1" s="801"/>
      <c r="R1" s="801"/>
      <c r="S1" s="801"/>
      <c r="T1" s="801"/>
      <c r="U1" s="801"/>
      <c r="V1" s="805"/>
      <c r="W1" s="801"/>
    </row>
    <row r="2" spans="1:33" s="761" customFormat="1" ht="15.75" x14ac:dyDescent="0.25">
      <c r="B2" s="763"/>
      <c r="C2" s="763"/>
      <c r="D2" s="763"/>
      <c r="E2" s="1046" t="s">
        <v>2237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</row>
    <row r="3" spans="1:33" s="761" customFormat="1" ht="15.75" x14ac:dyDescent="0.25">
      <c r="B3" s="763"/>
      <c r="C3" s="763"/>
      <c r="D3" s="763"/>
      <c r="E3" s="1046" t="s">
        <v>2321</v>
      </c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1046"/>
      <c r="W3" s="1046"/>
    </row>
    <row r="4" spans="1:33" s="761" customFormat="1" ht="15.75" hidden="1" x14ac:dyDescent="0.25">
      <c r="B4" s="762"/>
      <c r="C4" s="762"/>
      <c r="D4" s="762"/>
      <c r="E4" s="1047" t="s">
        <v>34</v>
      </c>
      <c r="F4" s="1047"/>
      <c r="G4" s="1047"/>
      <c r="H4" s="1047"/>
      <c r="I4" s="1047"/>
      <c r="J4" s="1047"/>
      <c r="K4" s="1047"/>
      <c r="L4" s="1047"/>
      <c r="M4" s="1047"/>
      <c r="N4" s="1047"/>
      <c r="O4" s="1047"/>
      <c r="P4" s="1047"/>
      <c r="Q4" s="1047"/>
      <c r="R4" s="1047"/>
      <c r="S4" s="1047"/>
      <c r="T4" s="1047"/>
      <c r="U4" s="1047"/>
      <c r="V4" s="1047"/>
      <c r="W4" s="1047"/>
      <c r="X4" s="762"/>
    </row>
    <row r="5" spans="1:33" s="761" customFormat="1" ht="15.75" customHeight="1" x14ac:dyDescent="0.25">
      <c r="B5" s="763"/>
      <c r="C5" s="763"/>
      <c r="D5" s="763"/>
      <c r="E5" s="1052" t="s">
        <v>2308</v>
      </c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1052"/>
      <c r="V5" s="1052"/>
      <c r="W5" s="1052"/>
      <c r="X5" s="1052"/>
      <c r="Y5" s="1052"/>
      <c r="Z5" s="1052"/>
      <c r="AA5" s="1052"/>
      <c r="AB5" s="1052"/>
      <c r="AC5" s="1052"/>
      <c r="AD5" s="1052"/>
      <c r="AE5" s="1052"/>
      <c r="AF5" s="1052"/>
      <c r="AG5" s="1052"/>
    </row>
    <row r="6" spans="1:33" s="761" customFormat="1" ht="15.75" x14ac:dyDescent="0.25">
      <c r="A6" s="775"/>
      <c r="B6" s="775"/>
      <c r="C6" s="775"/>
      <c r="D6" s="775"/>
      <c r="E6" s="775"/>
      <c r="F6" s="775"/>
      <c r="G6" s="775"/>
      <c r="H6" s="775"/>
      <c r="I6" s="775"/>
      <c r="J6" s="775"/>
      <c r="K6" s="775"/>
      <c r="L6" s="775"/>
      <c r="M6" s="775"/>
      <c r="N6" s="883"/>
      <c r="O6" s="775"/>
      <c r="P6" s="775"/>
      <c r="Q6" s="775"/>
      <c r="R6" s="775"/>
      <c r="S6" s="775"/>
      <c r="T6" s="775"/>
      <c r="U6" s="775"/>
      <c r="V6" s="775"/>
      <c r="W6" s="775"/>
    </row>
    <row r="7" spans="1:33" s="806" customFormat="1" ht="20.25" thickBot="1" x14ac:dyDescent="0.4">
      <c r="A7" s="809"/>
      <c r="B7" s="809"/>
      <c r="C7" s="809"/>
      <c r="D7" s="809"/>
      <c r="E7" s="809"/>
      <c r="F7" s="841"/>
      <c r="G7" s="841"/>
      <c r="H7" s="841"/>
      <c r="I7" s="843"/>
      <c r="J7" s="841"/>
      <c r="K7" s="841"/>
      <c r="L7" s="841"/>
      <c r="M7" s="841"/>
      <c r="N7" s="842"/>
      <c r="O7" s="828"/>
      <c r="P7" s="828"/>
      <c r="Q7" s="828"/>
      <c r="R7" s="828"/>
      <c r="S7" s="828"/>
      <c r="T7" s="828"/>
      <c r="U7" s="828"/>
      <c r="V7" s="828"/>
      <c r="W7" s="828"/>
      <c r="X7" s="812"/>
    </row>
    <row r="8" spans="1:33" s="780" customFormat="1" ht="23.25" customHeight="1" thickTop="1" x14ac:dyDescent="0.25">
      <c r="A8" s="1056" t="s">
        <v>91</v>
      </c>
      <c r="B8" s="1060" t="s">
        <v>2118</v>
      </c>
      <c r="C8" s="1061"/>
      <c r="D8" s="1058" t="s">
        <v>2119</v>
      </c>
      <c r="E8" s="1058" t="s">
        <v>2120</v>
      </c>
      <c r="F8" s="1053" t="s">
        <v>2200</v>
      </c>
      <c r="G8" s="1054"/>
      <c r="H8" s="1054"/>
      <c r="I8" s="1054"/>
      <c r="J8" s="1054"/>
      <c r="K8" s="1054"/>
      <c r="L8" s="1054"/>
      <c r="M8" s="1054"/>
      <c r="N8" s="1055"/>
      <c r="O8" s="1069" t="s">
        <v>2107</v>
      </c>
      <c r="P8" s="1053" t="s">
        <v>104</v>
      </c>
      <c r="Q8" s="1054"/>
      <c r="R8" s="1054"/>
      <c r="S8" s="1055"/>
      <c r="T8" s="1048" t="s">
        <v>99</v>
      </c>
      <c r="U8" s="1048" t="s">
        <v>2108</v>
      </c>
      <c r="V8" s="1048" t="s">
        <v>103</v>
      </c>
      <c r="W8" s="1067" t="s">
        <v>2121</v>
      </c>
    </row>
    <row r="9" spans="1:33" s="780" customFormat="1" ht="136.5" customHeight="1" x14ac:dyDescent="0.25">
      <c r="A9" s="1057"/>
      <c r="B9" s="1062"/>
      <c r="C9" s="1063"/>
      <c r="D9" s="1059"/>
      <c r="E9" s="1059"/>
      <c r="F9" s="724" t="s">
        <v>2190</v>
      </c>
      <c r="G9" s="714" t="s">
        <v>2128</v>
      </c>
      <c r="H9" s="724" t="s">
        <v>2201</v>
      </c>
      <c r="I9" s="724" t="s">
        <v>2114</v>
      </c>
      <c r="J9" s="727" t="s">
        <v>2202</v>
      </c>
      <c r="K9" s="725" t="s">
        <v>2095</v>
      </c>
      <c r="L9" s="714" t="s">
        <v>2113</v>
      </c>
      <c r="M9" s="728" t="s">
        <v>2156</v>
      </c>
      <c r="N9" s="729" t="s">
        <v>2165</v>
      </c>
      <c r="O9" s="1070"/>
      <c r="P9" s="718" t="s">
        <v>108</v>
      </c>
      <c r="Q9" s="718" t="s">
        <v>97</v>
      </c>
      <c r="R9" s="718" t="s">
        <v>96</v>
      </c>
      <c r="S9" s="719" t="s">
        <v>98</v>
      </c>
      <c r="T9" s="1049"/>
      <c r="U9" s="1049"/>
      <c r="V9" s="1049"/>
      <c r="W9" s="1068"/>
      <c r="X9" s="780" t="s">
        <v>94</v>
      </c>
    </row>
    <row r="10" spans="1:33" s="784" customFormat="1" ht="18" customHeight="1" x14ac:dyDescent="0.25">
      <c r="A10" s="741">
        <v>1</v>
      </c>
      <c r="B10" s="752"/>
      <c r="C10" s="743">
        <v>2026</v>
      </c>
      <c r="D10" s="690" t="s">
        <v>4159</v>
      </c>
      <c r="E10" s="690" t="s">
        <v>2623</v>
      </c>
      <c r="F10" s="705"/>
      <c r="G10" s="705"/>
      <c r="H10" s="705"/>
      <c r="I10" s="705"/>
      <c r="J10" s="705"/>
      <c r="K10" s="705"/>
      <c r="L10" s="705"/>
      <c r="M10" s="705"/>
      <c r="N10" s="705"/>
      <c r="O10" s="776">
        <f>SUM(F10:N10)/9</f>
        <v>0</v>
      </c>
      <c r="P10" s="705"/>
      <c r="Q10" s="705"/>
      <c r="R10" s="705"/>
      <c r="S10" s="776">
        <f>SUM(P10:R10)/3</f>
        <v>0</v>
      </c>
      <c r="T10" s="776">
        <f>SUM(O10+S10)/2</f>
        <v>0</v>
      </c>
      <c r="U10" s="819"/>
      <c r="V10" s="813"/>
      <c r="W10" s="694" t="s">
        <v>3995</v>
      </c>
      <c r="Y10" s="781" t="e">
        <f>AVERAGE(F10:N10)</f>
        <v>#DIV/0!</v>
      </c>
    </row>
    <row r="11" spans="1:33" s="784" customFormat="1" ht="18" customHeight="1" x14ac:dyDescent="0.25">
      <c r="A11" s="744">
        <v>2</v>
      </c>
      <c r="B11" s="745"/>
      <c r="C11" s="746">
        <v>2026</v>
      </c>
      <c r="D11" s="685" t="s">
        <v>4160</v>
      </c>
      <c r="E11" s="689" t="s">
        <v>4161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82">
        <f t="shared" ref="O11:O27" si="0">SUM(F11:N11)/9</f>
        <v>0</v>
      </c>
      <c r="P11" s="707"/>
      <c r="Q11" s="707"/>
      <c r="R11" s="707"/>
      <c r="S11" s="782">
        <f t="shared" ref="S11:S23" si="1">SUM(P11:R11)/3</f>
        <v>0</v>
      </c>
      <c r="T11" s="782">
        <f t="shared" ref="T11:T23" si="2">SUM(O11+S11)/2</f>
        <v>0</v>
      </c>
      <c r="U11" s="778"/>
      <c r="V11" s="814"/>
      <c r="W11" s="695" t="s">
        <v>2537</v>
      </c>
      <c r="Y11" s="781" t="e">
        <f t="shared" ref="Y11:Y27" si="3">AVERAGE(F11:N11)</f>
        <v>#DIV/0!</v>
      </c>
    </row>
    <row r="12" spans="1:33" s="784" customFormat="1" ht="18" customHeight="1" x14ac:dyDescent="0.25">
      <c r="A12" s="744">
        <v>3</v>
      </c>
      <c r="B12" s="745"/>
      <c r="C12" s="746">
        <v>2026</v>
      </c>
      <c r="D12" s="685" t="s">
        <v>4162</v>
      </c>
      <c r="E12" s="685" t="s">
        <v>2398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82">
        <f t="shared" si="0"/>
        <v>0</v>
      </c>
      <c r="P12" s="707"/>
      <c r="Q12" s="707"/>
      <c r="R12" s="707"/>
      <c r="S12" s="782">
        <f t="shared" si="1"/>
        <v>0</v>
      </c>
      <c r="T12" s="782">
        <f t="shared" si="2"/>
        <v>0</v>
      </c>
      <c r="U12" s="778"/>
      <c r="V12" s="814"/>
      <c r="W12" s="695" t="s">
        <v>2979</v>
      </c>
      <c r="Y12" s="781" t="e">
        <f t="shared" si="3"/>
        <v>#DIV/0!</v>
      </c>
    </row>
    <row r="13" spans="1:33" s="784" customFormat="1" ht="18" customHeight="1" x14ac:dyDescent="0.25">
      <c r="A13" s="744">
        <v>4</v>
      </c>
      <c r="B13" s="745"/>
      <c r="C13" s="746">
        <v>2026</v>
      </c>
      <c r="D13" s="685" t="s">
        <v>4163</v>
      </c>
      <c r="E13" s="685" t="s">
        <v>2551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82">
        <f t="shared" si="0"/>
        <v>0</v>
      </c>
      <c r="P13" s="707"/>
      <c r="Q13" s="707"/>
      <c r="R13" s="707"/>
      <c r="S13" s="782">
        <f t="shared" si="1"/>
        <v>0</v>
      </c>
      <c r="T13" s="782">
        <f t="shared" si="2"/>
        <v>0</v>
      </c>
      <c r="U13" s="778"/>
      <c r="V13" s="814"/>
      <c r="W13" s="695" t="s">
        <v>2979</v>
      </c>
      <c r="Y13" s="781" t="e">
        <f t="shared" si="3"/>
        <v>#DIV/0!</v>
      </c>
    </row>
    <row r="14" spans="1:33" s="784" customFormat="1" ht="18" customHeight="1" x14ac:dyDescent="0.25">
      <c r="A14" s="744">
        <v>5</v>
      </c>
      <c r="B14" s="745"/>
      <c r="C14" s="746">
        <v>2026</v>
      </c>
      <c r="D14" s="685" t="s">
        <v>4164</v>
      </c>
      <c r="E14" s="685" t="s">
        <v>4165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82">
        <f t="shared" si="0"/>
        <v>0</v>
      </c>
      <c r="P14" s="707"/>
      <c r="Q14" s="707"/>
      <c r="R14" s="707"/>
      <c r="S14" s="782"/>
      <c r="T14" s="782"/>
      <c r="U14" s="778"/>
      <c r="V14" s="814"/>
      <c r="W14" s="695" t="s">
        <v>3998</v>
      </c>
      <c r="Y14" s="781" t="e">
        <f t="shared" si="3"/>
        <v>#DIV/0!</v>
      </c>
    </row>
    <row r="15" spans="1:33" s="784" customFormat="1" ht="18" customHeight="1" x14ac:dyDescent="0.25">
      <c r="A15" s="744">
        <v>6</v>
      </c>
      <c r="B15" s="745"/>
      <c r="C15" s="746">
        <v>2026</v>
      </c>
      <c r="D15" s="685" t="s">
        <v>4166</v>
      </c>
      <c r="E15" s="685" t="s">
        <v>4167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82">
        <f t="shared" si="0"/>
        <v>0</v>
      </c>
      <c r="P15" s="707"/>
      <c r="Q15" s="707"/>
      <c r="R15" s="707"/>
      <c r="S15" s="782"/>
      <c r="T15" s="782"/>
      <c r="U15" s="778"/>
      <c r="V15" s="814"/>
      <c r="W15" s="695" t="s">
        <v>2532</v>
      </c>
      <c r="Y15" s="781" t="e">
        <f t="shared" si="3"/>
        <v>#DIV/0!</v>
      </c>
    </row>
    <row r="16" spans="1:33" s="784" customFormat="1" ht="18" customHeight="1" x14ac:dyDescent="0.25">
      <c r="A16" s="744">
        <v>7</v>
      </c>
      <c r="B16" s="745"/>
      <c r="C16" s="746">
        <v>2026</v>
      </c>
      <c r="D16" s="685" t="s">
        <v>4168</v>
      </c>
      <c r="E16" s="685" t="s">
        <v>4169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82">
        <f t="shared" si="0"/>
        <v>0</v>
      </c>
      <c r="P16" s="707"/>
      <c r="Q16" s="707"/>
      <c r="R16" s="707"/>
      <c r="S16" s="782"/>
      <c r="T16" s="782"/>
      <c r="U16" s="778"/>
      <c r="V16" s="814"/>
      <c r="W16" s="695" t="s">
        <v>2537</v>
      </c>
      <c r="Y16" s="781" t="e">
        <f t="shared" si="3"/>
        <v>#DIV/0!</v>
      </c>
    </row>
    <row r="17" spans="1:25" s="784" customFormat="1" ht="18" customHeight="1" x14ac:dyDescent="0.25">
      <c r="A17" s="744">
        <v>8</v>
      </c>
      <c r="B17" s="745"/>
      <c r="C17" s="746">
        <v>2026</v>
      </c>
      <c r="D17" s="685" t="s">
        <v>3490</v>
      </c>
      <c r="E17" s="685" t="s">
        <v>4170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82">
        <f t="shared" si="0"/>
        <v>0</v>
      </c>
      <c r="P17" s="707"/>
      <c r="Q17" s="707"/>
      <c r="R17" s="707"/>
      <c r="S17" s="782"/>
      <c r="T17" s="782"/>
      <c r="U17" s="778"/>
      <c r="V17" s="814"/>
      <c r="W17" s="695" t="s">
        <v>4185</v>
      </c>
      <c r="Y17" s="781" t="e">
        <f t="shared" si="3"/>
        <v>#DIV/0!</v>
      </c>
    </row>
    <row r="18" spans="1:25" s="784" customFormat="1" ht="18" customHeight="1" x14ac:dyDescent="0.25">
      <c r="A18" s="744">
        <v>9</v>
      </c>
      <c r="B18" s="745"/>
      <c r="C18" s="746">
        <v>2026</v>
      </c>
      <c r="D18" s="685" t="s">
        <v>4171</v>
      </c>
      <c r="E18" s="685" t="s">
        <v>1190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82">
        <f t="shared" si="0"/>
        <v>0</v>
      </c>
      <c r="P18" s="707"/>
      <c r="Q18" s="707"/>
      <c r="R18" s="707"/>
      <c r="S18" s="782"/>
      <c r="T18" s="782"/>
      <c r="U18" s="778"/>
      <c r="V18" s="814"/>
      <c r="W18" s="695" t="s">
        <v>2532</v>
      </c>
      <c r="Y18" s="781" t="e">
        <f t="shared" si="3"/>
        <v>#DIV/0!</v>
      </c>
    </row>
    <row r="19" spans="1:25" s="784" customFormat="1" ht="18" customHeight="1" x14ac:dyDescent="0.25">
      <c r="A19" s="744">
        <v>10</v>
      </c>
      <c r="B19" s="745"/>
      <c r="C19" s="746">
        <v>2026</v>
      </c>
      <c r="D19" s="685" t="s">
        <v>4172</v>
      </c>
      <c r="E19" s="685" t="s">
        <v>2563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82">
        <f t="shared" si="0"/>
        <v>0</v>
      </c>
      <c r="P19" s="707"/>
      <c r="Q19" s="707"/>
      <c r="R19" s="707"/>
      <c r="S19" s="782"/>
      <c r="T19" s="782"/>
      <c r="U19" s="778"/>
      <c r="V19" s="814"/>
      <c r="W19" s="695" t="s">
        <v>3995</v>
      </c>
      <c r="Y19" s="781" t="e">
        <f t="shared" si="3"/>
        <v>#DIV/0!</v>
      </c>
    </row>
    <row r="20" spans="1:25" s="784" customFormat="1" ht="18" customHeight="1" x14ac:dyDescent="0.25">
      <c r="A20" s="744">
        <v>11</v>
      </c>
      <c r="B20" s="745"/>
      <c r="C20" s="746">
        <v>2026</v>
      </c>
      <c r="D20" s="685" t="s">
        <v>4173</v>
      </c>
      <c r="E20" s="685" t="s">
        <v>4174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82">
        <f t="shared" si="0"/>
        <v>0</v>
      </c>
      <c r="P20" s="707"/>
      <c r="Q20" s="707"/>
      <c r="R20" s="707"/>
      <c r="S20" s="782">
        <f t="shared" si="1"/>
        <v>0</v>
      </c>
      <c r="T20" s="782">
        <f t="shared" si="2"/>
        <v>0</v>
      </c>
      <c r="U20" s="778"/>
      <c r="V20" s="814"/>
      <c r="W20" s="695" t="s">
        <v>2532</v>
      </c>
      <c r="Y20" s="781" t="e">
        <f t="shared" si="3"/>
        <v>#DIV/0!</v>
      </c>
    </row>
    <row r="21" spans="1:25" s="784" customFormat="1" ht="18" customHeight="1" x14ac:dyDescent="0.25">
      <c r="A21" s="744">
        <v>12</v>
      </c>
      <c r="B21" s="745"/>
      <c r="C21" s="746">
        <v>2026</v>
      </c>
      <c r="D21" s="685" t="s">
        <v>4175</v>
      </c>
      <c r="E21" s="685" t="s">
        <v>4176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82">
        <f t="shared" si="0"/>
        <v>0</v>
      </c>
      <c r="P21" s="707"/>
      <c r="Q21" s="707"/>
      <c r="R21" s="707"/>
      <c r="S21" s="782">
        <f t="shared" si="1"/>
        <v>0</v>
      </c>
      <c r="T21" s="782">
        <f t="shared" si="2"/>
        <v>0</v>
      </c>
      <c r="U21" s="778"/>
      <c r="V21" s="814"/>
      <c r="W21" s="695" t="s">
        <v>3203</v>
      </c>
      <c r="Y21" s="781" t="e">
        <f t="shared" si="3"/>
        <v>#DIV/0!</v>
      </c>
    </row>
    <row r="22" spans="1:25" s="784" customFormat="1" ht="18" customHeight="1" x14ac:dyDescent="0.25">
      <c r="A22" s="744">
        <v>13</v>
      </c>
      <c r="B22" s="745"/>
      <c r="C22" s="746">
        <v>2026</v>
      </c>
      <c r="D22" s="685" t="s">
        <v>4177</v>
      </c>
      <c r="E22" s="685" t="s">
        <v>4178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82">
        <f t="shared" si="0"/>
        <v>0</v>
      </c>
      <c r="P22" s="707"/>
      <c r="Q22" s="707"/>
      <c r="R22" s="707"/>
      <c r="S22" s="782">
        <f t="shared" si="1"/>
        <v>0</v>
      </c>
      <c r="T22" s="782">
        <f t="shared" si="2"/>
        <v>0</v>
      </c>
      <c r="U22" s="778"/>
      <c r="V22" s="814"/>
      <c r="W22" s="695" t="s">
        <v>3203</v>
      </c>
      <c r="Y22" s="781" t="e">
        <f t="shared" si="3"/>
        <v>#DIV/0!</v>
      </c>
    </row>
    <row r="23" spans="1:25" s="784" customFormat="1" ht="18" customHeight="1" x14ac:dyDescent="0.25">
      <c r="A23" s="744">
        <v>14</v>
      </c>
      <c r="B23" s="745"/>
      <c r="C23" s="746">
        <v>2026</v>
      </c>
      <c r="D23" s="685" t="s">
        <v>4179</v>
      </c>
      <c r="E23" s="685" t="s">
        <v>3334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82">
        <f t="shared" si="0"/>
        <v>0</v>
      </c>
      <c r="P23" s="707">
        <f>SUM(F23:O23)/10</f>
        <v>0</v>
      </c>
      <c r="Q23" s="707"/>
      <c r="R23" s="707"/>
      <c r="S23" s="782">
        <f t="shared" si="1"/>
        <v>0</v>
      </c>
      <c r="T23" s="782">
        <f t="shared" si="2"/>
        <v>0</v>
      </c>
      <c r="U23" s="778"/>
      <c r="V23" s="814"/>
      <c r="W23" s="695" t="s">
        <v>3995</v>
      </c>
      <c r="Y23" s="781" t="e">
        <f t="shared" si="3"/>
        <v>#DIV/0!</v>
      </c>
    </row>
    <row r="24" spans="1:25" s="784" customFormat="1" ht="18" customHeight="1" x14ac:dyDescent="0.25">
      <c r="A24" s="744">
        <v>15</v>
      </c>
      <c r="B24" s="745"/>
      <c r="C24" s="746">
        <v>2026</v>
      </c>
      <c r="D24" s="685" t="s">
        <v>4180</v>
      </c>
      <c r="E24" s="685" t="s">
        <v>4181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82">
        <f t="shared" si="0"/>
        <v>0</v>
      </c>
      <c r="P24" s="707"/>
      <c r="Q24" s="707"/>
      <c r="R24" s="707"/>
      <c r="S24" s="782">
        <f>SUM(P24:R24)/3</f>
        <v>0</v>
      </c>
      <c r="T24" s="782">
        <f>SUM(O24+S24)/2</f>
        <v>0</v>
      </c>
      <c r="U24" s="778"/>
      <c r="V24" s="814"/>
      <c r="W24" s="695" t="s">
        <v>2979</v>
      </c>
      <c r="Y24" s="781" t="e">
        <f t="shared" si="3"/>
        <v>#DIV/0!</v>
      </c>
    </row>
    <row r="25" spans="1:25" s="784" customFormat="1" ht="18" customHeight="1" x14ac:dyDescent="0.25">
      <c r="A25" s="744">
        <v>16</v>
      </c>
      <c r="B25" s="745"/>
      <c r="C25" s="746">
        <v>2026</v>
      </c>
      <c r="D25" s="685" t="s">
        <v>4182</v>
      </c>
      <c r="E25" s="685" t="s">
        <v>3129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82">
        <f t="shared" si="0"/>
        <v>0</v>
      </c>
      <c r="P25" s="707"/>
      <c r="Q25" s="707"/>
      <c r="R25" s="707"/>
      <c r="S25" s="782">
        <f>SUM(P25:R25)/3</f>
        <v>0</v>
      </c>
      <c r="T25" s="782">
        <f>SUM(O25+S25)/2</f>
        <v>0</v>
      </c>
      <c r="U25" s="778"/>
      <c r="V25" s="814"/>
      <c r="W25" s="695" t="s">
        <v>3639</v>
      </c>
      <c r="Y25" s="781" t="e">
        <f t="shared" si="3"/>
        <v>#DIV/0!</v>
      </c>
    </row>
    <row r="26" spans="1:25" s="784" customFormat="1" ht="18" customHeight="1" x14ac:dyDescent="0.25">
      <c r="A26" s="744">
        <v>17</v>
      </c>
      <c r="B26" s="745"/>
      <c r="C26" s="746">
        <v>2026</v>
      </c>
      <c r="D26" s="685" t="s">
        <v>3989</v>
      </c>
      <c r="E26" s="685" t="s">
        <v>4183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82">
        <f t="shared" si="0"/>
        <v>0</v>
      </c>
      <c r="P26" s="707"/>
      <c r="Q26" s="707"/>
      <c r="R26" s="707"/>
      <c r="S26" s="782">
        <f>SUM(P26:R26)/3</f>
        <v>0</v>
      </c>
      <c r="T26" s="782">
        <f>SUM(O26+S26)/2</f>
        <v>0</v>
      </c>
      <c r="U26" s="778"/>
      <c r="V26" s="814"/>
      <c r="W26" s="695" t="s">
        <v>3995</v>
      </c>
      <c r="Y26" s="781" t="e">
        <f t="shared" si="3"/>
        <v>#DIV/0!</v>
      </c>
    </row>
    <row r="27" spans="1:25" s="784" customFormat="1" ht="18" customHeight="1" x14ac:dyDescent="0.25">
      <c r="A27" s="744">
        <v>18</v>
      </c>
      <c r="B27" s="745"/>
      <c r="C27" s="746">
        <v>2026</v>
      </c>
      <c r="D27" s="685" t="s">
        <v>4184</v>
      </c>
      <c r="E27" s="685" t="s">
        <v>3413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82">
        <f t="shared" si="0"/>
        <v>0</v>
      </c>
      <c r="P27" s="707">
        <f>SUM(F27:O27)/10</f>
        <v>0</v>
      </c>
      <c r="Q27" s="707"/>
      <c r="R27" s="707"/>
      <c r="S27" s="782">
        <f>SUM(P27:R27)/3</f>
        <v>0</v>
      </c>
      <c r="T27" s="782">
        <f>SUM(O27+S27)/2</f>
        <v>0</v>
      </c>
      <c r="U27" s="778"/>
      <c r="V27" s="814"/>
      <c r="W27" s="695" t="s">
        <v>2532</v>
      </c>
      <c r="Y27" s="781" t="e">
        <f t="shared" si="3"/>
        <v>#DIV/0!</v>
      </c>
    </row>
    <row r="28" spans="1:25" s="796" customFormat="1" ht="18" customHeight="1" thickBot="1" x14ac:dyDescent="0.35">
      <c r="A28" s="790"/>
      <c r="B28" s="709"/>
      <c r="C28" s="709"/>
      <c r="D28" s="815"/>
      <c r="E28" s="709"/>
      <c r="F28" s="709"/>
      <c r="G28" s="709"/>
      <c r="H28" s="709"/>
      <c r="I28" s="709"/>
      <c r="J28" s="709"/>
      <c r="K28" s="709"/>
      <c r="L28" s="709"/>
      <c r="M28" s="709"/>
      <c r="N28" s="709"/>
      <c r="O28" s="877"/>
      <c r="P28" s="709">
        <f>SUM(F28:O28)/10</f>
        <v>0</v>
      </c>
      <c r="Q28" s="709"/>
      <c r="R28" s="709"/>
      <c r="S28" s="709"/>
      <c r="T28" s="709"/>
      <c r="U28" s="709"/>
      <c r="V28" s="850"/>
      <c r="W28" s="878"/>
    </row>
    <row r="29" spans="1:25" s="796" customFormat="1" ht="18" customHeight="1" thickTop="1" x14ac:dyDescent="0.3">
      <c r="A29" s="797"/>
      <c r="B29" s="797"/>
      <c r="C29" s="797"/>
      <c r="E29" s="797"/>
      <c r="F29" s="797"/>
      <c r="G29" s="797"/>
      <c r="H29" s="797"/>
      <c r="I29" s="797"/>
      <c r="J29" s="797"/>
      <c r="K29" s="797"/>
      <c r="L29" s="797"/>
      <c r="M29" s="797"/>
      <c r="N29" s="797"/>
      <c r="O29" s="803"/>
      <c r="P29" s="797"/>
      <c r="Q29" s="797"/>
      <c r="R29" s="797"/>
      <c r="S29" s="797"/>
      <c r="T29" s="797"/>
      <c r="U29" s="797"/>
      <c r="V29" s="799" t="s">
        <v>101</v>
      </c>
      <c r="W29" s="797"/>
    </row>
    <row r="30" spans="1:25" s="796" customFormat="1" ht="18" customHeight="1" x14ac:dyDescent="0.3">
      <c r="A30" s="797"/>
      <c r="B30" s="797"/>
      <c r="C30" s="797"/>
      <c r="E30" s="797"/>
      <c r="F30" s="797"/>
      <c r="G30" s="797"/>
      <c r="H30" s="797"/>
      <c r="I30" s="797"/>
      <c r="J30" s="797"/>
      <c r="K30" s="797"/>
      <c r="L30" s="797"/>
      <c r="M30" s="797"/>
      <c r="N30" s="797"/>
      <c r="O30" s="1071"/>
      <c r="P30" s="1071"/>
      <c r="Q30" s="1071"/>
      <c r="R30" s="1071"/>
      <c r="S30" s="1071"/>
      <c r="T30" s="1071"/>
      <c r="U30" s="1071"/>
      <c r="V30" s="1071"/>
      <c r="W30" s="1071"/>
    </row>
    <row r="31" spans="1:25" s="796" customFormat="1" ht="18" customHeight="1" x14ac:dyDescent="0.3">
      <c r="A31" s="797"/>
      <c r="B31" s="797"/>
      <c r="C31" s="797"/>
      <c r="E31" s="797"/>
      <c r="F31" s="797"/>
      <c r="G31" s="797"/>
      <c r="H31" s="797"/>
      <c r="I31" s="797"/>
      <c r="J31" s="797"/>
      <c r="K31" s="797"/>
      <c r="L31" s="797"/>
      <c r="M31" s="797"/>
      <c r="N31" s="797"/>
      <c r="O31" s="1071"/>
      <c r="P31" s="1071"/>
      <c r="Q31" s="1071"/>
      <c r="R31" s="797"/>
      <c r="S31" s="797"/>
      <c r="T31" s="797"/>
      <c r="U31" s="797"/>
      <c r="V31" s="799" t="s">
        <v>101</v>
      </c>
      <c r="W31" s="797"/>
    </row>
    <row r="32" spans="1:25" s="796" customFormat="1" ht="18" customHeight="1" x14ac:dyDescent="0.3">
      <c r="A32" s="797"/>
      <c r="B32" s="797"/>
      <c r="C32" s="797"/>
      <c r="E32" s="797"/>
      <c r="F32" s="797"/>
      <c r="G32" s="797"/>
      <c r="H32" s="797"/>
      <c r="I32" s="797"/>
      <c r="J32" s="797"/>
      <c r="K32" s="797"/>
      <c r="L32" s="797"/>
      <c r="M32" s="797"/>
      <c r="N32" s="797"/>
      <c r="O32" s="800"/>
      <c r="P32" s="780"/>
      <c r="Q32" s="780"/>
      <c r="R32" s="797"/>
      <c r="S32" s="797"/>
      <c r="T32" s="797"/>
      <c r="U32" s="797"/>
      <c r="V32" s="799" t="s">
        <v>101</v>
      </c>
      <c r="W32" s="797"/>
    </row>
    <row r="33" spans="1:25" s="796" customFormat="1" ht="18" customHeight="1" x14ac:dyDescent="0.3">
      <c r="A33" s="797"/>
      <c r="B33" s="797"/>
      <c r="C33" s="797"/>
      <c r="E33" s="797"/>
      <c r="F33" s="797"/>
      <c r="G33" s="797"/>
      <c r="H33" s="797"/>
      <c r="I33" s="797"/>
      <c r="J33" s="797"/>
      <c r="K33" s="797"/>
      <c r="L33" s="797"/>
      <c r="M33" s="797"/>
      <c r="N33" s="797"/>
      <c r="O33" s="800"/>
      <c r="P33" s="780"/>
      <c r="Q33" s="780"/>
      <c r="R33" s="797"/>
      <c r="S33" s="797"/>
      <c r="T33" s="797"/>
      <c r="U33" s="797"/>
      <c r="V33" s="799" t="s">
        <v>101</v>
      </c>
      <c r="W33" s="797"/>
    </row>
    <row r="34" spans="1:25" s="796" customFormat="1" ht="18" customHeight="1" x14ac:dyDescent="0.3">
      <c r="A34" s="797"/>
      <c r="B34" s="797"/>
      <c r="C34" s="797"/>
      <c r="E34" s="797"/>
      <c r="F34" s="797"/>
      <c r="G34" s="797"/>
      <c r="H34" s="797"/>
      <c r="I34" s="797"/>
      <c r="J34" s="797"/>
      <c r="K34" s="797"/>
      <c r="L34" s="797"/>
      <c r="M34" s="797"/>
      <c r="N34" s="797"/>
      <c r="O34" s="1072"/>
      <c r="P34" s="1072"/>
      <c r="Q34" s="1072"/>
      <c r="R34" s="797"/>
      <c r="S34" s="797"/>
      <c r="T34" s="797"/>
      <c r="U34" s="797"/>
      <c r="V34" s="799" t="s">
        <v>101</v>
      </c>
      <c r="W34" s="797"/>
    </row>
    <row r="35" spans="1:25" s="796" customFormat="1" ht="18" customHeight="1" x14ac:dyDescent="0.3">
      <c r="A35" s="797"/>
      <c r="B35" s="797"/>
      <c r="C35" s="797"/>
      <c r="E35" s="797"/>
      <c r="F35" s="797"/>
      <c r="G35" s="797"/>
      <c r="H35" s="797"/>
      <c r="I35" s="797"/>
      <c r="J35" s="797"/>
      <c r="K35" s="797"/>
      <c r="L35" s="797"/>
      <c r="M35" s="797"/>
      <c r="N35" s="797"/>
      <c r="O35" s="1071"/>
      <c r="P35" s="1071"/>
      <c r="Q35" s="1071"/>
      <c r="R35" s="1071"/>
      <c r="S35" s="1071"/>
      <c r="T35" s="1071"/>
      <c r="U35" s="1071"/>
      <c r="V35" s="1071"/>
      <c r="W35" s="1071"/>
      <c r="Y35" s="796" t="s">
        <v>114</v>
      </c>
    </row>
    <row r="36" spans="1:25" s="796" customFormat="1" ht="18" customHeight="1" x14ac:dyDescent="0.3">
      <c r="A36" s="797"/>
      <c r="B36" s="797"/>
      <c r="C36" s="797"/>
      <c r="E36" s="797"/>
      <c r="F36" s="797"/>
      <c r="G36" s="797"/>
      <c r="H36" s="797"/>
      <c r="I36" s="797"/>
      <c r="J36" s="797"/>
      <c r="K36" s="797"/>
      <c r="L36" s="797"/>
      <c r="M36" s="797"/>
      <c r="N36" s="797"/>
      <c r="O36" s="803"/>
      <c r="P36" s="797"/>
      <c r="Q36" s="797"/>
      <c r="R36" s="797"/>
      <c r="S36" s="797"/>
      <c r="T36" s="797"/>
      <c r="U36" s="797"/>
      <c r="V36" s="799" t="s">
        <v>101</v>
      </c>
      <c r="W36" s="797"/>
    </row>
    <row r="37" spans="1:25" s="796" customFormat="1" ht="18" customHeight="1" x14ac:dyDescent="0.3">
      <c r="A37" s="797"/>
      <c r="B37" s="797"/>
      <c r="C37" s="797"/>
      <c r="E37" s="797"/>
      <c r="F37" s="797"/>
      <c r="G37" s="797"/>
      <c r="H37" s="797"/>
      <c r="I37" s="797"/>
      <c r="J37" s="797"/>
      <c r="K37" s="797"/>
      <c r="L37" s="797"/>
      <c r="M37" s="797"/>
      <c r="N37" s="797"/>
      <c r="O37" s="803"/>
      <c r="P37" s="797"/>
      <c r="Q37" s="797"/>
      <c r="R37" s="797"/>
      <c r="S37" s="797"/>
      <c r="T37" s="797"/>
      <c r="U37" s="797"/>
      <c r="V37" s="799" t="s">
        <v>101</v>
      </c>
      <c r="W37" s="797"/>
    </row>
    <row r="38" spans="1:25" s="796" customFormat="1" ht="18" customHeight="1" x14ac:dyDescent="0.3">
      <c r="A38" s="797"/>
      <c r="B38" s="797"/>
      <c r="C38" s="797"/>
      <c r="E38" s="797"/>
      <c r="F38" s="797"/>
      <c r="G38" s="797"/>
      <c r="H38" s="797"/>
      <c r="I38" s="797"/>
      <c r="J38" s="797"/>
      <c r="K38" s="797"/>
      <c r="L38" s="797"/>
      <c r="M38" s="797"/>
      <c r="N38" s="797"/>
      <c r="O38" s="803"/>
      <c r="P38" s="797"/>
      <c r="Q38" s="797"/>
      <c r="R38" s="797"/>
      <c r="S38" s="797"/>
      <c r="T38" s="797"/>
      <c r="U38" s="797"/>
      <c r="V38" s="799" t="s">
        <v>101</v>
      </c>
      <c r="W38" s="797"/>
    </row>
    <row r="39" spans="1:25" s="796" customFormat="1" ht="18" customHeight="1" x14ac:dyDescent="0.3">
      <c r="A39" s="797"/>
      <c r="B39" s="797"/>
      <c r="C39" s="797"/>
      <c r="E39" s="797"/>
      <c r="F39" s="797"/>
      <c r="G39" s="797"/>
      <c r="H39" s="797"/>
      <c r="I39" s="797"/>
      <c r="J39" s="797"/>
      <c r="K39" s="797"/>
      <c r="L39" s="797"/>
      <c r="M39" s="797"/>
      <c r="N39" s="797"/>
      <c r="O39" s="803"/>
      <c r="P39" s="797"/>
      <c r="Q39" s="797"/>
      <c r="R39" s="797"/>
      <c r="S39" s="797"/>
      <c r="T39" s="797"/>
      <c r="U39" s="797"/>
      <c r="V39" s="799" t="s">
        <v>101</v>
      </c>
      <c r="W39" s="797"/>
    </row>
    <row r="40" spans="1:25" s="796" customFormat="1" ht="18" customHeight="1" x14ac:dyDescent="0.3">
      <c r="A40" s="797"/>
      <c r="B40" s="797"/>
      <c r="C40" s="797"/>
      <c r="E40" s="797"/>
      <c r="F40" s="797"/>
      <c r="G40" s="797"/>
      <c r="H40" s="797"/>
      <c r="I40" s="797"/>
      <c r="J40" s="797"/>
      <c r="K40" s="797"/>
      <c r="L40" s="797"/>
      <c r="M40" s="797"/>
      <c r="N40" s="797"/>
      <c r="O40" s="803"/>
      <c r="P40" s="797"/>
      <c r="Q40" s="797"/>
      <c r="R40" s="797"/>
      <c r="S40" s="797"/>
      <c r="T40" s="797"/>
      <c r="U40" s="797"/>
      <c r="V40" s="799" t="s">
        <v>101</v>
      </c>
      <c r="W40" s="797"/>
    </row>
    <row r="41" spans="1:25" s="796" customFormat="1" ht="18" customHeight="1" x14ac:dyDescent="0.3">
      <c r="A41" s="797"/>
      <c r="B41" s="797"/>
      <c r="C41" s="797"/>
      <c r="E41" s="797"/>
      <c r="F41" s="797"/>
      <c r="G41" s="797"/>
      <c r="H41" s="797"/>
      <c r="I41" s="797"/>
      <c r="J41" s="797"/>
      <c r="K41" s="797"/>
      <c r="L41" s="797"/>
      <c r="M41" s="797"/>
      <c r="N41" s="797"/>
      <c r="O41" s="803"/>
      <c r="P41" s="797"/>
      <c r="Q41" s="797"/>
      <c r="R41" s="797"/>
      <c r="S41" s="797"/>
      <c r="T41" s="797"/>
      <c r="U41" s="797"/>
      <c r="V41" s="799" t="s">
        <v>101</v>
      </c>
      <c r="W41" s="797"/>
    </row>
    <row r="42" spans="1:25" s="796" customFormat="1" ht="18" customHeight="1" x14ac:dyDescent="0.3">
      <c r="A42" s="797"/>
      <c r="B42" s="797"/>
      <c r="C42" s="797"/>
      <c r="E42" s="797"/>
      <c r="F42" s="797"/>
      <c r="G42" s="797"/>
      <c r="H42" s="797"/>
      <c r="I42" s="797"/>
      <c r="J42" s="797"/>
      <c r="K42" s="797"/>
      <c r="L42" s="797"/>
      <c r="M42" s="797"/>
      <c r="N42" s="797"/>
      <c r="O42" s="803"/>
      <c r="P42" s="797"/>
      <c r="Q42" s="797"/>
      <c r="R42" s="797"/>
      <c r="S42" s="797"/>
      <c r="T42" s="797"/>
      <c r="U42" s="797"/>
      <c r="V42" s="852"/>
      <c r="W42" s="797"/>
    </row>
    <row r="43" spans="1:25" s="796" customFormat="1" ht="18" customHeight="1" x14ac:dyDescent="0.3">
      <c r="A43" s="797"/>
      <c r="B43" s="797"/>
      <c r="C43" s="797"/>
      <c r="E43" s="797"/>
      <c r="F43" s="797"/>
      <c r="G43" s="797"/>
      <c r="H43" s="797"/>
      <c r="I43" s="797"/>
      <c r="J43" s="797"/>
      <c r="K43" s="797"/>
      <c r="L43" s="797"/>
      <c r="M43" s="797"/>
      <c r="N43" s="797"/>
      <c r="O43" s="803"/>
      <c r="P43" s="797"/>
      <c r="Q43" s="797"/>
      <c r="R43" s="797"/>
      <c r="S43" s="797"/>
      <c r="T43" s="797"/>
      <c r="U43" s="797"/>
      <c r="V43" s="799" t="s">
        <v>101</v>
      </c>
      <c r="W43" s="797"/>
    </row>
    <row r="44" spans="1:25" s="796" customFormat="1" ht="18" customHeight="1" x14ac:dyDescent="0.3">
      <c r="A44" s="797"/>
      <c r="B44" s="797"/>
      <c r="C44" s="797"/>
      <c r="E44" s="797"/>
      <c r="F44" s="797"/>
      <c r="G44" s="797"/>
      <c r="H44" s="797"/>
      <c r="I44" s="797"/>
      <c r="J44" s="797"/>
      <c r="K44" s="797"/>
      <c r="L44" s="797"/>
      <c r="M44" s="797"/>
      <c r="N44" s="797"/>
      <c r="O44" s="803"/>
      <c r="P44" s="797"/>
      <c r="Q44" s="797"/>
      <c r="R44" s="797"/>
      <c r="S44" s="797"/>
      <c r="T44" s="797"/>
      <c r="U44" s="797"/>
      <c r="V44" s="799" t="s">
        <v>101</v>
      </c>
      <c r="W44" s="797"/>
    </row>
    <row r="45" spans="1:25" s="796" customFormat="1" ht="18" customHeight="1" x14ac:dyDescent="0.3">
      <c r="A45" s="797"/>
      <c r="B45" s="797"/>
      <c r="C45" s="797"/>
      <c r="E45" s="797"/>
      <c r="F45" s="797"/>
      <c r="G45" s="797"/>
      <c r="H45" s="797"/>
      <c r="I45" s="797"/>
      <c r="J45" s="797"/>
      <c r="K45" s="797"/>
      <c r="L45" s="797"/>
      <c r="M45" s="797"/>
      <c r="N45" s="797"/>
      <c r="O45" s="803"/>
      <c r="P45" s="797"/>
      <c r="Q45" s="797"/>
      <c r="R45" s="797"/>
      <c r="S45" s="797"/>
      <c r="T45" s="797"/>
      <c r="U45" s="797"/>
      <c r="V45" s="799" t="s">
        <v>101</v>
      </c>
      <c r="W45" s="797"/>
    </row>
    <row r="46" spans="1:25" s="796" customFormat="1" ht="18" customHeight="1" x14ac:dyDescent="0.3">
      <c r="A46" s="797"/>
      <c r="B46" s="797"/>
      <c r="C46" s="797"/>
      <c r="E46" s="797"/>
      <c r="F46" s="797"/>
      <c r="G46" s="797"/>
      <c r="H46" s="797"/>
      <c r="I46" s="797"/>
      <c r="J46" s="797"/>
      <c r="K46" s="797"/>
      <c r="L46" s="797"/>
      <c r="M46" s="797"/>
      <c r="N46" s="797"/>
      <c r="O46" s="803"/>
      <c r="P46" s="797"/>
      <c r="Q46" s="797"/>
      <c r="R46" s="797"/>
      <c r="S46" s="797"/>
      <c r="T46" s="797"/>
      <c r="U46" s="797"/>
      <c r="V46" s="799" t="s">
        <v>101</v>
      </c>
      <c r="W46" s="797"/>
    </row>
    <row r="47" spans="1:25" s="796" customFormat="1" ht="18" customHeight="1" x14ac:dyDescent="0.3">
      <c r="A47" s="797"/>
      <c r="B47" s="797"/>
      <c r="C47" s="797"/>
      <c r="E47" s="797"/>
      <c r="F47" s="797"/>
      <c r="G47" s="797"/>
      <c r="H47" s="797"/>
      <c r="I47" s="797"/>
      <c r="J47" s="797"/>
      <c r="K47" s="797"/>
      <c r="L47" s="797"/>
      <c r="M47" s="797"/>
      <c r="N47" s="797"/>
      <c r="O47" s="803"/>
      <c r="P47" s="797"/>
      <c r="Q47" s="797"/>
      <c r="R47" s="797"/>
      <c r="S47" s="797"/>
      <c r="T47" s="797"/>
      <c r="U47" s="797"/>
      <c r="V47" s="799" t="s">
        <v>101</v>
      </c>
      <c r="W47" s="797"/>
    </row>
    <row r="48" spans="1:25" s="796" customFormat="1" ht="18" customHeight="1" x14ac:dyDescent="0.3">
      <c r="A48" s="797"/>
      <c r="B48" s="797"/>
      <c r="C48" s="797"/>
      <c r="E48" s="797"/>
      <c r="F48" s="797"/>
      <c r="G48" s="797"/>
      <c r="H48" s="797"/>
      <c r="I48" s="797"/>
      <c r="J48" s="797"/>
      <c r="K48" s="797"/>
      <c r="L48" s="797"/>
      <c r="M48" s="797"/>
      <c r="N48" s="797"/>
      <c r="O48" s="803"/>
      <c r="P48" s="797"/>
      <c r="Q48" s="797"/>
      <c r="R48" s="797"/>
      <c r="S48" s="797"/>
      <c r="T48" s="797"/>
      <c r="U48" s="797"/>
      <c r="V48" s="799" t="s">
        <v>101</v>
      </c>
      <c r="W48" s="797"/>
    </row>
    <row r="49" spans="1:23" s="796" customFormat="1" ht="18" customHeight="1" x14ac:dyDescent="0.3">
      <c r="A49" s="797"/>
      <c r="B49" s="797"/>
      <c r="C49" s="797"/>
      <c r="E49" s="797"/>
      <c r="F49" s="797"/>
      <c r="G49" s="797"/>
      <c r="H49" s="797"/>
      <c r="I49" s="797"/>
      <c r="J49" s="797"/>
      <c r="K49" s="797"/>
      <c r="L49" s="797"/>
      <c r="M49" s="797"/>
      <c r="N49" s="797"/>
      <c r="O49" s="803"/>
      <c r="P49" s="797"/>
      <c r="Q49" s="797"/>
      <c r="R49" s="797"/>
      <c r="S49" s="797"/>
      <c r="T49" s="797"/>
      <c r="U49" s="797"/>
      <c r="V49" s="799" t="s">
        <v>101</v>
      </c>
      <c r="W49" s="797"/>
    </row>
    <row r="50" spans="1:23" s="796" customFormat="1" ht="18" customHeight="1" x14ac:dyDescent="0.3">
      <c r="A50" s="797"/>
      <c r="B50" s="797"/>
      <c r="C50" s="797"/>
      <c r="E50" s="797"/>
      <c r="F50" s="797"/>
      <c r="G50" s="797"/>
      <c r="H50" s="797"/>
      <c r="I50" s="797"/>
      <c r="J50" s="797"/>
      <c r="K50" s="797"/>
      <c r="L50" s="797"/>
      <c r="M50" s="797"/>
      <c r="N50" s="797"/>
      <c r="O50" s="803"/>
      <c r="P50" s="797"/>
      <c r="Q50" s="797"/>
      <c r="R50" s="797"/>
      <c r="S50" s="797"/>
      <c r="T50" s="797"/>
      <c r="U50" s="797"/>
      <c r="V50" s="799" t="s">
        <v>101</v>
      </c>
      <c r="W50" s="797"/>
    </row>
    <row r="51" spans="1:23" s="796" customFormat="1" ht="18" customHeight="1" x14ac:dyDescent="0.3">
      <c r="A51" s="797"/>
      <c r="B51" s="797"/>
      <c r="C51" s="797"/>
      <c r="E51" s="797"/>
      <c r="F51" s="797"/>
      <c r="G51" s="797"/>
      <c r="H51" s="797"/>
      <c r="I51" s="797"/>
      <c r="J51" s="797"/>
      <c r="K51" s="797"/>
      <c r="L51" s="797"/>
      <c r="M51" s="797"/>
      <c r="N51" s="797"/>
      <c r="O51" s="803"/>
      <c r="P51" s="797"/>
      <c r="Q51" s="797"/>
      <c r="R51" s="797"/>
      <c r="S51" s="797"/>
      <c r="T51" s="797"/>
      <c r="U51" s="797"/>
      <c r="V51" s="799" t="s">
        <v>101</v>
      </c>
      <c r="W51" s="797"/>
    </row>
    <row r="52" spans="1:23" s="796" customFormat="1" ht="18" customHeight="1" x14ac:dyDescent="0.3">
      <c r="A52" s="797"/>
      <c r="B52" s="797"/>
      <c r="C52" s="797"/>
      <c r="E52" s="797"/>
      <c r="F52" s="797"/>
      <c r="G52" s="797"/>
      <c r="H52" s="797"/>
      <c r="I52" s="797"/>
      <c r="J52" s="797"/>
      <c r="K52" s="797"/>
      <c r="L52" s="797"/>
      <c r="M52" s="797"/>
      <c r="N52" s="797"/>
      <c r="O52" s="803"/>
      <c r="P52" s="797"/>
      <c r="Q52" s="797"/>
      <c r="R52" s="797"/>
      <c r="S52" s="797"/>
      <c r="T52" s="797"/>
      <c r="U52" s="797"/>
      <c r="V52" s="799" t="s">
        <v>101</v>
      </c>
      <c r="W52" s="797"/>
    </row>
    <row r="53" spans="1:23" s="796" customFormat="1" ht="18" customHeight="1" x14ac:dyDescent="0.3">
      <c r="A53" s="797"/>
      <c r="B53" s="797"/>
      <c r="C53" s="797"/>
      <c r="E53" s="797"/>
      <c r="F53" s="797"/>
      <c r="G53" s="797"/>
      <c r="H53" s="797"/>
      <c r="I53" s="797"/>
      <c r="J53" s="797"/>
      <c r="K53" s="797"/>
      <c r="L53" s="797"/>
      <c r="M53" s="797"/>
      <c r="N53" s="797"/>
      <c r="O53" s="803"/>
      <c r="P53" s="797"/>
      <c r="Q53" s="797"/>
      <c r="R53" s="797"/>
      <c r="S53" s="797"/>
      <c r="T53" s="797"/>
      <c r="U53" s="797"/>
      <c r="V53" s="799" t="s">
        <v>101</v>
      </c>
      <c r="W53" s="797"/>
    </row>
    <row r="54" spans="1:23" ht="18" customHeight="1" x14ac:dyDescent="0.3">
      <c r="V54" s="14" t="s">
        <v>101</v>
      </c>
    </row>
    <row r="55" spans="1:23" ht="18" customHeight="1" x14ac:dyDescent="0.3">
      <c r="V55" s="14" t="s">
        <v>101</v>
      </c>
    </row>
    <row r="56" spans="1:23" ht="18" customHeight="1" x14ac:dyDescent="0.3">
      <c r="V56" s="14" t="s">
        <v>101</v>
      </c>
    </row>
    <row r="57" spans="1:23" ht="18" customHeight="1" x14ac:dyDescent="0.3">
      <c r="V57" s="14" t="s">
        <v>101</v>
      </c>
    </row>
    <row r="58" spans="1:23" ht="18" customHeight="1" x14ac:dyDescent="0.3">
      <c r="V58" s="14" t="s">
        <v>101</v>
      </c>
    </row>
    <row r="59" spans="1:23" ht="18" customHeight="1" x14ac:dyDescent="0.3">
      <c r="V59" s="14" t="s">
        <v>101</v>
      </c>
    </row>
  </sheetData>
  <autoFilter ref="O8:X41">
    <filterColumn colId="1" showButton="0"/>
    <filterColumn colId="2" showButton="0"/>
    <filterColumn colId="3" showButton="0"/>
  </autoFilter>
  <mergeCells count="19">
    <mergeCell ref="O35:W35"/>
    <mergeCell ref="O31:Q31"/>
    <mergeCell ref="O34:Q34"/>
    <mergeCell ref="O30:W30"/>
    <mergeCell ref="A8:A9"/>
    <mergeCell ref="D8:D9"/>
    <mergeCell ref="B8:C9"/>
    <mergeCell ref="P8:S8"/>
    <mergeCell ref="E8:E9"/>
    <mergeCell ref="O8:O9"/>
    <mergeCell ref="E2:W2"/>
    <mergeCell ref="E3:W3"/>
    <mergeCell ref="E4:W4"/>
    <mergeCell ref="U8:U9"/>
    <mergeCell ref="V8:V9"/>
    <mergeCell ref="E5:AG5"/>
    <mergeCell ref="T8:T9"/>
    <mergeCell ref="W8:W9"/>
    <mergeCell ref="F8:N8"/>
  </mergeCells>
  <phoneticPr fontId="0" type="noConversion"/>
  <printOptions horizontalCentered="1"/>
  <pageMargins left="0.96" right="0.16" top="0.27" bottom="0.31" header="0.23" footer="0.27"/>
  <pageSetup scale="98"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00FF00"/>
  </sheetPr>
  <dimension ref="A1:AI106"/>
  <sheetViews>
    <sheetView zoomScale="120" zoomScaleNormal="120" workbookViewId="0">
      <selection activeCell="Y8" sqref="Y8:Y82"/>
    </sheetView>
  </sheetViews>
  <sheetFormatPr defaultRowHeight="18.75" x14ac:dyDescent="0.3"/>
  <cols>
    <col min="1" max="1" width="3.296875" style="1" customWidth="1"/>
    <col min="2" max="2" width="4" style="1" customWidth="1"/>
    <col min="3" max="3" width="4.296875" style="1" customWidth="1"/>
    <col min="4" max="4" width="18" customWidth="1"/>
    <col min="5" max="5" width="7.8984375" style="1" customWidth="1"/>
    <col min="6" max="9" width="3.19921875" style="1" customWidth="1"/>
    <col min="10" max="10" width="3.19921875" style="237" customWidth="1"/>
    <col min="11" max="16" width="3.19921875" style="1" customWidth="1"/>
    <col min="17" max="17" width="4.296875" style="25" customWidth="1"/>
    <col min="18" max="20" width="2.19921875" style="20" hidden="1" customWidth="1"/>
    <col min="21" max="22" width="3.3984375" style="23" hidden="1" customWidth="1"/>
    <col min="23" max="23" width="4.296875" style="23" customWidth="1"/>
    <col min="24" max="24" width="5.19921875" style="14" hidden="1" customWidth="1"/>
    <col min="25" max="25" width="23.5" style="23" customWidth="1"/>
    <col min="26" max="26" width="1.69921875" customWidth="1"/>
    <col min="27" max="27" width="10.19921875" customWidth="1"/>
  </cols>
  <sheetData>
    <row r="1" spans="1:35" s="761" customFormat="1" ht="15.75" x14ac:dyDescent="0.25">
      <c r="B1" s="763"/>
      <c r="C1" s="763"/>
      <c r="D1" s="763"/>
      <c r="E1" s="1046" t="s">
        <v>2237</v>
      </c>
      <c r="F1" s="1046"/>
      <c r="G1" s="1046"/>
      <c r="H1" s="1046"/>
      <c r="I1" s="1046"/>
      <c r="J1" s="1046"/>
      <c r="K1" s="1046"/>
      <c r="L1" s="1046"/>
      <c r="M1" s="1046"/>
      <c r="N1" s="1046"/>
      <c r="O1" s="1046"/>
      <c r="P1" s="1046"/>
      <c r="Q1" s="1046"/>
      <c r="R1" s="1046"/>
      <c r="S1" s="1046"/>
      <c r="T1" s="1046"/>
      <c r="U1" s="1046"/>
      <c r="V1" s="1046"/>
      <c r="W1" s="1046"/>
      <c r="X1" s="1046"/>
      <c r="Y1" s="1046"/>
    </row>
    <row r="2" spans="1:35" s="761" customFormat="1" ht="15.75" x14ac:dyDescent="0.25">
      <c r="B2" s="763"/>
      <c r="C2" s="763"/>
      <c r="D2" s="763"/>
      <c r="E2" s="1046" t="s">
        <v>2322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  <c r="X2" s="1046"/>
      <c r="Y2" s="1046"/>
    </row>
    <row r="3" spans="1:35" s="761" customFormat="1" ht="15.75" hidden="1" x14ac:dyDescent="0.25">
      <c r="B3" s="762"/>
      <c r="C3" s="762"/>
      <c r="D3" s="762"/>
      <c r="E3" s="1047" t="s">
        <v>34</v>
      </c>
      <c r="F3" s="1047"/>
      <c r="G3" s="1047"/>
      <c r="H3" s="1047"/>
      <c r="I3" s="1047"/>
      <c r="J3" s="1047"/>
      <c r="K3" s="1047"/>
      <c r="L3" s="1047"/>
      <c r="M3" s="1047"/>
      <c r="N3" s="1047"/>
      <c r="O3" s="1047"/>
      <c r="P3" s="1047"/>
      <c r="Q3" s="1047"/>
      <c r="R3" s="1047"/>
      <c r="S3" s="1047"/>
      <c r="T3" s="1047"/>
      <c r="U3" s="1047"/>
      <c r="V3" s="1047"/>
      <c r="W3" s="1047"/>
      <c r="X3" s="1047"/>
      <c r="Y3" s="1047"/>
    </row>
    <row r="4" spans="1:35" s="761" customFormat="1" ht="15.75" customHeight="1" x14ac:dyDescent="0.25">
      <c r="B4" s="763"/>
      <c r="C4" s="763"/>
      <c r="D4" s="763"/>
      <c r="E4" s="1052" t="s">
        <v>2310</v>
      </c>
      <c r="F4" s="1052"/>
      <c r="G4" s="1052"/>
      <c r="H4" s="1052"/>
      <c r="I4" s="1052"/>
      <c r="J4" s="1052"/>
      <c r="K4" s="1052"/>
      <c r="L4" s="1052"/>
      <c r="M4" s="1052"/>
      <c r="N4" s="1052"/>
      <c r="O4" s="1052"/>
      <c r="P4" s="1052"/>
      <c r="Q4" s="1052"/>
      <c r="R4" s="1052"/>
      <c r="S4" s="1052"/>
      <c r="T4" s="1052"/>
      <c r="U4" s="1052"/>
      <c r="V4" s="1052"/>
      <c r="W4" s="1052"/>
      <c r="X4" s="1052"/>
      <c r="Y4" s="1052"/>
      <c r="Z4" s="1052"/>
      <c r="AA4" s="1052"/>
      <c r="AB4" s="1052"/>
      <c r="AC4" s="1052"/>
      <c r="AD4" s="1052"/>
      <c r="AE4" s="1052"/>
      <c r="AF4" s="1052"/>
      <c r="AG4" s="1052"/>
      <c r="AH4" s="1052"/>
      <c r="AI4" s="1052"/>
    </row>
    <row r="5" spans="1:35" s="806" customFormat="1" ht="21" customHeight="1" thickBot="1" x14ac:dyDescent="0.4">
      <c r="A5" s="809"/>
      <c r="B5" s="809"/>
      <c r="C5" s="809"/>
      <c r="D5" s="809"/>
      <c r="E5" s="809"/>
      <c r="F5" s="809"/>
      <c r="G5" s="809"/>
      <c r="H5" s="809"/>
      <c r="I5" s="809"/>
      <c r="J5" s="828"/>
      <c r="K5" s="809"/>
      <c r="L5" s="809"/>
      <c r="M5" s="809"/>
      <c r="N5" s="809"/>
      <c r="O5" s="809"/>
      <c r="P5" s="809"/>
      <c r="Q5" s="828"/>
      <c r="R5" s="828"/>
      <c r="S5" s="828"/>
      <c r="T5" s="828"/>
      <c r="U5" s="828"/>
      <c r="V5" s="828"/>
      <c r="W5" s="828"/>
      <c r="X5" s="828"/>
      <c r="Y5" s="843"/>
    </row>
    <row r="6" spans="1:35" s="780" customFormat="1" ht="18.75" customHeight="1" thickTop="1" x14ac:dyDescent="0.25">
      <c r="A6" s="1056" t="s">
        <v>91</v>
      </c>
      <c r="B6" s="1060" t="s">
        <v>2118</v>
      </c>
      <c r="C6" s="1061"/>
      <c r="D6" s="1058" t="s">
        <v>2119</v>
      </c>
      <c r="E6" s="1058" t="s">
        <v>2120</v>
      </c>
      <c r="F6" s="1053" t="s">
        <v>2195</v>
      </c>
      <c r="G6" s="1054"/>
      <c r="H6" s="1054"/>
      <c r="I6" s="1054"/>
      <c r="J6" s="1054"/>
      <c r="K6" s="1054"/>
      <c r="L6" s="1054"/>
      <c r="M6" s="1054"/>
      <c r="N6" s="1054"/>
      <c r="O6" s="1054"/>
      <c r="P6" s="1055"/>
      <c r="Q6" s="1069" t="s">
        <v>2107</v>
      </c>
      <c r="R6" s="1053" t="s">
        <v>104</v>
      </c>
      <c r="S6" s="1054"/>
      <c r="T6" s="1054"/>
      <c r="U6" s="1055"/>
      <c r="V6" s="1048" t="s">
        <v>99</v>
      </c>
      <c r="W6" s="1048" t="s">
        <v>2108</v>
      </c>
      <c r="X6" s="1048" t="s">
        <v>103</v>
      </c>
      <c r="Y6" s="1067" t="s">
        <v>2121</v>
      </c>
    </row>
    <row r="7" spans="1:35" s="780" customFormat="1" ht="145.5" customHeight="1" x14ac:dyDescent="0.25">
      <c r="A7" s="1106"/>
      <c r="B7" s="1062"/>
      <c r="C7" s="1063"/>
      <c r="D7" s="1059"/>
      <c r="E7" s="1059"/>
      <c r="F7" s="738" t="s">
        <v>2190</v>
      </c>
      <c r="G7" s="738" t="s">
        <v>2261</v>
      </c>
      <c r="H7" s="738" t="s">
        <v>2203</v>
      </c>
      <c r="I7" s="714" t="s">
        <v>2128</v>
      </c>
      <c r="J7" s="738" t="s">
        <v>2114</v>
      </c>
      <c r="K7" s="734" t="s">
        <v>2204</v>
      </c>
      <c r="L7" s="734" t="s">
        <v>2226</v>
      </c>
      <c r="M7" s="735" t="s">
        <v>2095</v>
      </c>
      <c r="N7" s="728" t="s">
        <v>2156</v>
      </c>
      <c r="O7" s="714" t="s">
        <v>2113</v>
      </c>
      <c r="P7" s="729" t="s">
        <v>2165</v>
      </c>
      <c r="Q7" s="1070"/>
      <c r="R7" s="718" t="s">
        <v>108</v>
      </c>
      <c r="S7" s="718" t="s">
        <v>97</v>
      </c>
      <c r="T7" s="718" t="s">
        <v>96</v>
      </c>
      <c r="U7" s="719" t="s">
        <v>98</v>
      </c>
      <c r="V7" s="1049"/>
      <c r="W7" s="1049"/>
      <c r="X7" s="1049"/>
      <c r="Y7" s="1068"/>
      <c r="Z7" s="780" t="s">
        <v>94</v>
      </c>
    </row>
    <row r="8" spans="1:35" s="784" customFormat="1" ht="18" customHeight="1" x14ac:dyDescent="0.25">
      <c r="A8" s="741">
        <v>1</v>
      </c>
      <c r="B8" s="752"/>
      <c r="C8" s="743">
        <v>2026</v>
      </c>
      <c r="D8" s="690" t="s">
        <v>4186</v>
      </c>
      <c r="E8" s="697" t="s">
        <v>2677</v>
      </c>
      <c r="F8" s="705"/>
      <c r="G8" s="705"/>
      <c r="H8" s="705"/>
      <c r="I8" s="705"/>
      <c r="J8" s="705"/>
      <c r="K8" s="705"/>
      <c r="L8" s="705"/>
      <c r="M8" s="705"/>
      <c r="N8" s="705"/>
      <c r="O8" s="705"/>
      <c r="P8" s="705"/>
      <c r="Q8" s="776">
        <f>SUM(F8:P8)/11</f>
        <v>0</v>
      </c>
      <c r="R8" s="705"/>
      <c r="S8" s="705"/>
      <c r="T8" s="776">
        <f>SUM(Q8:S8)/3</f>
        <v>0</v>
      </c>
      <c r="U8" s="776">
        <f>SUM(P8+T8)/2</f>
        <v>0</v>
      </c>
      <c r="V8" s="819"/>
      <c r="W8" s="819"/>
      <c r="X8" s="697"/>
      <c r="Y8" s="694" t="s">
        <v>2997</v>
      </c>
      <c r="AA8" s="781" t="e">
        <f t="shared" ref="AA8:AA41" si="0">AVERAGE(F8:P8)</f>
        <v>#DIV/0!</v>
      </c>
    </row>
    <row r="9" spans="1:35" s="784" customFormat="1" ht="18" customHeight="1" x14ac:dyDescent="0.25">
      <c r="A9" s="744">
        <v>2</v>
      </c>
      <c r="B9" s="745"/>
      <c r="C9" s="746">
        <v>2026</v>
      </c>
      <c r="D9" s="685" t="s">
        <v>4187</v>
      </c>
      <c r="E9" s="696" t="s">
        <v>4188</v>
      </c>
      <c r="F9" s="707"/>
      <c r="G9" s="707"/>
      <c r="H9" s="707"/>
      <c r="I9" s="707"/>
      <c r="J9" s="707"/>
      <c r="K9" s="707"/>
      <c r="L9" s="707"/>
      <c r="M9" s="707"/>
      <c r="N9" s="707"/>
      <c r="O9" s="707"/>
      <c r="P9" s="707"/>
      <c r="Q9" s="782">
        <f>SUM(F9:P9)/11</f>
        <v>0</v>
      </c>
      <c r="R9" s="707"/>
      <c r="S9" s="707"/>
      <c r="T9" s="782">
        <f>SUM(Q9:S9)/3</f>
        <v>0</v>
      </c>
      <c r="U9" s="782">
        <f>SUM(P9+T9)/2</f>
        <v>0</v>
      </c>
      <c r="V9" s="778"/>
      <c r="W9" s="778"/>
      <c r="X9" s="696"/>
      <c r="Y9" s="695" t="s">
        <v>2708</v>
      </c>
      <c r="AA9" s="781" t="e">
        <f t="shared" si="0"/>
        <v>#DIV/0!</v>
      </c>
    </row>
    <row r="10" spans="1:35" s="784" customFormat="1" ht="18" customHeight="1" x14ac:dyDescent="0.25">
      <c r="A10" s="744">
        <v>3</v>
      </c>
      <c r="B10" s="745"/>
      <c r="C10" s="746">
        <v>2026</v>
      </c>
      <c r="D10" s="685" t="s">
        <v>4189</v>
      </c>
      <c r="E10" s="696" t="s">
        <v>4190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82">
        <f t="shared" ref="Q10:Q75" si="1">SUM(F10:P10)/11</f>
        <v>0</v>
      </c>
      <c r="R10" s="707"/>
      <c r="S10" s="707"/>
      <c r="T10" s="782">
        <f>SUM(Q10:S10)/3</f>
        <v>0</v>
      </c>
      <c r="U10" s="782">
        <f>SUM(P10+T10)/2</f>
        <v>0</v>
      </c>
      <c r="V10" s="778"/>
      <c r="W10" s="778"/>
      <c r="X10" s="696"/>
      <c r="Y10" s="695" t="s">
        <v>3223</v>
      </c>
      <c r="AA10" s="781" t="e">
        <f t="shared" si="0"/>
        <v>#DIV/0!</v>
      </c>
    </row>
    <row r="11" spans="1:35" s="784" customFormat="1" ht="18" customHeight="1" x14ac:dyDescent="0.25">
      <c r="A11" s="744">
        <v>4</v>
      </c>
      <c r="B11" s="745"/>
      <c r="C11" s="746">
        <v>2026</v>
      </c>
      <c r="D11" s="685" t="s">
        <v>3027</v>
      </c>
      <c r="E11" s="696" t="s">
        <v>3752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82">
        <f t="shared" si="1"/>
        <v>0</v>
      </c>
      <c r="R11" s="707"/>
      <c r="S11" s="707"/>
      <c r="T11" s="707"/>
      <c r="U11" s="782">
        <f>SUM(R11:T11)/3</f>
        <v>0</v>
      </c>
      <c r="V11" s="782">
        <f>SUM(Q11+U11)/2</f>
        <v>0</v>
      </c>
      <c r="W11" s="778"/>
      <c r="X11" s="814"/>
      <c r="Y11" s="695" t="s">
        <v>3654</v>
      </c>
      <c r="AA11" s="781" t="e">
        <f t="shared" si="0"/>
        <v>#DIV/0!</v>
      </c>
    </row>
    <row r="12" spans="1:35" s="784" customFormat="1" ht="18" customHeight="1" x14ac:dyDescent="0.25">
      <c r="A12" s="744">
        <v>5</v>
      </c>
      <c r="B12" s="745"/>
      <c r="C12" s="746">
        <v>2026</v>
      </c>
      <c r="D12" s="685" t="s">
        <v>4191</v>
      </c>
      <c r="E12" s="696" t="s">
        <v>4192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82">
        <f t="shared" si="1"/>
        <v>0</v>
      </c>
      <c r="R12" s="707"/>
      <c r="S12" s="707"/>
      <c r="T12" s="782">
        <f t="shared" ref="T12:T39" si="2">SUM(Q12:S12)/3</f>
        <v>0</v>
      </c>
      <c r="U12" s="782">
        <f t="shared" ref="U12:U39" si="3">SUM(P12+T12)/2</f>
        <v>0</v>
      </c>
      <c r="V12" s="778"/>
      <c r="W12" s="778"/>
      <c r="X12" s="696"/>
      <c r="Y12" s="695" t="s">
        <v>4288</v>
      </c>
      <c r="AA12" s="781" t="e">
        <f t="shared" si="0"/>
        <v>#DIV/0!</v>
      </c>
    </row>
    <row r="13" spans="1:35" s="784" customFormat="1" ht="18" customHeight="1" x14ac:dyDescent="0.25">
      <c r="A13" s="744">
        <v>6</v>
      </c>
      <c r="B13" s="745"/>
      <c r="C13" s="746">
        <v>2026</v>
      </c>
      <c r="D13" s="685" t="s">
        <v>4193</v>
      </c>
      <c r="E13" s="696" t="s">
        <v>2808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82">
        <f t="shared" si="1"/>
        <v>0</v>
      </c>
      <c r="R13" s="707"/>
      <c r="S13" s="707"/>
      <c r="T13" s="782">
        <f t="shared" si="2"/>
        <v>0</v>
      </c>
      <c r="U13" s="782">
        <f t="shared" si="3"/>
        <v>0</v>
      </c>
      <c r="V13" s="778"/>
      <c r="W13" s="778"/>
      <c r="X13" s="696"/>
      <c r="Y13" s="695" t="s">
        <v>2988</v>
      </c>
      <c r="AA13" s="781" t="e">
        <f t="shared" si="0"/>
        <v>#DIV/0!</v>
      </c>
    </row>
    <row r="14" spans="1:35" s="784" customFormat="1" ht="18" customHeight="1" x14ac:dyDescent="0.25">
      <c r="A14" s="744">
        <v>7</v>
      </c>
      <c r="B14" s="745"/>
      <c r="C14" s="746">
        <v>2026</v>
      </c>
      <c r="D14" s="685" t="s">
        <v>4194</v>
      </c>
      <c r="E14" s="696" t="s">
        <v>3889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82">
        <f t="shared" si="1"/>
        <v>0</v>
      </c>
      <c r="R14" s="707"/>
      <c r="S14" s="707"/>
      <c r="T14" s="782">
        <f t="shared" si="2"/>
        <v>0</v>
      </c>
      <c r="U14" s="782">
        <f t="shared" si="3"/>
        <v>0</v>
      </c>
      <c r="V14" s="778"/>
      <c r="W14" s="778"/>
      <c r="X14" s="696"/>
      <c r="Y14" s="695" t="s">
        <v>2730</v>
      </c>
      <c r="AA14" s="781" t="e">
        <f t="shared" si="0"/>
        <v>#DIV/0!</v>
      </c>
    </row>
    <row r="15" spans="1:35" s="784" customFormat="1" ht="18" customHeight="1" x14ac:dyDescent="0.25">
      <c r="A15" s="744">
        <v>8</v>
      </c>
      <c r="B15" s="745"/>
      <c r="C15" s="746">
        <v>2026</v>
      </c>
      <c r="D15" s="685" t="s">
        <v>2759</v>
      </c>
      <c r="E15" s="696" t="s">
        <v>3119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82">
        <f t="shared" si="1"/>
        <v>0</v>
      </c>
      <c r="R15" s="707"/>
      <c r="S15" s="707"/>
      <c r="T15" s="782">
        <f t="shared" si="2"/>
        <v>0</v>
      </c>
      <c r="U15" s="782">
        <f t="shared" si="3"/>
        <v>0</v>
      </c>
      <c r="V15" s="778"/>
      <c r="W15" s="778"/>
      <c r="X15" s="696"/>
      <c r="Y15" s="695" t="s">
        <v>3199</v>
      </c>
      <c r="AA15" s="781" t="e">
        <f t="shared" si="0"/>
        <v>#DIV/0!</v>
      </c>
    </row>
    <row r="16" spans="1:35" s="784" customFormat="1" ht="18" customHeight="1" x14ac:dyDescent="0.25">
      <c r="A16" s="744">
        <v>9</v>
      </c>
      <c r="B16" s="745"/>
      <c r="C16" s="746">
        <v>2026</v>
      </c>
      <c r="D16" s="685" t="s">
        <v>4195</v>
      </c>
      <c r="E16" s="696" t="s">
        <v>4196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82">
        <f t="shared" si="1"/>
        <v>0</v>
      </c>
      <c r="R16" s="707"/>
      <c r="S16" s="707"/>
      <c r="T16" s="782"/>
      <c r="U16" s="782"/>
      <c r="V16" s="778"/>
      <c r="W16" s="778"/>
      <c r="X16" s="696"/>
      <c r="Y16" s="695" t="s">
        <v>3649</v>
      </c>
      <c r="AA16" s="781" t="e">
        <f t="shared" si="0"/>
        <v>#DIV/0!</v>
      </c>
    </row>
    <row r="17" spans="1:27" s="784" customFormat="1" ht="18" customHeight="1" x14ac:dyDescent="0.25">
      <c r="A17" s="744">
        <v>10</v>
      </c>
      <c r="B17" s="745"/>
      <c r="C17" s="746">
        <v>2026</v>
      </c>
      <c r="D17" s="685" t="s">
        <v>4197</v>
      </c>
      <c r="E17" s="696" t="s">
        <v>4198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82">
        <f t="shared" si="1"/>
        <v>0</v>
      </c>
      <c r="R17" s="707"/>
      <c r="S17" s="707"/>
      <c r="T17" s="782"/>
      <c r="U17" s="782"/>
      <c r="V17" s="778"/>
      <c r="W17" s="778"/>
      <c r="X17" s="696"/>
      <c r="Y17" s="695" t="s">
        <v>3015</v>
      </c>
      <c r="AA17" s="781" t="e">
        <f t="shared" si="0"/>
        <v>#DIV/0!</v>
      </c>
    </row>
    <row r="18" spans="1:27" s="784" customFormat="1" ht="18" customHeight="1" x14ac:dyDescent="0.25">
      <c r="A18" s="744">
        <v>11</v>
      </c>
      <c r="B18" s="745"/>
      <c r="C18" s="746">
        <v>2026</v>
      </c>
      <c r="D18" s="685" t="s">
        <v>4199</v>
      </c>
      <c r="E18" s="696" t="s">
        <v>4200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82">
        <f t="shared" si="1"/>
        <v>0</v>
      </c>
      <c r="R18" s="707"/>
      <c r="S18" s="707"/>
      <c r="T18" s="782">
        <f t="shared" si="2"/>
        <v>0</v>
      </c>
      <c r="U18" s="782">
        <f t="shared" si="3"/>
        <v>0</v>
      </c>
      <c r="V18" s="778"/>
      <c r="W18" s="778"/>
      <c r="X18" s="696"/>
      <c r="Y18" s="695" t="s">
        <v>3360</v>
      </c>
      <c r="AA18" s="781" t="e">
        <f t="shared" si="0"/>
        <v>#DIV/0!</v>
      </c>
    </row>
    <row r="19" spans="1:27" s="784" customFormat="1" ht="18" customHeight="1" x14ac:dyDescent="0.25">
      <c r="A19" s="744">
        <v>12</v>
      </c>
      <c r="B19" s="745"/>
      <c r="C19" s="746">
        <v>2026</v>
      </c>
      <c r="D19" s="685" t="s">
        <v>4201</v>
      </c>
      <c r="E19" s="696" t="s">
        <v>3756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82">
        <f t="shared" si="1"/>
        <v>0</v>
      </c>
      <c r="R19" s="707"/>
      <c r="S19" s="707"/>
      <c r="T19" s="782">
        <f t="shared" si="2"/>
        <v>0</v>
      </c>
      <c r="U19" s="782">
        <f t="shared" si="3"/>
        <v>0</v>
      </c>
      <c r="V19" s="778"/>
      <c r="W19" s="778"/>
      <c r="X19" s="696"/>
      <c r="Y19" s="695" t="s">
        <v>3832</v>
      </c>
      <c r="AA19" s="781" t="e">
        <f t="shared" si="0"/>
        <v>#DIV/0!</v>
      </c>
    </row>
    <row r="20" spans="1:27" s="784" customFormat="1" ht="18" customHeight="1" x14ac:dyDescent="0.25">
      <c r="A20" s="744">
        <v>13</v>
      </c>
      <c r="B20" s="745"/>
      <c r="C20" s="746">
        <v>2026</v>
      </c>
      <c r="D20" s="685" t="s">
        <v>4202</v>
      </c>
      <c r="E20" s="696" t="s">
        <v>4203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82">
        <f t="shared" si="1"/>
        <v>0</v>
      </c>
      <c r="R20" s="707"/>
      <c r="S20" s="707"/>
      <c r="T20" s="782">
        <f t="shared" si="2"/>
        <v>0</v>
      </c>
      <c r="U20" s="782">
        <f t="shared" si="3"/>
        <v>0</v>
      </c>
      <c r="V20" s="778"/>
      <c r="W20" s="778"/>
      <c r="X20" s="696"/>
      <c r="Y20" s="695" t="s">
        <v>2995</v>
      </c>
      <c r="AA20" s="781" t="e">
        <f t="shared" si="0"/>
        <v>#DIV/0!</v>
      </c>
    </row>
    <row r="21" spans="1:27" s="784" customFormat="1" ht="18" customHeight="1" x14ac:dyDescent="0.25">
      <c r="A21" s="744">
        <v>14</v>
      </c>
      <c r="B21" s="745"/>
      <c r="C21" s="746">
        <v>2026</v>
      </c>
      <c r="D21" s="685" t="s">
        <v>4204</v>
      </c>
      <c r="E21" s="696" t="s">
        <v>2687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82">
        <f t="shared" si="1"/>
        <v>0</v>
      </c>
      <c r="R21" s="707"/>
      <c r="S21" s="707"/>
      <c r="T21" s="782">
        <f t="shared" si="2"/>
        <v>0</v>
      </c>
      <c r="U21" s="782">
        <f t="shared" si="3"/>
        <v>0</v>
      </c>
      <c r="V21" s="778"/>
      <c r="W21" s="778"/>
      <c r="X21" s="696"/>
      <c r="Y21" s="695" t="s">
        <v>4289</v>
      </c>
      <c r="AA21" s="781" t="e">
        <f t="shared" si="0"/>
        <v>#DIV/0!</v>
      </c>
    </row>
    <row r="22" spans="1:27" s="788" customFormat="1" ht="18" customHeight="1" x14ac:dyDescent="0.25">
      <c r="A22" s="744">
        <v>15</v>
      </c>
      <c r="B22" s="764"/>
      <c r="C22" s="746">
        <v>2026</v>
      </c>
      <c r="D22" s="685" t="s">
        <v>4205</v>
      </c>
      <c r="E22" s="696" t="s">
        <v>2675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82">
        <f t="shared" si="1"/>
        <v>0</v>
      </c>
      <c r="R22" s="708"/>
      <c r="S22" s="708"/>
      <c r="T22" s="785">
        <f t="shared" si="2"/>
        <v>0</v>
      </c>
      <c r="U22" s="785">
        <f t="shared" si="3"/>
        <v>0</v>
      </c>
      <c r="V22" s="789"/>
      <c r="W22" s="789"/>
      <c r="X22" s="765"/>
      <c r="Y22" s="766" t="s">
        <v>4288</v>
      </c>
      <c r="AA22" s="781" t="e">
        <f t="shared" si="0"/>
        <v>#DIV/0!</v>
      </c>
    </row>
    <row r="23" spans="1:27" s="784" customFormat="1" ht="18" customHeight="1" x14ac:dyDescent="0.25">
      <c r="A23" s="744">
        <v>16</v>
      </c>
      <c r="B23" s="745"/>
      <c r="C23" s="746">
        <v>2026</v>
      </c>
      <c r="D23" s="685" t="s">
        <v>2583</v>
      </c>
      <c r="E23" s="696" t="s">
        <v>2642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82">
        <f t="shared" si="1"/>
        <v>0</v>
      </c>
      <c r="R23" s="707"/>
      <c r="S23" s="707"/>
      <c r="T23" s="782">
        <f t="shared" si="2"/>
        <v>0</v>
      </c>
      <c r="U23" s="782">
        <f t="shared" si="3"/>
        <v>0</v>
      </c>
      <c r="V23" s="778"/>
      <c r="W23" s="778"/>
      <c r="X23" s="696"/>
      <c r="Y23" s="695" t="s">
        <v>3227</v>
      </c>
      <c r="AA23" s="781" t="e">
        <f t="shared" si="0"/>
        <v>#DIV/0!</v>
      </c>
    </row>
    <row r="24" spans="1:27" s="784" customFormat="1" ht="18" customHeight="1" x14ac:dyDescent="0.25">
      <c r="A24" s="744">
        <v>17</v>
      </c>
      <c r="B24" s="745"/>
      <c r="C24" s="746">
        <v>2026</v>
      </c>
      <c r="D24" s="685" t="s">
        <v>4206</v>
      </c>
      <c r="E24" s="696" t="s">
        <v>2441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82">
        <f t="shared" si="1"/>
        <v>0</v>
      </c>
      <c r="R24" s="707"/>
      <c r="S24" s="707"/>
      <c r="T24" s="782">
        <f t="shared" si="2"/>
        <v>0</v>
      </c>
      <c r="U24" s="782">
        <f t="shared" si="3"/>
        <v>0</v>
      </c>
      <c r="V24" s="778"/>
      <c r="W24" s="778"/>
      <c r="X24" s="696"/>
      <c r="Y24" s="695" t="s">
        <v>2721</v>
      </c>
      <c r="AA24" s="781" t="e">
        <f t="shared" si="0"/>
        <v>#DIV/0!</v>
      </c>
    </row>
    <row r="25" spans="1:27" s="784" customFormat="1" ht="18" customHeight="1" x14ac:dyDescent="0.25">
      <c r="A25" s="744">
        <v>18</v>
      </c>
      <c r="B25" s="745"/>
      <c r="C25" s="746">
        <v>2026</v>
      </c>
      <c r="D25" s="685" t="s">
        <v>2597</v>
      </c>
      <c r="E25" s="696" t="s">
        <v>2574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82">
        <f t="shared" si="1"/>
        <v>0</v>
      </c>
      <c r="R25" s="707"/>
      <c r="S25" s="707"/>
      <c r="T25" s="782">
        <f t="shared" si="2"/>
        <v>0</v>
      </c>
      <c r="U25" s="782">
        <f t="shared" si="3"/>
        <v>0</v>
      </c>
      <c r="V25" s="778"/>
      <c r="W25" s="778"/>
      <c r="X25" s="696"/>
      <c r="Y25" s="695" t="s">
        <v>2983</v>
      </c>
      <c r="AA25" s="781" t="e">
        <f t="shared" si="0"/>
        <v>#DIV/0!</v>
      </c>
    </row>
    <row r="26" spans="1:27" s="784" customFormat="1" ht="18" customHeight="1" x14ac:dyDescent="0.25">
      <c r="A26" s="744">
        <v>19</v>
      </c>
      <c r="B26" s="745"/>
      <c r="C26" s="746">
        <v>2026</v>
      </c>
      <c r="D26" s="685" t="s">
        <v>4207</v>
      </c>
      <c r="E26" s="696" t="s">
        <v>4208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82">
        <f t="shared" si="1"/>
        <v>0</v>
      </c>
      <c r="R26" s="707"/>
      <c r="S26" s="707"/>
      <c r="T26" s="782">
        <f t="shared" si="2"/>
        <v>0</v>
      </c>
      <c r="U26" s="782">
        <f t="shared" si="3"/>
        <v>0</v>
      </c>
      <c r="V26" s="778"/>
      <c r="W26" s="778"/>
      <c r="X26" s="696"/>
      <c r="Y26" s="695" t="s">
        <v>2482</v>
      </c>
      <c r="AA26" s="781" t="e">
        <f t="shared" si="0"/>
        <v>#DIV/0!</v>
      </c>
    </row>
    <row r="27" spans="1:27" s="784" customFormat="1" ht="18" customHeight="1" x14ac:dyDescent="0.25">
      <c r="A27" s="744">
        <v>20</v>
      </c>
      <c r="B27" s="745"/>
      <c r="C27" s="746">
        <v>2026</v>
      </c>
      <c r="D27" s="685" t="s">
        <v>4209</v>
      </c>
      <c r="E27" s="696" t="s">
        <v>4210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82">
        <f t="shared" si="1"/>
        <v>0</v>
      </c>
      <c r="R27" s="707"/>
      <c r="S27" s="707"/>
      <c r="T27" s="782">
        <f t="shared" si="2"/>
        <v>0</v>
      </c>
      <c r="U27" s="782">
        <f t="shared" si="3"/>
        <v>0</v>
      </c>
      <c r="V27" s="778"/>
      <c r="W27" s="778"/>
      <c r="X27" s="696"/>
      <c r="Y27" s="695" t="s">
        <v>3233</v>
      </c>
      <c r="AA27" s="781" t="e">
        <f t="shared" si="0"/>
        <v>#DIV/0!</v>
      </c>
    </row>
    <row r="28" spans="1:27" s="784" customFormat="1" ht="18" customHeight="1" x14ac:dyDescent="0.25">
      <c r="A28" s="744">
        <v>21</v>
      </c>
      <c r="B28" s="745"/>
      <c r="C28" s="746">
        <v>2026</v>
      </c>
      <c r="D28" s="685" t="s">
        <v>4211</v>
      </c>
      <c r="E28" s="696" t="s">
        <v>4212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82">
        <f t="shared" si="1"/>
        <v>0</v>
      </c>
      <c r="R28" s="707"/>
      <c r="S28" s="707"/>
      <c r="T28" s="782">
        <f t="shared" si="2"/>
        <v>0</v>
      </c>
      <c r="U28" s="782">
        <f t="shared" si="3"/>
        <v>0</v>
      </c>
      <c r="V28" s="778"/>
      <c r="W28" s="778"/>
      <c r="X28" s="696"/>
      <c r="Y28" s="695" t="s">
        <v>4290</v>
      </c>
      <c r="AA28" s="781" t="e">
        <f t="shared" si="0"/>
        <v>#DIV/0!</v>
      </c>
    </row>
    <row r="29" spans="1:27" s="784" customFormat="1" ht="18" customHeight="1" x14ac:dyDescent="0.25">
      <c r="A29" s="744">
        <v>22</v>
      </c>
      <c r="B29" s="745"/>
      <c r="C29" s="746">
        <v>2026</v>
      </c>
      <c r="D29" s="685" t="s">
        <v>4213</v>
      </c>
      <c r="E29" s="696" t="s">
        <v>4214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82">
        <f t="shared" si="1"/>
        <v>0</v>
      </c>
      <c r="R29" s="707"/>
      <c r="S29" s="707"/>
      <c r="T29" s="782">
        <f t="shared" si="2"/>
        <v>0</v>
      </c>
      <c r="U29" s="782">
        <f t="shared" si="3"/>
        <v>0</v>
      </c>
      <c r="V29" s="778"/>
      <c r="W29" s="778"/>
      <c r="X29" s="696"/>
      <c r="Y29" s="695" t="s">
        <v>4288</v>
      </c>
      <c r="AA29" s="781" t="e">
        <f t="shared" si="0"/>
        <v>#DIV/0!</v>
      </c>
    </row>
    <row r="30" spans="1:27" s="784" customFormat="1" ht="18" customHeight="1" x14ac:dyDescent="0.25">
      <c r="A30" s="744">
        <v>23</v>
      </c>
      <c r="B30" s="745"/>
      <c r="C30" s="746">
        <v>2026</v>
      </c>
      <c r="D30" s="685" t="s">
        <v>4215</v>
      </c>
      <c r="E30" s="696" t="s">
        <v>2347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82">
        <f t="shared" si="1"/>
        <v>0</v>
      </c>
      <c r="R30" s="707"/>
      <c r="S30" s="707"/>
      <c r="T30" s="782">
        <f t="shared" si="2"/>
        <v>0</v>
      </c>
      <c r="U30" s="782">
        <f t="shared" si="3"/>
        <v>0</v>
      </c>
      <c r="V30" s="778"/>
      <c r="W30" s="778"/>
      <c r="X30" s="696"/>
      <c r="Y30" s="695" t="s">
        <v>3207</v>
      </c>
      <c r="AA30" s="781" t="e">
        <f t="shared" si="0"/>
        <v>#DIV/0!</v>
      </c>
    </row>
    <row r="31" spans="1:27" s="784" customFormat="1" ht="18" customHeight="1" x14ac:dyDescent="0.25">
      <c r="A31" s="744">
        <v>24</v>
      </c>
      <c r="B31" s="745"/>
      <c r="C31" s="746">
        <v>2026</v>
      </c>
      <c r="D31" s="685" t="s">
        <v>4216</v>
      </c>
      <c r="E31" s="696" t="s">
        <v>4217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82">
        <f t="shared" si="1"/>
        <v>0</v>
      </c>
      <c r="R31" s="707"/>
      <c r="S31" s="707"/>
      <c r="T31" s="782">
        <f t="shared" si="2"/>
        <v>0</v>
      </c>
      <c r="U31" s="782">
        <f t="shared" si="3"/>
        <v>0</v>
      </c>
      <c r="V31" s="778"/>
      <c r="W31" s="778"/>
      <c r="X31" s="696"/>
      <c r="Y31" s="695" t="s">
        <v>3207</v>
      </c>
      <c r="AA31" s="781" t="e">
        <f t="shared" si="0"/>
        <v>#DIV/0!</v>
      </c>
    </row>
    <row r="32" spans="1:27" s="784" customFormat="1" ht="18" customHeight="1" x14ac:dyDescent="0.25">
      <c r="A32" s="744">
        <v>25</v>
      </c>
      <c r="B32" s="745"/>
      <c r="C32" s="746">
        <v>2026</v>
      </c>
      <c r="D32" s="685" t="s">
        <v>4218</v>
      </c>
      <c r="E32" s="696" t="s">
        <v>4219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82">
        <f t="shared" si="1"/>
        <v>0</v>
      </c>
      <c r="R32" s="707"/>
      <c r="S32" s="707"/>
      <c r="T32" s="782">
        <f t="shared" si="2"/>
        <v>0</v>
      </c>
      <c r="U32" s="782">
        <f t="shared" si="3"/>
        <v>0</v>
      </c>
      <c r="V32" s="778"/>
      <c r="W32" s="778"/>
      <c r="X32" s="696"/>
      <c r="Y32" s="695" t="s">
        <v>4291</v>
      </c>
      <c r="AA32" s="781" t="e">
        <f t="shared" si="0"/>
        <v>#DIV/0!</v>
      </c>
    </row>
    <row r="33" spans="1:27" s="784" customFormat="1" ht="18" customHeight="1" x14ac:dyDescent="0.25">
      <c r="A33" s="744">
        <v>26</v>
      </c>
      <c r="B33" s="745"/>
      <c r="C33" s="746">
        <v>2026</v>
      </c>
      <c r="D33" s="685" t="s">
        <v>4220</v>
      </c>
      <c r="E33" s="696" t="s">
        <v>4221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82">
        <f t="shared" si="1"/>
        <v>0</v>
      </c>
      <c r="R33" s="707"/>
      <c r="S33" s="707"/>
      <c r="T33" s="782">
        <f t="shared" si="2"/>
        <v>0</v>
      </c>
      <c r="U33" s="782">
        <f t="shared" si="3"/>
        <v>0</v>
      </c>
      <c r="V33" s="778"/>
      <c r="W33" s="778"/>
      <c r="X33" s="696"/>
      <c r="Y33" s="695" t="s">
        <v>3832</v>
      </c>
      <c r="AA33" s="781" t="e">
        <f t="shared" si="0"/>
        <v>#DIV/0!</v>
      </c>
    </row>
    <row r="34" spans="1:27" s="784" customFormat="1" ht="18" customHeight="1" x14ac:dyDescent="0.25">
      <c r="A34" s="744">
        <v>27</v>
      </c>
      <c r="B34" s="745"/>
      <c r="C34" s="746">
        <v>2026</v>
      </c>
      <c r="D34" s="685" t="s">
        <v>4222</v>
      </c>
      <c r="E34" s="696" t="s">
        <v>3674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82">
        <f t="shared" si="1"/>
        <v>0</v>
      </c>
      <c r="R34" s="707"/>
      <c r="S34" s="707"/>
      <c r="T34" s="782">
        <f t="shared" si="2"/>
        <v>0</v>
      </c>
      <c r="U34" s="782">
        <f t="shared" si="3"/>
        <v>0</v>
      </c>
      <c r="V34" s="778"/>
      <c r="W34" s="778"/>
      <c r="X34" s="696"/>
      <c r="Y34" s="695" t="s">
        <v>3832</v>
      </c>
      <c r="AA34" s="781" t="e">
        <f t="shared" si="0"/>
        <v>#DIV/0!</v>
      </c>
    </row>
    <row r="35" spans="1:27" s="784" customFormat="1" ht="18" customHeight="1" x14ac:dyDescent="0.25">
      <c r="A35" s="744">
        <v>28</v>
      </c>
      <c r="B35" s="745"/>
      <c r="C35" s="746">
        <v>2026</v>
      </c>
      <c r="D35" s="685" t="s">
        <v>4223</v>
      </c>
      <c r="E35" s="696" t="s">
        <v>2899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82">
        <f t="shared" si="1"/>
        <v>0</v>
      </c>
      <c r="R35" s="707"/>
      <c r="S35" s="707"/>
      <c r="T35" s="782">
        <f t="shared" si="2"/>
        <v>0</v>
      </c>
      <c r="U35" s="782">
        <f t="shared" si="3"/>
        <v>0</v>
      </c>
      <c r="V35" s="778"/>
      <c r="W35" s="778"/>
      <c r="X35" s="696"/>
      <c r="Y35" s="695" t="s">
        <v>2995</v>
      </c>
      <c r="AA35" s="781" t="e">
        <f t="shared" si="0"/>
        <v>#DIV/0!</v>
      </c>
    </row>
    <row r="36" spans="1:27" s="784" customFormat="1" ht="18" customHeight="1" x14ac:dyDescent="0.25">
      <c r="A36" s="744">
        <v>29</v>
      </c>
      <c r="B36" s="745"/>
      <c r="C36" s="746">
        <v>2026</v>
      </c>
      <c r="D36" s="685" t="s">
        <v>4224</v>
      </c>
      <c r="E36" s="696" t="s">
        <v>3065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7"/>
      <c r="Q36" s="782">
        <f t="shared" si="1"/>
        <v>0</v>
      </c>
      <c r="R36" s="707"/>
      <c r="S36" s="707"/>
      <c r="T36" s="782">
        <f t="shared" si="2"/>
        <v>0</v>
      </c>
      <c r="U36" s="782">
        <f t="shared" si="3"/>
        <v>0</v>
      </c>
      <c r="V36" s="778"/>
      <c r="W36" s="778"/>
      <c r="X36" s="884"/>
      <c r="Y36" s="695" t="s">
        <v>3015</v>
      </c>
      <c r="AA36" s="781" t="e">
        <f t="shared" si="0"/>
        <v>#DIV/0!</v>
      </c>
    </row>
    <row r="37" spans="1:27" s="784" customFormat="1" ht="18" customHeight="1" x14ac:dyDescent="0.25">
      <c r="A37" s="744">
        <v>30</v>
      </c>
      <c r="B37" s="745"/>
      <c r="C37" s="746">
        <v>2026</v>
      </c>
      <c r="D37" s="685" t="s">
        <v>4225</v>
      </c>
      <c r="E37" s="696" t="s">
        <v>2762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7"/>
      <c r="Q37" s="782">
        <f t="shared" si="1"/>
        <v>0</v>
      </c>
      <c r="R37" s="707"/>
      <c r="S37" s="707"/>
      <c r="T37" s="782">
        <f t="shared" si="2"/>
        <v>0</v>
      </c>
      <c r="U37" s="782">
        <f t="shared" si="3"/>
        <v>0</v>
      </c>
      <c r="V37" s="778"/>
      <c r="W37" s="778"/>
      <c r="X37" s="696"/>
      <c r="Y37" s="695" t="s">
        <v>3215</v>
      </c>
      <c r="AA37" s="781" t="e">
        <f t="shared" si="0"/>
        <v>#DIV/0!</v>
      </c>
    </row>
    <row r="38" spans="1:27" s="784" customFormat="1" ht="18" customHeight="1" x14ac:dyDescent="0.25">
      <c r="A38" s="744">
        <v>31</v>
      </c>
      <c r="B38" s="745"/>
      <c r="C38" s="746">
        <v>2026</v>
      </c>
      <c r="D38" s="685" t="s">
        <v>4226</v>
      </c>
      <c r="E38" s="696" t="s">
        <v>2876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7"/>
      <c r="Q38" s="782">
        <f t="shared" si="1"/>
        <v>0</v>
      </c>
      <c r="R38" s="707"/>
      <c r="S38" s="707"/>
      <c r="T38" s="782">
        <f t="shared" si="2"/>
        <v>0</v>
      </c>
      <c r="U38" s="782">
        <f t="shared" si="3"/>
        <v>0</v>
      </c>
      <c r="V38" s="778"/>
      <c r="W38" s="778"/>
      <c r="X38" s="696"/>
      <c r="Y38" s="695" t="s">
        <v>3643</v>
      </c>
      <c r="AA38" s="781" t="e">
        <f t="shared" si="0"/>
        <v>#DIV/0!</v>
      </c>
    </row>
    <row r="39" spans="1:27" s="784" customFormat="1" ht="18" customHeight="1" x14ac:dyDescent="0.25">
      <c r="A39" s="744">
        <v>32</v>
      </c>
      <c r="B39" s="745"/>
      <c r="C39" s="746">
        <v>2026</v>
      </c>
      <c r="D39" s="685" t="s">
        <v>4227</v>
      </c>
      <c r="E39" s="696" t="s">
        <v>4228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82">
        <f t="shared" si="1"/>
        <v>0</v>
      </c>
      <c r="R39" s="707"/>
      <c r="S39" s="707"/>
      <c r="T39" s="782">
        <f t="shared" si="2"/>
        <v>0</v>
      </c>
      <c r="U39" s="782">
        <f t="shared" si="3"/>
        <v>0</v>
      </c>
      <c r="V39" s="778"/>
      <c r="W39" s="778"/>
      <c r="X39" s="696"/>
      <c r="Y39" s="695" t="s">
        <v>2491</v>
      </c>
      <c r="AA39" s="781" t="e">
        <f t="shared" si="0"/>
        <v>#DIV/0!</v>
      </c>
    </row>
    <row r="40" spans="1:27" s="784" customFormat="1" ht="18" customHeight="1" x14ac:dyDescent="0.25">
      <c r="A40" s="744">
        <v>33</v>
      </c>
      <c r="B40" s="745"/>
      <c r="C40" s="746">
        <v>2026</v>
      </c>
      <c r="D40" s="685" t="s">
        <v>4229</v>
      </c>
      <c r="E40" s="696" t="s">
        <v>4230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82">
        <f t="shared" si="1"/>
        <v>0</v>
      </c>
      <c r="R40" s="707"/>
      <c r="S40" s="707"/>
      <c r="T40" s="707"/>
      <c r="U40" s="782">
        <f>SUM(R40:T40)/3</f>
        <v>0</v>
      </c>
      <c r="V40" s="782">
        <f>SUM(Q40+U40)/2</f>
        <v>0</v>
      </c>
      <c r="W40" s="778"/>
      <c r="X40" s="814"/>
      <c r="Y40" s="695" t="s">
        <v>2727</v>
      </c>
      <c r="AA40" s="781" t="e">
        <f t="shared" si="0"/>
        <v>#DIV/0!</v>
      </c>
    </row>
    <row r="41" spans="1:27" s="784" customFormat="1" ht="18" customHeight="1" x14ac:dyDescent="0.25">
      <c r="A41" s="744">
        <v>34</v>
      </c>
      <c r="B41" s="745"/>
      <c r="C41" s="746">
        <v>2026</v>
      </c>
      <c r="D41" s="685" t="s">
        <v>4231</v>
      </c>
      <c r="E41" s="696" t="s">
        <v>4232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82">
        <f t="shared" si="1"/>
        <v>0</v>
      </c>
      <c r="R41" s="707"/>
      <c r="S41" s="707"/>
      <c r="T41" s="707"/>
      <c r="U41" s="782">
        <f>SUM(R41:T41)/3</f>
        <v>0</v>
      </c>
      <c r="V41" s="782">
        <f>SUM(Q41+U41)/2</f>
        <v>0</v>
      </c>
      <c r="W41" s="778"/>
      <c r="X41" s="814"/>
      <c r="Y41" s="695" t="s">
        <v>2708</v>
      </c>
      <c r="AA41" s="781" t="e">
        <f t="shared" si="0"/>
        <v>#DIV/0!</v>
      </c>
    </row>
    <row r="42" spans="1:27" s="784" customFormat="1" ht="18" customHeight="1" x14ac:dyDescent="0.25">
      <c r="A42" s="744">
        <v>35</v>
      </c>
      <c r="B42" s="745"/>
      <c r="C42" s="746">
        <v>2026</v>
      </c>
      <c r="D42" s="685" t="s">
        <v>4233</v>
      </c>
      <c r="E42" s="696" t="s">
        <v>2823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82">
        <f t="shared" si="1"/>
        <v>0</v>
      </c>
      <c r="R42" s="707"/>
      <c r="S42" s="707"/>
      <c r="T42" s="707"/>
      <c r="U42" s="782"/>
      <c r="V42" s="782"/>
      <c r="W42" s="778"/>
      <c r="X42" s="814"/>
      <c r="Y42" s="695" t="s">
        <v>3215</v>
      </c>
      <c r="AA42" s="781" t="e">
        <f t="shared" ref="AA42:AA74" si="4">AVERAGE(F42:P42)</f>
        <v>#DIV/0!</v>
      </c>
    </row>
    <row r="43" spans="1:27" s="784" customFormat="1" ht="18" customHeight="1" x14ac:dyDescent="0.25">
      <c r="A43" s="744">
        <v>36</v>
      </c>
      <c r="B43" s="745"/>
      <c r="C43" s="746">
        <v>2026</v>
      </c>
      <c r="D43" s="685" t="s">
        <v>4234</v>
      </c>
      <c r="E43" s="696" t="s">
        <v>3178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82">
        <f t="shared" si="1"/>
        <v>0</v>
      </c>
      <c r="R43" s="707"/>
      <c r="S43" s="707"/>
      <c r="T43" s="707"/>
      <c r="U43" s="782"/>
      <c r="V43" s="782"/>
      <c r="W43" s="778"/>
      <c r="X43" s="814"/>
      <c r="Y43" s="695" t="s">
        <v>2730</v>
      </c>
      <c r="AA43" s="781" t="e">
        <f t="shared" si="4"/>
        <v>#DIV/0!</v>
      </c>
    </row>
    <row r="44" spans="1:27" s="784" customFormat="1" ht="18" customHeight="1" x14ac:dyDescent="0.25">
      <c r="A44" s="744">
        <v>37</v>
      </c>
      <c r="B44" s="745"/>
      <c r="C44" s="746">
        <v>2026</v>
      </c>
      <c r="D44" s="685" t="s">
        <v>4235</v>
      </c>
      <c r="E44" s="696" t="s">
        <v>2778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82">
        <f t="shared" si="1"/>
        <v>0</v>
      </c>
      <c r="R44" s="707"/>
      <c r="S44" s="707"/>
      <c r="T44" s="782">
        <f>SUM(Q44:S44)/3</f>
        <v>0</v>
      </c>
      <c r="U44" s="782">
        <f>SUM(P44+T44)/2</f>
        <v>0</v>
      </c>
      <c r="V44" s="778"/>
      <c r="W44" s="778"/>
      <c r="X44" s="696"/>
      <c r="Y44" s="695" t="s">
        <v>3367</v>
      </c>
      <c r="AA44" s="781" t="e">
        <f t="shared" si="4"/>
        <v>#DIV/0!</v>
      </c>
    </row>
    <row r="45" spans="1:27" s="784" customFormat="1" ht="18" customHeight="1" x14ac:dyDescent="0.25">
      <c r="A45" s="744">
        <v>38</v>
      </c>
      <c r="B45" s="745"/>
      <c r="C45" s="746">
        <v>2026</v>
      </c>
      <c r="D45" s="685" t="s">
        <v>2416</v>
      </c>
      <c r="E45" s="696" t="s">
        <v>3895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82">
        <f t="shared" si="1"/>
        <v>0</v>
      </c>
      <c r="R45" s="707"/>
      <c r="S45" s="707"/>
      <c r="T45" s="782">
        <f>SUM(Q45:S45)/3</f>
        <v>0</v>
      </c>
      <c r="U45" s="782">
        <f>SUM(P45+T45)/2</f>
        <v>0</v>
      </c>
      <c r="V45" s="778"/>
      <c r="W45" s="778"/>
      <c r="X45" s="696"/>
      <c r="Y45" s="695" t="s">
        <v>3198</v>
      </c>
      <c r="AA45" s="781" t="e">
        <f t="shared" si="4"/>
        <v>#DIV/0!</v>
      </c>
    </row>
    <row r="46" spans="1:27" s="784" customFormat="1" ht="18" customHeight="1" x14ac:dyDescent="0.25">
      <c r="A46" s="744">
        <v>39</v>
      </c>
      <c r="B46" s="745"/>
      <c r="C46" s="746">
        <v>2026</v>
      </c>
      <c r="D46" s="685" t="s">
        <v>4236</v>
      </c>
      <c r="E46" s="696" t="s">
        <v>4237</v>
      </c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82">
        <f t="shared" si="1"/>
        <v>0</v>
      </c>
      <c r="R46" s="707"/>
      <c r="S46" s="707"/>
      <c r="T46" s="782">
        <f>SUM(Q46:S46)/3</f>
        <v>0</v>
      </c>
      <c r="U46" s="782">
        <f>SUM(P46+T46)/2</f>
        <v>0</v>
      </c>
      <c r="V46" s="778"/>
      <c r="W46" s="778"/>
      <c r="X46" s="696"/>
      <c r="Y46" s="695" t="s">
        <v>2727</v>
      </c>
      <c r="AA46" s="781" t="e">
        <f t="shared" si="4"/>
        <v>#DIV/0!</v>
      </c>
    </row>
    <row r="47" spans="1:27" s="784" customFormat="1" ht="18" customHeight="1" x14ac:dyDescent="0.25">
      <c r="A47" s="744">
        <v>40</v>
      </c>
      <c r="B47" s="745"/>
      <c r="C47" s="746">
        <v>2026</v>
      </c>
      <c r="D47" s="685" t="s">
        <v>4238</v>
      </c>
      <c r="E47" s="696" t="s">
        <v>1421</v>
      </c>
      <c r="F47" s="707"/>
      <c r="G47" s="707"/>
      <c r="H47" s="707"/>
      <c r="I47" s="707"/>
      <c r="J47" s="707"/>
      <c r="K47" s="707"/>
      <c r="L47" s="707"/>
      <c r="M47" s="707"/>
      <c r="N47" s="707"/>
      <c r="O47" s="707"/>
      <c r="P47" s="707"/>
      <c r="Q47" s="782">
        <f t="shared" si="1"/>
        <v>0</v>
      </c>
      <c r="R47" s="707"/>
      <c r="S47" s="707"/>
      <c r="T47" s="707"/>
      <c r="U47" s="782">
        <f>SUM(R47:T47)/3</f>
        <v>0</v>
      </c>
      <c r="V47" s="782">
        <f>SUM(Q47+U47)/2</f>
        <v>0</v>
      </c>
      <c r="W47" s="778"/>
      <c r="X47" s="814"/>
      <c r="Y47" s="695" t="s">
        <v>2514</v>
      </c>
      <c r="AA47" s="781" t="e">
        <f t="shared" si="4"/>
        <v>#DIV/0!</v>
      </c>
    </row>
    <row r="48" spans="1:27" s="784" customFormat="1" ht="18" customHeight="1" x14ac:dyDescent="0.25">
      <c r="A48" s="744">
        <v>41</v>
      </c>
      <c r="B48" s="745"/>
      <c r="C48" s="746">
        <v>2026</v>
      </c>
      <c r="D48" s="685" t="s">
        <v>4239</v>
      </c>
      <c r="E48" s="696" t="s">
        <v>4240</v>
      </c>
      <c r="F48" s="707"/>
      <c r="G48" s="707"/>
      <c r="H48" s="707"/>
      <c r="I48" s="707"/>
      <c r="J48" s="707"/>
      <c r="K48" s="707"/>
      <c r="L48" s="707"/>
      <c r="M48" s="707"/>
      <c r="N48" s="707"/>
      <c r="O48" s="707"/>
      <c r="P48" s="707"/>
      <c r="Q48" s="782">
        <f t="shared" si="1"/>
        <v>0</v>
      </c>
      <c r="R48" s="707"/>
      <c r="S48" s="707"/>
      <c r="T48" s="782">
        <f t="shared" ref="T48:T75" si="5">SUM(Q48:S48)/3</f>
        <v>0</v>
      </c>
      <c r="U48" s="782">
        <f t="shared" ref="U48:U75" si="6">SUM(P48+T48)/2</f>
        <v>0</v>
      </c>
      <c r="V48" s="778"/>
      <c r="W48" s="778"/>
      <c r="X48" s="696"/>
      <c r="Y48" s="695" t="s">
        <v>2491</v>
      </c>
      <c r="AA48" s="781" t="e">
        <f t="shared" si="4"/>
        <v>#DIV/0!</v>
      </c>
    </row>
    <row r="49" spans="1:27" s="784" customFormat="1" ht="18" customHeight="1" x14ac:dyDescent="0.25">
      <c r="A49" s="744">
        <v>42</v>
      </c>
      <c r="B49" s="745"/>
      <c r="C49" s="746">
        <v>2026</v>
      </c>
      <c r="D49" s="685" t="s">
        <v>4241</v>
      </c>
      <c r="E49" s="696" t="s">
        <v>3556</v>
      </c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82">
        <f t="shared" si="1"/>
        <v>0</v>
      </c>
      <c r="R49" s="707"/>
      <c r="S49" s="707"/>
      <c r="T49" s="782">
        <f t="shared" si="5"/>
        <v>0</v>
      </c>
      <c r="U49" s="782">
        <f t="shared" si="6"/>
        <v>0</v>
      </c>
      <c r="V49" s="778"/>
      <c r="W49" s="778"/>
      <c r="X49" s="696"/>
      <c r="Y49" s="695" t="s">
        <v>4292</v>
      </c>
      <c r="AA49" s="781" t="e">
        <f t="shared" si="4"/>
        <v>#DIV/0!</v>
      </c>
    </row>
    <row r="50" spans="1:27" s="784" customFormat="1" ht="18" customHeight="1" x14ac:dyDescent="0.25">
      <c r="A50" s="744">
        <v>43</v>
      </c>
      <c r="B50" s="745"/>
      <c r="C50" s="746">
        <v>2026</v>
      </c>
      <c r="D50" s="685" t="s">
        <v>4242</v>
      </c>
      <c r="E50" s="696" t="s">
        <v>3122</v>
      </c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82">
        <f t="shared" si="1"/>
        <v>0</v>
      </c>
      <c r="R50" s="707"/>
      <c r="S50" s="707"/>
      <c r="T50" s="782">
        <f t="shared" si="5"/>
        <v>0</v>
      </c>
      <c r="U50" s="782">
        <f t="shared" si="6"/>
        <v>0</v>
      </c>
      <c r="V50" s="778"/>
      <c r="W50" s="778"/>
      <c r="X50" s="696"/>
      <c r="Y50" s="695" t="s">
        <v>3834</v>
      </c>
      <c r="AA50" s="781" t="e">
        <f t="shared" si="4"/>
        <v>#DIV/0!</v>
      </c>
    </row>
    <row r="51" spans="1:27" s="784" customFormat="1" ht="18" customHeight="1" x14ac:dyDescent="0.25">
      <c r="A51" s="744">
        <v>44</v>
      </c>
      <c r="B51" s="745"/>
      <c r="C51" s="746">
        <v>2026</v>
      </c>
      <c r="D51" s="685" t="s">
        <v>4243</v>
      </c>
      <c r="E51" s="696" t="s">
        <v>2608</v>
      </c>
      <c r="F51" s="707"/>
      <c r="G51" s="707"/>
      <c r="H51" s="707"/>
      <c r="I51" s="707"/>
      <c r="J51" s="707"/>
      <c r="K51" s="707"/>
      <c r="L51" s="707"/>
      <c r="M51" s="707"/>
      <c r="N51" s="707"/>
      <c r="O51" s="707"/>
      <c r="P51" s="707"/>
      <c r="Q51" s="782">
        <f t="shared" si="1"/>
        <v>0</v>
      </c>
      <c r="R51" s="707"/>
      <c r="S51" s="707"/>
      <c r="T51" s="782">
        <f t="shared" si="5"/>
        <v>0</v>
      </c>
      <c r="U51" s="782">
        <f t="shared" si="6"/>
        <v>0</v>
      </c>
      <c r="V51" s="778"/>
      <c r="W51" s="778"/>
      <c r="X51" s="696"/>
      <c r="Y51" s="695" t="s">
        <v>2523</v>
      </c>
      <c r="AA51" s="781" t="e">
        <f t="shared" si="4"/>
        <v>#DIV/0!</v>
      </c>
    </row>
    <row r="52" spans="1:27" s="784" customFormat="1" ht="18" customHeight="1" x14ac:dyDescent="0.25">
      <c r="A52" s="744">
        <v>45</v>
      </c>
      <c r="B52" s="745"/>
      <c r="C52" s="746">
        <v>2026</v>
      </c>
      <c r="D52" s="685" t="s">
        <v>4244</v>
      </c>
      <c r="E52" s="696" t="s">
        <v>4245</v>
      </c>
      <c r="F52" s="707"/>
      <c r="G52" s="707"/>
      <c r="H52" s="707"/>
      <c r="I52" s="707"/>
      <c r="J52" s="707"/>
      <c r="K52" s="707"/>
      <c r="L52" s="707"/>
      <c r="M52" s="707"/>
      <c r="N52" s="707"/>
      <c r="O52" s="707"/>
      <c r="P52" s="707"/>
      <c r="Q52" s="782">
        <f t="shared" si="1"/>
        <v>0</v>
      </c>
      <c r="R52" s="707"/>
      <c r="S52" s="707"/>
      <c r="T52" s="782">
        <f>SUM(Q52:S52)/3</f>
        <v>0</v>
      </c>
      <c r="U52" s="782">
        <f>SUM(P52+T52)/2</f>
        <v>0</v>
      </c>
      <c r="V52" s="778"/>
      <c r="W52" s="778"/>
      <c r="X52" s="696"/>
      <c r="Y52" s="695" t="s">
        <v>4293</v>
      </c>
      <c r="AA52" s="781" t="e">
        <f t="shared" si="4"/>
        <v>#DIV/0!</v>
      </c>
    </row>
    <row r="53" spans="1:27" s="784" customFormat="1" ht="18" customHeight="1" x14ac:dyDescent="0.25">
      <c r="A53" s="744">
        <v>46</v>
      </c>
      <c r="B53" s="745"/>
      <c r="C53" s="746">
        <v>2026</v>
      </c>
      <c r="D53" s="685" t="s">
        <v>4246</v>
      </c>
      <c r="E53" s="696" t="s">
        <v>4247</v>
      </c>
      <c r="F53" s="707"/>
      <c r="G53" s="707"/>
      <c r="H53" s="707"/>
      <c r="I53" s="707"/>
      <c r="J53" s="707"/>
      <c r="K53" s="707"/>
      <c r="L53" s="707"/>
      <c r="M53" s="707"/>
      <c r="N53" s="707"/>
      <c r="O53" s="707"/>
      <c r="P53" s="707"/>
      <c r="Q53" s="782">
        <f t="shared" si="1"/>
        <v>0</v>
      </c>
      <c r="R53" s="707"/>
      <c r="S53" s="707"/>
      <c r="T53" s="782">
        <f t="shared" si="5"/>
        <v>0</v>
      </c>
      <c r="U53" s="782">
        <f t="shared" si="6"/>
        <v>0</v>
      </c>
      <c r="V53" s="778"/>
      <c r="W53" s="778"/>
      <c r="X53" s="696"/>
      <c r="Y53" s="695" t="s">
        <v>3236</v>
      </c>
      <c r="AA53" s="781" t="e">
        <f t="shared" si="4"/>
        <v>#DIV/0!</v>
      </c>
    </row>
    <row r="54" spans="1:27" s="784" customFormat="1" ht="18" customHeight="1" x14ac:dyDescent="0.25">
      <c r="A54" s="744">
        <v>47</v>
      </c>
      <c r="B54" s="745"/>
      <c r="C54" s="746">
        <v>2026</v>
      </c>
      <c r="D54" s="685" t="s">
        <v>4248</v>
      </c>
      <c r="E54" s="696" t="s">
        <v>2669</v>
      </c>
      <c r="F54" s="707"/>
      <c r="G54" s="707"/>
      <c r="H54" s="707"/>
      <c r="I54" s="707"/>
      <c r="J54" s="707"/>
      <c r="K54" s="707"/>
      <c r="L54" s="707"/>
      <c r="M54" s="707"/>
      <c r="N54" s="707"/>
      <c r="O54" s="707"/>
      <c r="P54" s="707"/>
      <c r="Q54" s="782">
        <f t="shared" si="1"/>
        <v>0</v>
      </c>
      <c r="R54" s="707"/>
      <c r="S54" s="707"/>
      <c r="T54" s="782">
        <f t="shared" si="5"/>
        <v>0</v>
      </c>
      <c r="U54" s="782">
        <f t="shared" si="6"/>
        <v>0</v>
      </c>
      <c r="V54" s="778"/>
      <c r="W54" s="778"/>
      <c r="X54" s="696"/>
      <c r="Y54" s="695" t="s">
        <v>4294</v>
      </c>
      <c r="AA54" s="781" t="e">
        <f t="shared" si="4"/>
        <v>#DIV/0!</v>
      </c>
    </row>
    <row r="55" spans="1:27" s="784" customFormat="1" ht="18" customHeight="1" x14ac:dyDescent="0.25">
      <c r="A55" s="744">
        <v>48</v>
      </c>
      <c r="B55" s="745"/>
      <c r="C55" s="746">
        <v>2026</v>
      </c>
      <c r="D55" s="685" t="s">
        <v>4249</v>
      </c>
      <c r="E55" s="696" t="s">
        <v>4221</v>
      </c>
      <c r="F55" s="707"/>
      <c r="G55" s="707"/>
      <c r="H55" s="707"/>
      <c r="I55" s="707"/>
      <c r="J55" s="707"/>
      <c r="K55" s="707"/>
      <c r="L55" s="707"/>
      <c r="M55" s="707"/>
      <c r="N55" s="707"/>
      <c r="O55" s="707"/>
      <c r="P55" s="707"/>
      <c r="Q55" s="782">
        <f t="shared" si="1"/>
        <v>0</v>
      </c>
      <c r="R55" s="707"/>
      <c r="S55" s="707"/>
      <c r="T55" s="782">
        <f t="shared" si="5"/>
        <v>0</v>
      </c>
      <c r="U55" s="782">
        <f t="shared" si="6"/>
        <v>0</v>
      </c>
      <c r="V55" s="778"/>
      <c r="W55" s="778"/>
      <c r="X55" s="696"/>
      <c r="Y55" s="695" t="s">
        <v>3367</v>
      </c>
      <c r="AA55" s="781" t="e">
        <f t="shared" si="4"/>
        <v>#DIV/0!</v>
      </c>
    </row>
    <row r="56" spans="1:27" s="784" customFormat="1" ht="18" customHeight="1" x14ac:dyDescent="0.25">
      <c r="A56" s="744">
        <v>49</v>
      </c>
      <c r="B56" s="745"/>
      <c r="C56" s="746">
        <v>2026</v>
      </c>
      <c r="D56" s="685" t="s">
        <v>4250</v>
      </c>
      <c r="E56" s="696" t="s">
        <v>3413</v>
      </c>
      <c r="F56" s="707"/>
      <c r="G56" s="707"/>
      <c r="H56" s="707"/>
      <c r="I56" s="707"/>
      <c r="J56" s="707"/>
      <c r="K56" s="707"/>
      <c r="L56" s="707"/>
      <c r="M56" s="707"/>
      <c r="N56" s="707"/>
      <c r="O56" s="707"/>
      <c r="P56" s="707"/>
      <c r="Q56" s="782">
        <f t="shared" si="1"/>
        <v>0</v>
      </c>
      <c r="R56" s="707"/>
      <c r="S56" s="707"/>
      <c r="T56" s="782">
        <f t="shared" si="5"/>
        <v>0</v>
      </c>
      <c r="U56" s="782">
        <f t="shared" si="6"/>
        <v>0</v>
      </c>
      <c r="V56" s="778"/>
      <c r="W56" s="778"/>
      <c r="X56" s="696"/>
      <c r="Y56" s="695" t="s">
        <v>3358</v>
      </c>
      <c r="AA56" s="781" t="e">
        <f t="shared" si="4"/>
        <v>#DIV/0!</v>
      </c>
    </row>
    <row r="57" spans="1:27" s="784" customFormat="1" ht="18" customHeight="1" x14ac:dyDescent="0.25">
      <c r="A57" s="744">
        <v>50</v>
      </c>
      <c r="B57" s="745"/>
      <c r="C57" s="746">
        <v>2026</v>
      </c>
      <c r="D57" s="685" t="s">
        <v>4251</v>
      </c>
      <c r="E57" s="696" t="s">
        <v>4252</v>
      </c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82">
        <f t="shared" si="1"/>
        <v>0</v>
      </c>
      <c r="R57" s="707"/>
      <c r="S57" s="707"/>
      <c r="T57" s="782">
        <f t="shared" si="5"/>
        <v>0</v>
      </c>
      <c r="U57" s="782">
        <f t="shared" si="6"/>
        <v>0</v>
      </c>
      <c r="V57" s="778"/>
      <c r="W57" s="778"/>
      <c r="X57" s="696"/>
      <c r="Y57" s="695" t="s">
        <v>2730</v>
      </c>
      <c r="AA57" s="781" t="e">
        <f t="shared" si="4"/>
        <v>#DIV/0!</v>
      </c>
    </row>
    <row r="58" spans="1:27" s="784" customFormat="1" ht="18" customHeight="1" x14ac:dyDescent="0.25">
      <c r="A58" s="744">
        <v>51</v>
      </c>
      <c r="B58" s="745"/>
      <c r="C58" s="746">
        <v>2026</v>
      </c>
      <c r="D58" s="685" t="s">
        <v>4253</v>
      </c>
      <c r="E58" s="696" t="s">
        <v>4254</v>
      </c>
      <c r="F58" s="707"/>
      <c r="G58" s="707"/>
      <c r="H58" s="707"/>
      <c r="I58" s="707"/>
      <c r="J58" s="707"/>
      <c r="K58" s="707"/>
      <c r="L58" s="707"/>
      <c r="M58" s="707"/>
      <c r="N58" s="707"/>
      <c r="O58" s="707"/>
      <c r="P58" s="707"/>
      <c r="Q58" s="782">
        <f t="shared" si="1"/>
        <v>0</v>
      </c>
      <c r="R58" s="707"/>
      <c r="S58" s="707"/>
      <c r="T58" s="782">
        <f t="shared" si="5"/>
        <v>0</v>
      </c>
      <c r="U58" s="782">
        <f t="shared" si="6"/>
        <v>0</v>
      </c>
      <c r="V58" s="778"/>
      <c r="W58" s="778"/>
      <c r="X58" s="696"/>
      <c r="Y58" s="695" t="s">
        <v>3196</v>
      </c>
      <c r="AA58" s="781" t="e">
        <f t="shared" si="4"/>
        <v>#DIV/0!</v>
      </c>
    </row>
    <row r="59" spans="1:27" s="784" customFormat="1" ht="18" customHeight="1" x14ac:dyDescent="0.25">
      <c r="A59" s="744">
        <v>52</v>
      </c>
      <c r="B59" s="745"/>
      <c r="C59" s="746">
        <v>2026</v>
      </c>
      <c r="D59" s="685" t="s">
        <v>4255</v>
      </c>
      <c r="E59" s="696" t="s">
        <v>3043</v>
      </c>
      <c r="F59" s="707"/>
      <c r="G59" s="707"/>
      <c r="H59" s="707"/>
      <c r="I59" s="707"/>
      <c r="J59" s="707"/>
      <c r="K59" s="707"/>
      <c r="L59" s="707"/>
      <c r="M59" s="707"/>
      <c r="N59" s="707"/>
      <c r="O59" s="707"/>
      <c r="P59" s="707"/>
      <c r="Q59" s="782">
        <f t="shared" si="1"/>
        <v>0</v>
      </c>
      <c r="R59" s="707"/>
      <c r="S59" s="707"/>
      <c r="T59" s="782">
        <f t="shared" si="5"/>
        <v>0</v>
      </c>
      <c r="U59" s="782">
        <f t="shared" si="6"/>
        <v>0</v>
      </c>
      <c r="V59" s="778"/>
      <c r="W59" s="778"/>
      <c r="X59" s="696"/>
      <c r="Y59" s="695" t="s">
        <v>2732</v>
      </c>
      <c r="AA59" s="781" t="e">
        <f t="shared" si="4"/>
        <v>#DIV/0!</v>
      </c>
    </row>
    <row r="60" spans="1:27" s="784" customFormat="1" ht="18" customHeight="1" x14ac:dyDescent="0.25">
      <c r="A60" s="744">
        <v>53</v>
      </c>
      <c r="B60" s="745"/>
      <c r="C60" s="746">
        <v>2026</v>
      </c>
      <c r="D60" s="685" t="s">
        <v>4256</v>
      </c>
      <c r="E60" s="696" t="s">
        <v>3045</v>
      </c>
      <c r="F60" s="707"/>
      <c r="G60" s="707"/>
      <c r="H60" s="707"/>
      <c r="I60" s="707"/>
      <c r="J60" s="707"/>
      <c r="K60" s="707"/>
      <c r="L60" s="707"/>
      <c r="M60" s="707"/>
      <c r="N60" s="707"/>
      <c r="O60" s="707"/>
      <c r="P60" s="707"/>
      <c r="Q60" s="782">
        <f t="shared" si="1"/>
        <v>0</v>
      </c>
      <c r="R60" s="707"/>
      <c r="S60" s="707"/>
      <c r="T60" s="782">
        <f t="shared" si="5"/>
        <v>0</v>
      </c>
      <c r="U60" s="782">
        <f t="shared" si="6"/>
        <v>0</v>
      </c>
      <c r="V60" s="778"/>
      <c r="W60" s="778"/>
      <c r="X60" s="696"/>
      <c r="Y60" s="695" t="s">
        <v>2985</v>
      </c>
      <c r="AA60" s="781" t="e">
        <f t="shared" si="4"/>
        <v>#DIV/0!</v>
      </c>
    </row>
    <row r="61" spans="1:27" s="784" customFormat="1" ht="18" customHeight="1" x14ac:dyDescent="0.25">
      <c r="A61" s="744">
        <v>54</v>
      </c>
      <c r="B61" s="745"/>
      <c r="C61" s="746">
        <v>2026</v>
      </c>
      <c r="D61" s="685" t="s">
        <v>4257</v>
      </c>
      <c r="E61" s="696" t="s">
        <v>3116</v>
      </c>
      <c r="F61" s="707"/>
      <c r="G61" s="707"/>
      <c r="H61" s="707"/>
      <c r="I61" s="707"/>
      <c r="J61" s="707"/>
      <c r="K61" s="707"/>
      <c r="L61" s="707"/>
      <c r="M61" s="707"/>
      <c r="N61" s="707"/>
      <c r="O61" s="707"/>
      <c r="P61" s="707"/>
      <c r="Q61" s="782">
        <f t="shared" si="1"/>
        <v>0</v>
      </c>
      <c r="R61" s="707"/>
      <c r="S61" s="707"/>
      <c r="T61" s="782">
        <f t="shared" si="5"/>
        <v>0</v>
      </c>
      <c r="U61" s="782">
        <f t="shared" si="6"/>
        <v>0</v>
      </c>
      <c r="V61" s="778"/>
      <c r="W61" s="778"/>
      <c r="X61" s="696"/>
      <c r="Y61" s="695" t="s">
        <v>3233</v>
      </c>
      <c r="AA61" s="781" t="e">
        <f t="shared" si="4"/>
        <v>#DIV/0!</v>
      </c>
    </row>
    <row r="62" spans="1:27" s="784" customFormat="1" ht="18" customHeight="1" x14ac:dyDescent="0.25">
      <c r="A62" s="744">
        <v>55</v>
      </c>
      <c r="B62" s="745"/>
      <c r="C62" s="746">
        <v>2026</v>
      </c>
      <c r="D62" s="685" t="s">
        <v>4258</v>
      </c>
      <c r="E62" s="696" t="s">
        <v>3752</v>
      </c>
      <c r="F62" s="707"/>
      <c r="G62" s="707"/>
      <c r="H62" s="707"/>
      <c r="I62" s="707"/>
      <c r="J62" s="707"/>
      <c r="K62" s="707"/>
      <c r="L62" s="707"/>
      <c r="M62" s="707"/>
      <c r="N62" s="707"/>
      <c r="O62" s="707"/>
      <c r="P62" s="707"/>
      <c r="Q62" s="782">
        <f t="shared" si="1"/>
        <v>0</v>
      </c>
      <c r="R62" s="707"/>
      <c r="S62" s="707"/>
      <c r="T62" s="782">
        <f t="shared" si="5"/>
        <v>0</v>
      </c>
      <c r="U62" s="782">
        <f t="shared" si="6"/>
        <v>0</v>
      </c>
      <c r="V62" s="778"/>
      <c r="W62" s="778"/>
      <c r="X62" s="696"/>
      <c r="Y62" s="695" t="s">
        <v>4295</v>
      </c>
      <c r="AA62" s="781" t="e">
        <f t="shared" si="4"/>
        <v>#DIV/0!</v>
      </c>
    </row>
    <row r="63" spans="1:27" s="784" customFormat="1" ht="18" customHeight="1" x14ac:dyDescent="0.25">
      <c r="A63" s="744">
        <v>56</v>
      </c>
      <c r="B63" s="745"/>
      <c r="C63" s="746">
        <v>2026</v>
      </c>
      <c r="D63" s="685" t="s">
        <v>4259</v>
      </c>
      <c r="E63" s="696" t="s">
        <v>4260</v>
      </c>
      <c r="F63" s="707"/>
      <c r="G63" s="707"/>
      <c r="H63" s="707"/>
      <c r="I63" s="707"/>
      <c r="J63" s="707"/>
      <c r="K63" s="707"/>
      <c r="L63" s="707"/>
      <c r="M63" s="707"/>
      <c r="N63" s="707"/>
      <c r="O63" s="707"/>
      <c r="P63" s="707"/>
      <c r="Q63" s="782">
        <f t="shared" si="1"/>
        <v>0</v>
      </c>
      <c r="R63" s="707"/>
      <c r="S63" s="707"/>
      <c r="T63" s="782">
        <f t="shared" si="5"/>
        <v>0</v>
      </c>
      <c r="U63" s="782">
        <f t="shared" si="6"/>
        <v>0</v>
      </c>
      <c r="V63" s="778"/>
      <c r="W63" s="778"/>
      <c r="X63" s="696"/>
      <c r="Y63" s="695" t="s">
        <v>3233</v>
      </c>
      <c r="AA63" s="781" t="e">
        <f t="shared" si="4"/>
        <v>#DIV/0!</v>
      </c>
    </row>
    <row r="64" spans="1:27" s="784" customFormat="1" ht="18" customHeight="1" x14ac:dyDescent="0.25">
      <c r="A64" s="744">
        <v>57</v>
      </c>
      <c r="B64" s="745"/>
      <c r="C64" s="746">
        <v>2026</v>
      </c>
      <c r="D64" s="685" t="s">
        <v>4261</v>
      </c>
      <c r="E64" s="696" t="s">
        <v>4247</v>
      </c>
      <c r="F64" s="707"/>
      <c r="G64" s="707"/>
      <c r="H64" s="707"/>
      <c r="I64" s="707"/>
      <c r="J64" s="707"/>
      <c r="K64" s="707"/>
      <c r="L64" s="707"/>
      <c r="M64" s="707"/>
      <c r="N64" s="707"/>
      <c r="O64" s="707"/>
      <c r="P64" s="707"/>
      <c r="Q64" s="782">
        <f t="shared" si="1"/>
        <v>0</v>
      </c>
      <c r="R64" s="707"/>
      <c r="S64" s="707"/>
      <c r="T64" s="782">
        <f t="shared" si="5"/>
        <v>0</v>
      </c>
      <c r="U64" s="782">
        <f t="shared" si="6"/>
        <v>0</v>
      </c>
      <c r="V64" s="778"/>
      <c r="W64" s="778"/>
      <c r="X64" s="696"/>
      <c r="Y64" s="695" t="s">
        <v>2502</v>
      </c>
      <c r="AA64" s="781" t="e">
        <f t="shared" si="4"/>
        <v>#DIV/0!</v>
      </c>
    </row>
    <row r="65" spans="1:27" s="784" customFormat="1" ht="18" customHeight="1" x14ac:dyDescent="0.25">
      <c r="A65" s="744">
        <v>58</v>
      </c>
      <c r="B65" s="745"/>
      <c r="C65" s="746">
        <v>2026</v>
      </c>
      <c r="D65" s="685" t="s">
        <v>4262</v>
      </c>
      <c r="E65" s="696" t="s">
        <v>4263</v>
      </c>
      <c r="F65" s="707"/>
      <c r="G65" s="707"/>
      <c r="H65" s="707"/>
      <c r="I65" s="707"/>
      <c r="J65" s="707"/>
      <c r="K65" s="707"/>
      <c r="L65" s="707"/>
      <c r="M65" s="707"/>
      <c r="N65" s="707"/>
      <c r="O65" s="707"/>
      <c r="P65" s="707"/>
      <c r="Q65" s="782">
        <f t="shared" si="1"/>
        <v>0</v>
      </c>
      <c r="R65" s="707"/>
      <c r="S65" s="707"/>
      <c r="T65" s="782">
        <f t="shared" si="5"/>
        <v>0</v>
      </c>
      <c r="U65" s="782">
        <f t="shared" si="6"/>
        <v>0</v>
      </c>
      <c r="V65" s="778"/>
      <c r="W65" s="778"/>
      <c r="X65" s="696"/>
      <c r="Y65" s="695" t="s">
        <v>3207</v>
      </c>
      <c r="AA65" s="781" t="e">
        <f t="shared" si="4"/>
        <v>#DIV/0!</v>
      </c>
    </row>
    <row r="66" spans="1:27" s="784" customFormat="1" ht="18" customHeight="1" x14ac:dyDescent="0.25">
      <c r="A66" s="744">
        <v>59</v>
      </c>
      <c r="B66" s="745"/>
      <c r="C66" s="746">
        <v>2026</v>
      </c>
      <c r="D66" s="685" t="s">
        <v>4264</v>
      </c>
      <c r="E66" s="696" t="s">
        <v>3572</v>
      </c>
      <c r="F66" s="707"/>
      <c r="G66" s="707"/>
      <c r="H66" s="707"/>
      <c r="I66" s="707"/>
      <c r="J66" s="707"/>
      <c r="K66" s="707"/>
      <c r="L66" s="707"/>
      <c r="M66" s="707"/>
      <c r="N66" s="707"/>
      <c r="O66" s="707"/>
      <c r="P66" s="707"/>
      <c r="Q66" s="782">
        <f t="shared" si="1"/>
        <v>0</v>
      </c>
      <c r="R66" s="707"/>
      <c r="S66" s="707"/>
      <c r="T66" s="782">
        <f t="shared" si="5"/>
        <v>0</v>
      </c>
      <c r="U66" s="782">
        <f t="shared" si="6"/>
        <v>0</v>
      </c>
      <c r="V66" s="778"/>
      <c r="W66" s="778"/>
      <c r="X66" s="696"/>
      <c r="Y66" s="695" t="s">
        <v>3233</v>
      </c>
      <c r="AA66" s="781" t="e">
        <f t="shared" si="4"/>
        <v>#DIV/0!</v>
      </c>
    </row>
    <row r="67" spans="1:27" s="784" customFormat="1" ht="18" customHeight="1" x14ac:dyDescent="0.25">
      <c r="A67" s="744">
        <v>60</v>
      </c>
      <c r="B67" s="745"/>
      <c r="C67" s="746">
        <v>2026</v>
      </c>
      <c r="D67" s="685" t="s">
        <v>4265</v>
      </c>
      <c r="E67" s="696" t="s">
        <v>4266</v>
      </c>
      <c r="F67" s="707"/>
      <c r="G67" s="707"/>
      <c r="H67" s="707"/>
      <c r="I67" s="707"/>
      <c r="J67" s="707"/>
      <c r="K67" s="707"/>
      <c r="L67" s="707"/>
      <c r="M67" s="707"/>
      <c r="N67" s="707"/>
      <c r="O67" s="707"/>
      <c r="P67" s="707"/>
      <c r="Q67" s="782">
        <f t="shared" si="1"/>
        <v>0</v>
      </c>
      <c r="R67" s="707"/>
      <c r="S67" s="707"/>
      <c r="T67" s="782">
        <f t="shared" si="5"/>
        <v>0</v>
      </c>
      <c r="U67" s="782">
        <f t="shared" si="6"/>
        <v>0</v>
      </c>
      <c r="V67" s="778"/>
      <c r="W67" s="778"/>
      <c r="X67" s="696"/>
      <c r="Y67" s="695" t="s">
        <v>3547</v>
      </c>
      <c r="AA67" s="781" t="e">
        <f t="shared" si="4"/>
        <v>#DIV/0!</v>
      </c>
    </row>
    <row r="68" spans="1:27" s="784" customFormat="1" ht="18" customHeight="1" x14ac:dyDescent="0.25">
      <c r="A68" s="744">
        <v>61</v>
      </c>
      <c r="B68" s="745"/>
      <c r="C68" s="746">
        <v>2026</v>
      </c>
      <c r="D68" s="685" t="s">
        <v>3441</v>
      </c>
      <c r="E68" s="696" t="s">
        <v>2665</v>
      </c>
      <c r="F68" s="707"/>
      <c r="G68" s="707"/>
      <c r="H68" s="707"/>
      <c r="I68" s="707"/>
      <c r="J68" s="707"/>
      <c r="K68" s="707"/>
      <c r="L68" s="707"/>
      <c r="M68" s="707"/>
      <c r="N68" s="707"/>
      <c r="O68" s="707"/>
      <c r="P68" s="707"/>
      <c r="Q68" s="782">
        <f t="shared" si="1"/>
        <v>0</v>
      </c>
      <c r="R68" s="707"/>
      <c r="S68" s="707"/>
      <c r="T68" s="782">
        <f t="shared" si="5"/>
        <v>0</v>
      </c>
      <c r="U68" s="782">
        <f t="shared" si="6"/>
        <v>0</v>
      </c>
      <c r="V68" s="778"/>
      <c r="W68" s="778"/>
      <c r="X68" s="696"/>
      <c r="Y68" s="695" t="s">
        <v>2987</v>
      </c>
      <c r="AA68" s="781" t="e">
        <f t="shared" si="4"/>
        <v>#DIV/0!</v>
      </c>
    </row>
    <row r="69" spans="1:27" s="784" customFormat="1" ht="18" customHeight="1" x14ac:dyDescent="0.25">
      <c r="A69" s="744">
        <v>62</v>
      </c>
      <c r="B69" s="745"/>
      <c r="C69" s="746">
        <v>2026</v>
      </c>
      <c r="D69" s="685" t="s">
        <v>4267</v>
      </c>
      <c r="E69" s="696" t="s">
        <v>4268</v>
      </c>
      <c r="F69" s="707"/>
      <c r="G69" s="707"/>
      <c r="H69" s="707"/>
      <c r="I69" s="707"/>
      <c r="J69" s="707"/>
      <c r="K69" s="707"/>
      <c r="L69" s="707"/>
      <c r="M69" s="707"/>
      <c r="N69" s="707"/>
      <c r="O69" s="707"/>
      <c r="P69" s="707"/>
      <c r="Q69" s="782">
        <f t="shared" si="1"/>
        <v>0</v>
      </c>
      <c r="R69" s="707"/>
      <c r="S69" s="707"/>
      <c r="T69" s="782">
        <f t="shared" si="5"/>
        <v>0</v>
      </c>
      <c r="U69" s="782">
        <f t="shared" si="6"/>
        <v>0</v>
      </c>
      <c r="V69" s="778"/>
      <c r="W69" s="778"/>
      <c r="X69" s="696"/>
      <c r="Y69" s="695" t="s">
        <v>4296</v>
      </c>
      <c r="AA69" s="781" t="e">
        <f t="shared" si="4"/>
        <v>#DIV/0!</v>
      </c>
    </row>
    <row r="70" spans="1:27" s="784" customFormat="1" ht="18" customHeight="1" x14ac:dyDescent="0.25">
      <c r="A70" s="744">
        <v>63</v>
      </c>
      <c r="B70" s="745"/>
      <c r="C70" s="746">
        <v>2026</v>
      </c>
      <c r="D70" s="685" t="s">
        <v>4269</v>
      </c>
      <c r="E70" s="696" t="s">
        <v>4270</v>
      </c>
      <c r="F70" s="707"/>
      <c r="G70" s="707"/>
      <c r="H70" s="707"/>
      <c r="I70" s="707"/>
      <c r="J70" s="707"/>
      <c r="K70" s="707"/>
      <c r="L70" s="707"/>
      <c r="M70" s="707"/>
      <c r="N70" s="707"/>
      <c r="O70" s="707"/>
      <c r="P70" s="707"/>
      <c r="Q70" s="782">
        <f t="shared" si="1"/>
        <v>0</v>
      </c>
      <c r="R70" s="707"/>
      <c r="S70" s="707"/>
      <c r="T70" s="782">
        <f t="shared" si="5"/>
        <v>0</v>
      </c>
      <c r="U70" s="782">
        <f t="shared" si="6"/>
        <v>0</v>
      </c>
      <c r="V70" s="778"/>
      <c r="W70" s="778"/>
      <c r="X70" s="696"/>
      <c r="Y70" s="695" t="s">
        <v>3834</v>
      </c>
      <c r="AA70" s="781" t="e">
        <f t="shared" si="4"/>
        <v>#DIV/0!</v>
      </c>
    </row>
    <row r="71" spans="1:27" s="784" customFormat="1" ht="18" customHeight="1" x14ac:dyDescent="0.25">
      <c r="A71" s="744">
        <v>64</v>
      </c>
      <c r="B71" s="745"/>
      <c r="C71" s="746">
        <v>2026</v>
      </c>
      <c r="D71" s="685" t="s">
        <v>4271</v>
      </c>
      <c r="E71" s="696" t="s">
        <v>2857</v>
      </c>
      <c r="F71" s="707"/>
      <c r="G71" s="707"/>
      <c r="H71" s="707"/>
      <c r="I71" s="707"/>
      <c r="J71" s="707"/>
      <c r="K71" s="707"/>
      <c r="L71" s="707"/>
      <c r="M71" s="707"/>
      <c r="N71" s="707"/>
      <c r="O71" s="707"/>
      <c r="P71" s="707"/>
      <c r="Q71" s="782">
        <f t="shared" si="1"/>
        <v>0</v>
      </c>
      <c r="R71" s="707"/>
      <c r="S71" s="707"/>
      <c r="T71" s="782">
        <f t="shared" si="5"/>
        <v>0</v>
      </c>
      <c r="U71" s="782">
        <f t="shared" si="6"/>
        <v>0</v>
      </c>
      <c r="V71" s="778"/>
      <c r="W71" s="778"/>
      <c r="X71" s="884"/>
      <c r="Y71" s="695" t="s">
        <v>2741</v>
      </c>
      <c r="AA71" s="781" t="e">
        <f t="shared" si="4"/>
        <v>#DIV/0!</v>
      </c>
    </row>
    <row r="72" spans="1:27" s="784" customFormat="1" ht="18" customHeight="1" x14ac:dyDescent="0.25">
      <c r="A72" s="744">
        <v>65</v>
      </c>
      <c r="B72" s="745"/>
      <c r="C72" s="746">
        <v>2026</v>
      </c>
      <c r="D72" s="685" t="s">
        <v>4272</v>
      </c>
      <c r="E72" s="696" t="s">
        <v>2357</v>
      </c>
      <c r="F72" s="707"/>
      <c r="G72" s="707"/>
      <c r="H72" s="707"/>
      <c r="I72" s="707"/>
      <c r="J72" s="707"/>
      <c r="K72" s="707"/>
      <c r="L72" s="707"/>
      <c r="M72" s="707"/>
      <c r="N72" s="707"/>
      <c r="O72" s="707"/>
      <c r="P72" s="707"/>
      <c r="Q72" s="782">
        <f t="shared" si="1"/>
        <v>0</v>
      </c>
      <c r="R72" s="707"/>
      <c r="S72" s="707"/>
      <c r="T72" s="782">
        <f t="shared" si="5"/>
        <v>0</v>
      </c>
      <c r="U72" s="782">
        <f t="shared" si="6"/>
        <v>0</v>
      </c>
      <c r="V72" s="778"/>
      <c r="W72" s="778"/>
      <c r="X72" s="696"/>
      <c r="Y72" s="695" t="s">
        <v>3215</v>
      </c>
      <c r="AA72" s="781" t="e">
        <f t="shared" si="4"/>
        <v>#DIV/0!</v>
      </c>
    </row>
    <row r="73" spans="1:27" s="784" customFormat="1" ht="18" customHeight="1" x14ac:dyDescent="0.25">
      <c r="A73" s="744">
        <v>66</v>
      </c>
      <c r="B73" s="745"/>
      <c r="C73" s="746">
        <v>2026</v>
      </c>
      <c r="D73" s="685" t="s">
        <v>3427</v>
      </c>
      <c r="E73" s="696" t="s">
        <v>4273</v>
      </c>
      <c r="F73" s="707"/>
      <c r="G73" s="707"/>
      <c r="H73" s="707"/>
      <c r="I73" s="707"/>
      <c r="J73" s="707"/>
      <c r="K73" s="707"/>
      <c r="L73" s="707"/>
      <c r="M73" s="707"/>
      <c r="N73" s="707"/>
      <c r="O73" s="707"/>
      <c r="P73" s="707"/>
      <c r="Q73" s="782">
        <f t="shared" si="1"/>
        <v>0</v>
      </c>
      <c r="R73" s="707"/>
      <c r="S73" s="707"/>
      <c r="T73" s="782">
        <f t="shared" si="5"/>
        <v>0</v>
      </c>
      <c r="U73" s="782">
        <f t="shared" si="6"/>
        <v>0</v>
      </c>
      <c r="V73" s="778"/>
      <c r="W73" s="778"/>
      <c r="X73" s="696"/>
      <c r="Y73" s="695" t="s">
        <v>3841</v>
      </c>
      <c r="AA73" s="781" t="e">
        <f t="shared" si="4"/>
        <v>#DIV/0!</v>
      </c>
    </row>
    <row r="74" spans="1:27" s="784" customFormat="1" ht="18" customHeight="1" x14ac:dyDescent="0.25">
      <c r="A74" s="744">
        <v>67</v>
      </c>
      <c r="B74" s="745"/>
      <c r="C74" s="746">
        <v>2026</v>
      </c>
      <c r="D74" s="685" t="s">
        <v>4274</v>
      </c>
      <c r="E74" s="696" t="s">
        <v>4275</v>
      </c>
      <c r="F74" s="707"/>
      <c r="G74" s="707"/>
      <c r="H74" s="707"/>
      <c r="I74" s="707"/>
      <c r="J74" s="707"/>
      <c r="K74" s="707"/>
      <c r="L74" s="707"/>
      <c r="M74" s="707"/>
      <c r="N74" s="707"/>
      <c r="O74" s="707"/>
      <c r="P74" s="707"/>
      <c r="Q74" s="782">
        <f t="shared" si="1"/>
        <v>0</v>
      </c>
      <c r="R74" s="707"/>
      <c r="S74" s="707"/>
      <c r="T74" s="782">
        <f t="shared" si="5"/>
        <v>0</v>
      </c>
      <c r="U74" s="782">
        <f t="shared" si="6"/>
        <v>0</v>
      </c>
      <c r="V74" s="778"/>
      <c r="W74" s="778"/>
      <c r="X74" s="884"/>
      <c r="Y74" s="695" t="s">
        <v>3234</v>
      </c>
      <c r="AA74" s="781" t="e">
        <f t="shared" si="4"/>
        <v>#DIV/0!</v>
      </c>
    </row>
    <row r="75" spans="1:27" s="784" customFormat="1" ht="18" customHeight="1" x14ac:dyDescent="0.25">
      <c r="A75" s="744">
        <v>68</v>
      </c>
      <c r="B75" s="745"/>
      <c r="C75" s="746">
        <v>2026</v>
      </c>
      <c r="D75" s="685" t="s">
        <v>4276</v>
      </c>
      <c r="E75" s="696" t="s">
        <v>4277</v>
      </c>
      <c r="F75" s="707"/>
      <c r="G75" s="707"/>
      <c r="H75" s="707"/>
      <c r="I75" s="707"/>
      <c r="J75" s="707"/>
      <c r="K75" s="707"/>
      <c r="L75" s="707"/>
      <c r="M75" s="707"/>
      <c r="N75" s="707"/>
      <c r="O75" s="707"/>
      <c r="P75" s="707"/>
      <c r="Q75" s="782">
        <f t="shared" si="1"/>
        <v>0</v>
      </c>
      <c r="R75" s="707"/>
      <c r="S75" s="707"/>
      <c r="T75" s="782">
        <f t="shared" si="5"/>
        <v>0</v>
      </c>
      <c r="U75" s="782">
        <f t="shared" si="6"/>
        <v>0</v>
      </c>
      <c r="V75" s="778"/>
      <c r="W75" s="778"/>
      <c r="X75" s="696"/>
      <c r="Y75" s="695" t="s">
        <v>2730</v>
      </c>
      <c r="AA75" s="781" t="e">
        <f t="shared" ref="AA75:AA82" si="7">AVERAGE(F75:P75)</f>
        <v>#DIV/0!</v>
      </c>
    </row>
    <row r="76" spans="1:27" s="784" customFormat="1" ht="18" customHeight="1" x14ac:dyDescent="0.25">
      <c r="A76" s="744">
        <v>69</v>
      </c>
      <c r="B76" s="745"/>
      <c r="C76" s="746">
        <v>2026</v>
      </c>
      <c r="D76" s="685" t="s">
        <v>4278</v>
      </c>
      <c r="E76" s="696" t="s">
        <v>4279</v>
      </c>
      <c r="F76" s="707"/>
      <c r="G76" s="707"/>
      <c r="H76" s="707"/>
      <c r="I76" s="707"/>
      <c r="J76" s="707"/>
      <c r="K76" s="707"/>
      <c r="L76" s="707"/>
      <c r="M76" s="707"/>
      <c r="N76" s="707"/>
      <c r="O76" s="707"/>
      <c r="P76" s="707"/>
      <c r="Q76" s="782">
        <f t="shared" ref="Q76:Q82" si="8">SUM(F76:P76)/11</f>
        <v>0</v>
      </c>
      <c r="R76" s="707"/>
      <c r="S76" s="707"/>
      <c r="T76" s="707"/>
      <c r="U76" s="782">
        <f>SUM(R76:T76)/3</f>
        <v>0</v>
      </c>
      <c r="V76" s="782">
        <f>SUM(Q76+U76)/2</f>
        <v>0</v>
      </c>
      <c r="W76" s="778"/>
      <c r="X76" s="814"/>
      <c r="Y76" s="695" t="s">
        <v>2987</v>
      </c>
      <c r="AA76" s="781" t="e">
        <f t="shared" si="7"/>
        <v>#DIV/0!</v>
      </c>
    </row>
    <row r="77" spans="1:27" s="784" customFormat="1" ht="18" customHeight="1" x14ac:dyDescent="0.25">
      <c r="A77" s="744">
        <v>70</v>
      </c>
      <c r="B77" s="745"/>
      <c r="C77" s="746">
        <v>2026</v>
      </c>
      <c r="D77" s="685" t="s">
        <v>4280</v>
      </c>
      <c r="E77" s="696" t="s">
        <v>4281</v>
      </c>
      <c r="F77" s="707"/>
      <c r="G77" s="707"/>
      <c r="H77" s="707"/>
      <c r="I77" s="707"/>
      <c r="J77" s="707"/>
      <c r="K77" s="707"/>
      <c r="L77" s="707"/>
      <c r="M77" s="707"/>
      <c r="N77" s="707"/>
      <c r="O77" s="707"/>
      <c r="P77" s="707"/>
      <c r="Q77" s="782">
        <f t="shared" si="8"/>
        <v>0</v>
      </c>
      <c r="R77" s="707"/>
      <c r="S77" s="707"/>
      <c r="T77" s="707"/>
      <c r="U77" s="782">
        <f>SUM(R77:T77)/3</f>
        <v>0</v>
      </c>
      <c r="V77" s="782">
        <f>SUM(Q77+U77)/2</f>
        <v>0</v>
      </c>
      <c r="W77" s="778"/>
      <c r="X77" s="814"/>
      <c r="Y77" s="695" t="s">
        <v>3643</v>
      </c>
      <c r="AA77" s="781" t="e">
        <f t="shared" si="7"/>
        <v>#DIV/0!</v>
      </c>
    </row>
    <row r="78" spans="1:27" s="784" customFormat="1" ht="18" customHeight="1" x14ac:dyDescent="0.25">
      <c r="A78" s="744">
        <v>71</v>
      </c>
      <c r="B78" s="745"/>
      <c r="C78" s="746">
        <v>2026</v>
      </c>
      <c r="D78" s="685" t="s">
        <v>4282</v>
      </c>
      <c r="E78" s="696" t="s">
        <v>3881</v>
      </c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82">
        <f t="shared" si="8"/>
        <v>0</v>
      </c>
      <c r="R78" s="707"/>
      <c r="S78" s="707"/>
      <c r="T78" s="707"/>
      <c r="U78" s="782"/>
      <c r="V78" s="782"/>
      <c r="W78" s="778"/>
      <c r="X78" s="814"/>
      <c r="Y78" s="695" t="s">
        <v>4297</v>
      </c>
      <c r="AA78" s="781" t="e">
        <f t="shared" si="7"/>
        <v>#DIV/0!</v>
      </c>
    </row>
    <row r="79" spans="1:27" s="784" customFormat="1" ht="18" customHeight="1" x14ac:dyDescent="0.25">
      <c r="A79" s="744">
        <v>72</v>
      </c>
      <c r="B79" s="745"/>
      <c r="C79" s="746">
        <v>2026</v>
      </c>
      <c r="D79" s="696" t="s">
        <v>4283</v>
      </c>
      <c r="E79" s="696" t="s">
        <v>2443</v>
      </c>
      <c r="F79" s="707"/>
      <c r="G79" s="707"/>
      <c r="H79" s="707"/>
      <c r="I79" s="707"/>
      <c r="J79" s="707"/>
      <c r="K79" s="707"/>
      <c r="L79" s="707"/>
      <c r="M79" s="707"/>
      <c r="N79" s="707"/>
      <c r="O79" s="707"/>
      <c r="P79" s="707"/>
      <c r="Q79" s="782">
        <f t="shared" si="8"/>
        <v>0</v>
      </c>
      <c r="R79" s="707"/>
      <c r="S79" s="707"/>
      <c r="T79" s="707"/>
      <c r="U79" s="782"/>
      <c r="V79" s="782"/>
      <c r="W79" s="778"/>
      <c r="X79" s="814"/>
      <c r="Y79" s="695" t="s">
        <v>2730</v>
      </c>
      <c r="AA79" s="781" t="e">
        <f t="shared" si="7"/>
        <v>#DIV/0!</v>
      </c>
    </row>
    <row r="80" spans="1:27" s="784" customFormat="1" ht="18" customHeight="1" x14ac:dyDescent="0.25">
      <c r="A80" s="744">
        <v>73</v>
      </c>
      <c r="B80" s="745"/>
      <c r="C80" s="746">
        <v>2026</v>
      </c>
      <c r="D80" s="685" t="s">
        <v>4284</v>
      </c>
      <c r="E80" s="696" t="s">
        <v>1740</v>
      </c>
      <c r="F80" s="707"/>
      <c r="G80" s="707"/>
      <c r="H80" s="707"/>
      <c r="I80" s="707"/>
      <c r="J80" s="707"/>
      <c r="K80" s="707"/>
      <c r="L80" s="707"/>
      <c r="M80" s="707"/>
      <c r="N80" s="707"/>
      <c r="O80" s="707"/>
      <c r="P80" s="707"/>
      <c r="Q80" s="782">
        <f t="shared" si="8"/>
        <v>0</v>
      </c>
      <c r="R80" s="707"/>
      <c r="S80" s="707"/>
      <c r="T80" s="707"/>
      <c r="U80" s="782"/>
      <c r="V80" s="782"/>
      <c r="W80" s="778"/>
      <c r="X80" s="814"/>
      <c r="Y80" s="695" t="s">
        <v>3809</v>
      </c>
      <c r="AA80" s="781" t="e">
        <f t="shared" si="7"/>
        <v>#DIV/0!</v>
      </c>
    </row>
    <row r="81" spans="1:27" s="784" customFormat="1" ht="18" customHeight="1" x14ac:dyDescent="0.25">
      <c r="A81" s="744">
        <v>74</v>
      </c>
      <c r="B81" s="745"/>
      <c r="C81" s="746">
        <v>2026</v>
      </c>
      <c r="D81" s="685" t="s">
        <v>4285</v>
      </c>
      <c r="E81" s="696" t="s">
        <v>4286</v>
      </c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82">
        <f t="shared" si="8"/>
        <v>0</v>
      </c>
      <c r="R81" s="707"/>
      <c r="S81" s="707"/>
      <c r="T81" s="707"/>
      <c r="U81" s="782"/>
      <c r="V81" s="782"/>
      <c r="W81" s="778"/>
      <c r="X81" s="814"/>
      <c r="Y81" s="695" t="s">
        <v>2727</v>
      </c>
      <c r="AA81" s="781" t="e">
        <f t="shared" si="7"/>
        <v>#DIV/0!</v>
      </c>
    </row>
    <row r="82" spans="1:27" s="784" customFormat="1" ht="18" customHeight="1" x14ac:dyDescent="0.25">
      <c r="A82" s="744">
        <v>75</v>
      </c>
      <c r="B82" s="745"/>
      <c r="C82" s="746">
        <v>2026</v>
      </c>
      <c r="D82" s="685" t="s">
        <v>3992</v>
      </c>
      <c r="E82" s="696" t="s">
        <v>4287</v>
      </c>
      <c r="F82" s="707"/>
      <c r="G82" s="707"/>
      <c r="H82" s="707"/>
      <c r="I82" s="707"/>
      <c r="J82" s="707"/>
      <c r="K82" s="707"/>
      <c r="L82" s="707"/>
      <c r="M82" s="707"/>
      <c r="N82" s="707"/>
      <c r="O82" s="707"/>
      <c r="P82" s="707"/>
      <c r="Q82" s="782">
        <f t="shared" si="8"/>
        <v>0</v>
      </c>
      <c r="R82" s="707"/>
      <c r="S82" s="707"/>
      <c r="T82" s="707"/>
      <c r="U82" s="782"/>
      <c r="V82" s="782"/>
      <c r="W82" s="778"/>
      <c r="X82" s="814"/>
      <c r="Y82" s="695" t="s">
        <v>4298</v>
      </c>
      <c r="AA82" s="781" t="e">
        <f t="shared" si="7"/>
        <v>#DIV/0!</v>
      </c>
    </row>
    <row r="83" spans="1:27" s="796" customFormat="1" ht="18" customHeight="1" thickBot="1" x14ac:dyDescent="0.35">
      <c r="A83" s="836"/>
      <c r="B83" s="837"/>
      <c r="C83" s="837"/>
      <c r="D83" s="815"/>
      <c r="E83" s="837"/>
      <c r="F83" s="824"/>
      <c r="G83" s="824"/>
      <c r="H83" s="824"/>
      <c r="I83" s="824"/>
      <c r="J83" s="824"/>
      <c r="K83" s="824"/>
      <c r="L83" s="824"/>
      <c r="M83" s="824"/>
      <c r="N83" s="824"/>
      <c r="O83" s="824"/>
      <c r="P83" s="824"/>
      <c r="Q83" s="839"/>
      <c r="R83" s="839"/>
      <c r="S83" s="839"/>
      <c r="T83" s="839"/>
      <c r="U83" s="839"/>
      <c r="V83" s="839"/>
      <c r="W83" s="839"/>
      <c r="X83" s="839"/>
      <c r="Y83" s="840"/>
    </row>
    <row r="84" spans="1:27" s="796" customFormat="1" ht="19.5" thickTop="1" x14ac:dyDescent="0.3">
      <c r="A84" s="797"/>
      <c r="B84" s="797"/>
      <c r="C84" s="797"/>
      <c r="E84" s="797"/>
      <c r="F84" s="797"/>
      <c r="G84" s="797"/>
      <c r="H84" s="797"/>
      <c r="I84" s="797"/>
      <c r="J84" s="797"/>
      <c r="K84" s="797"/>
      <c r="L84" s="797"/>
      <c r="M84" s="797"/>
      <c r="N84" s="797"/>
      <c r="O84" s="797"/>
      <c r="P84" s="797"/>
      <c r="Q84" s="1071"/>
      <c r="R84" s="1071"/>
      <c r="S84" s="1071"/>
      <c r="T84" s="797"/>
      <c r="U84" s="797"/>
      <c r="V84" s="797"/>
      <c r="W84" s="797"/>
      <c r="X84" s="799"/>
      <c r="Y84" s="797"/>
    </row>
    <row r="85" spans="1:27" s="796" customFormat="1" x14ac:dyDescent="0.3">
      <c r="A85" s="797"/>
      <c r="B85" s="797"/>
      <c r="C85" s="797"/>
      <c r="E85" s="797"/>
      <c r="F85" s="797"/>
      <c r="G85" s="797"/>
      <c r="H85" s="797"/>
      <c r="I85" s="797"/>
      <c r="J85" s="797"/>
      <c r="K85" s="797"/>
      <c r="L85" s="797"/>
      <c r="M85" s="797"/>
      <c r="N85" s="797"/>
      <c r="O85" s="797"/>
      <c r="P85" s="797"/>
      <c r="Q85" s="800"/>
      <c r="R85" s="780"/>
      <c r="S85" s="780"/>
      <c r="T85" s="797"/>
      <c r="U85" s="797"/>
      <c r="V85" s="797"/>
      <c r="W85" s="797"/>
      <c r="X85" s="799"/>
      <c r="Y85" s="797"/>
    </row>
    <row r="86" spans="1:27" s="796" customFormat="1" x14ac:dyDescent="0.3">
      <c r="A86" s="797"/>
      <c r="B86" s="797"/>
      <c r="C86" s="797"/>
      <c r="E86" s="797"/>
      <c r="F86" s="797"/>
      <c r="G86" s="797"/>
      <c r="H86" s="797"/>
      <c r="I86" s="797"/>
      <c r="J86" s="797"/>
      <c r="K86" s="797"/>
      <c r="L86" s="797"/>
      <c r="M86" s="797"/>
      <c r="N86" s="797"/>
      <c r="O86" s="797"/>
      <c r="P86" s="797"/>
      <c r="Q86" s="800"/>
      <c r="R86" s="780"/>
      <c r="S86" s="780"/>
      <c r="T86" s="797"/>
      <c r="U86" s="797"/>
      <c r="V86" s="797"/>
      <c r="W86" s="797"/>
      <c r="X86" s="799"/>
      <c r="Y86" s="797"/>
    </row>
    <row r="87" spans="1:27" s="796" customFormat="1" x14ac:dyDescent="0.3">
      <c r="A87" s="797"/>
      <c r="B87" s="797"/>
      <c r="C87" s="797"/>
      <c r="E87" s="797"/>
      <c r="F87" s="797"/>
      <c r="G87" s="797"/>
      <c r="H87" s="797"/>
      <c r="I87" s="797"/>
      <c r="J87" s="797"/>
      <c r="K87" s="797"/>
      <c r="L87" s="797"/>
      <c r="M87" s="797"/>
      <c r="N87" s="797"/>
      <c r="O87" s="797"/>
      <c r="P87" s="797"/>
      <c r="Q87" s="1072"/>
      <c r="R87" s="1072"/>
      <c r="S87" s="1072"/>
      <c r="T87" s="797"/>
      <c r="U87" s="797"/>
      <c r="V87" s="797"/>
      <c r="W87" s="797"/>
      <c r="X87" s="799"/>
      <c r="Y87" s="797"/>
    </row>
    <row r="88" spans="1:27" s="796" customFormat="1" x14ac:dyDescent="0.3">
      <c r="A88" s="797"/>
      <c r="B88" s="797"/>
      <c r="C88" s="797"/>
      <c r="E88" s="797"/>
      <c r="F88" s="797"/>
      <c r="G88" s="797"/>
      <c r="H88" s="797"/>
      <c r="I88" s="797"/>
      <c r="J88" s="797"/>
      <c r="K88" s="797"/>
      <c r="L88" s="797"/>
      <c r="M88" s="797"/>
      <c r="N88" s="797"/>
      <c r="O88" s="797"/>
      <c r="P88" s="797"/>
      <c r="Q88" s="803"/>
      <c r="R88" s="797"/>
      <c r="S88" s="797"/>
      <c r="T88" s="797"/>
      <c r="U88" s="797"/>
      <c r="V88" s="797"/>
      <c r="W88" s="797"/>
      <c r="X88" s="799"/>
      <c r="Y88" s="797"/>
    </row>
    <row r="89" spans="1:27" s="796" customFormat="1" x14ac:dyDescent="0.3">
      <c r="A89" s="797"/>
      <c r="B89" s="797"/>
      <c r="C89" s="797"/>
      <c r="E89" s="797"/>
      <c r="F89" s="797"/>
      <c r="G89" s="797"/>
      <c r="H89" s="797"/>
      <c r="I89" s="797"/>
      <c r="J89" s="797"/>
      <c r="K89" s="797"/>
      <c r="L89" s="797"/>
      <c r="M89" s="797"/>
      <c r="N89" s="797"/>
      <c r="O89" s="797"/>
      <c r="P89" s="797"/>
      <c r="Q89" s="803"/>
      <c r="R89" s="797"/>
      <c r="S89" s="797"/>
      <c r="T89" s="797"/>
      <c r="U89" s="797"/>
      <c r="V89" s="797"/>
      <c r="W89" s="797"/>
      <c r="X89" s="799"/>
      <c r="Y89" s="797"/>
    </row>
    <row r="90" spans="1:27" s="796" customFormat="1" x14ac:dyDescent="0.3">
      <c r="A90" s="797"/>
      <c r="B90" s="797"/>
      <c r="C90" s="797"/>
      <c r="E90" s="797"/>
      <c r="F90" s="797"/>
      <c r="G90" s="797"/>
      <c r="H90" s="797"/>
      <c r="I90" s="797"/>
      <c r="J90" s="797"/>
      <c r="K90" s="797"/>
      <c r="L90" s="797"/>
      <c r="M90" s="797"/>
      <c r="N90" s="797"/>
      <c r="O90" s="797"/>
      <c r="P90" s="797"/>
      <c r="Q90" s="803"/>
      <c r="R90" s="797"/>
      <c r="S90" s="797"/>
      <c r="T90" s="797"/>
      <c r="U90" s="797"/>
      <c r="V90" s="797"/>
      <c r="W90" s="797"/>
      <c r="X90" s="799"/>
      <c r="Y90" s="797"/>
    </row>
    <row r="91" spans="1:27" s="796" customFormat="1" x14ac:dyDescent="0.3">
      <c r="A91" s="797"/>
      <c r="B91" s="797"/>
      <c r="C91" s="797"/>
      <c r="E91" s="797"/>
      <c r="F91" s="797"/>
      <c r="G91" s="797"/>
      <c r="H91" s="797"/>
      <c r="I91" s="797"/>
      <c r="J91" s="797"/>
      <c r="K91" s="797"/>
      <c r="L91" s="797"/>
      <c r="M91" s="797"/>
      <c r="N91" s="797"/>
      <c r="O91" s="797"/>
      <c r="P91" s="797"/>
      <c r="Q91" s="803"/>
      <c r="R91" s="797"/>
      <c r="S91" s="797"/>
      <c r="T91" s="797"/>
      <c r="U91" s="797"/>
      <c r="V91" s="797"/>
      <c r="W91" s="797"/>
      <c r="X91" s="799"/>
      <c r="Y91" s="797"/>
    </row>
    <row r="92" spans="1:27" s="796" customFormat="1" x14ac:dyDescent="0.3">
      <c r="A92" s="797"/>
      <c r="B92" s="797"/>
      <c r="C92" s="797"/>
      <c r="E92" s="797"/>
      <c r="F92" s="797"/>
      <c r="G92" s="797"/>
      <c r="H92" s="797"/>
      <c r="I92" s="797"/>
      <c r="J92" s="797"/>
      <c r="K92" s="797"/>
      <c r="L92" s="797"/>
      <c r="M92" s="797"/>
      <c r="N92" s="797"/>
      <c r="O92" s="797"/>
      <c r="P92" s="797"/>
      <c r="Q92" s="803"/>
      <c r="R92" s="797"/>
      <c r="S92" s="797"/>
      <c r="T92" s="797"/>
      <c r="U92" s="797"/>
      <c r="V92" s="797"/>
      <c r="W92" s="797"/>
      <c r="X92" s="799"/>
      <c r="Y92" s="797"/>
    </row>
    <row r="93" spans="1:27" s="796" customFormat="1" x14ac:dyDescent="0.3">
      <c r="A93" s="797"/>
      <c r="B93" s="797"/>
      <c r="C93" s="797"/>
      <c r="E93" s="797"/>
      <c r="F93" s="797"/>
      <c r="G93" s="797"/>
      <c r="H93" s="797"/>
      <c r="I93" s="797"/>
      <c r="J93" s="797"/>
      <c r="K93" s="797"/>
      <c r="L93" s="797"/>
      <c r="M93" s="797"/>
      <c r="N93" s="797"/>
      <c r="O93" s="797"/>
      <c r="P93" s="797"/>
      <c r="Q93" s="803"/>
      <c r="R93" s="797"/>
      <c r="S93" s="797"/>
      <c r="T93" s="797"/>
      <c r="U93" s="797"/>
      <c r="V93" s="797"/>
      <c r="W93" s="797"/>
      <c r="X93" s="799"/>
      <c r="Y93" s="797"/>
    </row>
    <row r="94" spans="1:27" s="796" customFormat="1" x14ac:dyDescent="0.3">
      <c r="A94" s="797"/>
      <c r="B94" s="797"/>
      <c r="C94" s="797"/>
      <c r="E94" s="797"/>
      <c r="F94" s="797"/>
      <c r="G94" s="797"/>
      <c r="H94" s="797"/>
      <c r="I94" s="797"/>
      <c r="J94" s="797"/>
      <c r="K94" s="797"/>
      <c r="L94" s="797"/>
      <c r="M94" s="797"/>
      <c r="N94" s="797"/>
      <c r="O94" s="797"/>
      <c r="P94" s="797"/>
      <c r="Q94" s="803"/>
      <c r="R94" s="797"/>
      <c r="S94" s="797"/>
      <c r="T94" s="797"/>
      <c r="U94" s="797"/>
      <c r="V94" s="797"/>
      <c r="W94" s="797"/>
      <c r="X94" s="799"/>
      <c r="Y94" s="797"/>
    </row>
    <row r="95" spans="1:27" s="796" customFormat="1" x14ac:dyDescent="0.3">
      <c r="A95" s="797"/>
      <c r="B95" s="797"/>
      <c r="C95" s="797"/>
      <c r="E95" s="797"/>
      <c r="F95" s="797"/>
      <c r="G95" s="797"/>
      <c r="H95" s="797"/>
      <c r="I95" s="797"/>
      <c r="J95" s="797"/>
      <c r="K95" s="797"/>
      <c r="L95" s="797"/>
      <c r="M95" s="797"/>
      <c r="N95" s="797"/>
      <c r="O95" s="797"/>
      <c r="P95" s="797"/>
      <c r="Q95" s="803"/>
      <c r="R95" s="797"/>
      <c r="S95" s="797"/>
      <c r="T95" s="797"/>
      <c r="U95" s="797"/>
      <c r="V95" s="797"/>
      <c r="W95" s="797"/>
      <c r="X95" s="799"/>
      <c r="Y95" s="797"/>
    </row>
    <row r="96" spans="1:27" s="796" customFormat="1" x14ac:dyDescent="0.3">
      <c r="A96" s="797"/>
      <c r="B96" s="797"/>
      <c r="C96" s="797"/>
      <c r="E96" s="797"/>
      <c r="F96" s="797"/>
      <c r="G96" s="797"/>
      <c r="H96" s="797"/>
      <c r="I96" s="797"/>
      <c r="J96" s="797"/>
      <c r="K96" s="797"/>
      <c r="L96" s="797"/>
      <c r="M96" s="797"/>
      <c r="N96" s="797"/>
      <c r="O96" s="797"/>
      <c r="P96" s="797"/>
      <c r="Q96" s="803"/>
      <c r="R96" s="797"/>
      <c r="S96" s="797"/>
      <c r="T96" s="797"/>
      <c r="U96" s="797"/>
      <c r="V96" s="797"/>
      <c r="W96" s="797"/>
      <c r="X96" s="799"/>
      <c r="Y96" s="797"/>
    </row>
    <row r="97" spans="1:26" s="796" customFormat="1" x14ac:dyDescent="0.3">
      <c r="A97" s="797"/>
      <c r="B97" s="797"/>
      <c r="C97" s="797"/>
      <c r="E97" s="797"/>
      <c r="F97" s="797"/>
      <c r="G97" s="797"/>
      <c r="H97" s="797"/>
      <c r="I97" s="797"/>
      <c r="J97" s="797"/>
      <c r="K97" s="797"/>
      <c r="L97" s="797"/>
      <c r="M97" s="797"/>
      <c r="N97" s="797"/>
      <c r="O97" s="797"/>
      <c r="P97" s="797"/>
      <c r="Q97" s="803"/>
      <c r="R97" s="797"/>
      <c r="S97" s="797"/>
      <c r="T97" s="797"/>
      <c r="U97" s="797"/>
      <c r="V97" s="797"/>
      <c r="W97" s="797"/>
      <c r="X97" s="799"/>
      <c r="Y97" s="797"/>
    </row>
    <row r="98" spans="1:26" s="796" customFormat="1" x14ac:dyDescent="0.3">
      <c r="A98" s="797"/>
      <c r="B98" s="797"/>
      <c r="C98" s="797"/>
      <c r="E98" s="797"/>
      <c r="F98" s="797"/>
      <c r="G98" s="797"/>
      <c r="H98" s="797"/>
      <c r="I98" s="797"/>
      <c r="J98" s="797"/>
      <c r="K98" s="797"/>
      <c r="L98" s="797"/>
      <c r="M98" s="797"/>
      <c r="N98" s="797"/>
      <c r="O98" s="797"/>
      <c r="P98" s="797"/>
      <c r="Q98" s="803"/>
      <c r="R98" s="797"/>
      <c r="S98" s="797"/>
      <c r="T98" s="797"/>
      <c r="U98" s="797"/>
      <c r="V98" s="797"/>
      <c r="W98" s="797"/>
      <c r="X98" s="799"/>
      <c r="Y98" s="797"/>
    </row>
    <row r="99" spans="1:26" s="796" customFormat="1" x14ac:dyDescent="0.3">
      <c r="A99" s="797"/>
      <c r="B99" s="797"/>
      <c r="C99" s="797"/>
      <c r="E99" s="797"/>
      <c r="F99" s="797"/>
      <c r="G99" s="797"/>
      <c r="H99" s="797"/>
      <c r="I99" s="797"/>
      <c r="J99" s="797"/>
      <c r="K99" s="797"/>
      <c r="L99" s="797"/>
      <c r="M99" s="797"/>
      <c r="N99" s="797"/>
      <c r="O99" s="797"/>
      <c r="P99" s="797"/>
      <c r="Q99" s="803"/>
      <c r="R99" s="797"/>
      <c r="S99" s="797"/>
      <c r="T99" s="797"/>
      <c r="U99" s="797"/>
      <c r="V99" s="797"/>
      <c r="W99" s="797"/>
      <c r="X99" s="799"/>
      <c r="Y99" s="797"/>
    </row>
    <row r="100" spans="1:26" s="796" customFormat="1" x14ac:dyDescent="0.3">
      <c r="A100" s="797"/>
      <c r="B100" s="797"/>
      <c r="C100" s="797"/>
      <c r="E100" s="797"/>
      <c r="F100" s="797"/>
      <c r="G100" s="797"/>
      <c r="H100" s="797"/>
      <c r="I100" s="797"/>
      <c r="J100" s="797"/>
      <c r="K100" s="797"/>
      <c r="L100" s="797"/>
      <c r="M100" s="797"/>
      <c r="N100" s="797"/>
      <c r="O100" s="797"/>
      <c r="P100" s="797"/>
      <c r="Q100" s="803"/>
      <c r="R100" s="797"/>
      <c r="S100" s="797"/>
      <c r="T100" s="797"/>
      <c r="U100" s="797"/>
      <c r="V100" s="797"/>
      <c r="W100" s="797"/>
      <c r="X100" s="799"/>
      <c r="Y100" s="797"/>
    </row>
    <row r="101" spans="1:26" s="796" customFormat="1" x14ac:dyDescent="0.3">
      <c r="A101" s="797"/>
      <c r="B101" s="797"/>
      <c r="C101" s="797"/>
      <c r="E101" s="797"/>
      <c r="F101" s="797"/>
      <c r="G101" s="797"/>
      <c r="H101" s="797"/>
      <c r="I101" s="797"/>
      <c r="J101" s="797"/>
      <c r="K101" s="797"/>
      <c r="L101" s="797"/>
      <c r="M101" s="797"/>
      <c r="N101" s="797"/>
      <c r="O101" s="797"/>
      <c r="P101" s="797"/>
      <c r="Q101" s="803"/>
      <c r="R101" s="797"/>
      <c r="S101" s="797"/>
      <c r="T101" s="797"/>
      <c r="U101" s="797"/>
      <c r="V101" s="797"/>
      <c r="W101" s="797"/>
      <c r="X101" s="799"/>
      <c r="Y101" s="797"/>
    </row>
    <row r="102" spans="1:26" s="796" customFormat="1" x14ac:dyDescent="0.3">
      <c r="A102" s="797"/>
      <c r="B102" s="797"/>
      <c r="C102" s="797"/>
      <c r="E102" s="797"/>
      <c r="F102" s="797"/>
      <c r="G102" s="797"/>
      <c r="H102" s="797"/>
      <c r="I102" s="797"/>
      <c r="J102" s="797"/>
      <c r="K102" s="797"/>
      <c r="L102" s="797"/>
      <c r="M102" s="797"/>
      <c r="N102" s="797"/>
      <c r="O102" s="797"/>
      <c r="P102" s="797"/>
      <c r="Q102" s="803"/>
      <c r="R102" s="797"/>
      <c r="S102" s="797"/>
      <c r="T102" s="797"/>
      <c r="U102" s="797"/>
      <c r="V102" s="797"/>
      <c r="W102" s="797"/>
      <c r="X102" s="799"/>
      <c r="Y102" s="797"/>
    </row>
    <row r="103" spans="1:26" s="796" customFormat="1" x14ac:dyDescent="0.3">
      <c r="A103" s="797"/>
      <c r="B103" s="797"/>
      <c r="C103" s="797"/>
      <c r="E103" s="797"/>
      <c r="F103" s="797"/>
      <c r="G103" s="797"/>
      <c r="H103" s="797"/>
      <c r="I103" s="797"/>
      <c r="J103" s="797"/>
      <c r="K103" s="797"/>
      <c r="L103" s="797"/>
      <c r="M103" s="797"/>
      <c r="N103" s="797"/>
      <c r="O103" s="797"/>
      <c r="P103" s="797"/>
      <c r="Q103" s="803"/>
      <c r="R103" s="797"/>
      <c r="S103" s="797"/>
      <c r="T103" s="797"/>
      <c r="U103" s="797"/>
      <c r="V103" s="797"/>
      <c r="W103" s="797"/>
      <c r="X103" s="799"/>
      <c r="Y103" s="797"/>
    </row>
    <row r="104" spans="1:26" s="796" customFormat="1" x14ac:dyDescent="0.3">
      <c r="A104" s="797"/>
      <c r="B104" s="797"/>
      <c r="C104" s="797"/>
      <c r="E104" s="797"/>
      <c r="F104" s="797"/>
      <c r="G104" s="797"/>
      <c r="H104" s="797"/>
      <c r="I104" s="797"/>
      <c r="J104" s="797"/>
      <c r="K104" s="797"/>
      <c r="L104" s="797"/>
      <c r="M104" s="797"/>
      <c r="N104" s="797"/>
      <c r="O104" s="797"/>
      <c r="P104" s="797"/>
      <c r="Q104" s="803"/>
      <c r="R104" s="797"/>
      <c r="S104" s="797"/>
      <c r="T104" s="797"/>
      <c r="U104" s="797"/>
      <c r="V104" s="797"/>
      <c r="W104" s="797"/>
      <c r="X104" s="799"/>
      <c r="Y104" s="797"/>
    </row>
    <row r="105" spans="1:26" s="806" customFormat="1" x14ac:dyDescent="0.3">
      <c r="A105" s="807"/>
      <c r="B105" s="807"/>
      <c r="C105" s="807"/>
      <c r="E105" s="807"/>
      <c r="F105" s="807"/>
      <c r="G105" s="807"/>
      <c r="H105" s="807"/>
      <c r="I105" s="807"/>
      <c r="J105" s="801"/>
      <c r="K105" s="807"/>
      <c r="L105" s="807"/>
      <c r="M105" s="807"/>
      <c r="N105" s="807"/>
      <c r="O105" s="807"/>
      <c r="P105" s="807"/>
      <c r="Q105" s="827"/>
      <c r="R105" s="801"/>
      <c r="S105" s="801"/>
      <c r="T105" s="801"/>
      <c r="U105" s="801"/>
      <c r="V105" s="801"/>
      <c r="W105" s="801"/>
      <c r="X105" s="805"/>
      <c r="Y105" s="801"/>
      <c r="Z105" s="885"/>
    </row>
    <row r="106" spans="1:26" x14ac:dyDescent="0.3">
      <c r="Z106" s="134"/>
    </row>
  </sheetData>
  <autoFilter ref="Q6:Z82">
    <filterColumn colId="1" showButton="0"/>
    <filterColumn colId="2" showButton="0"/>
    <filterColumn colId="3" showButton="0"/>
  </autoFilter>
  <mergeCells count="17">
    <mergeCell ref="Q84:S84"/>
    <mergeCell ref="Q87:S87"/>
    <mergeCell ref="V6:V7"/>
    <mergeCell ref="Y6:Y7"/>
    <mergeCell ref="Q6:Q7"/>
    <mergeCell ref="A6:A7"/>
    <mergeCell ref="D6:D7"/>
    <mergeCell ref="B6:C7"/>
    <mergeCell ref="R6:U6"/>
    <mergeCell ref="E6:E7"/>
    <mergeCell ref="F6:P6"/>
    <mergeCell ref="E1:Y1"/>
    <mergeCell ref="E2:Y2"/>
    <mergeCell ref="E3:Y3"/>
    <mergeCell ref="W6:W7"/>
    <mergeCell ref="X6:X7"/>
    <mergeCell ref="E4:AI4"/>
  </mergeCells>
  <phoneticPr fontId="0" type="noConversion"/>
  <printOptions horizontalCentered="1"/>
  <pageMargins left="0.85" right="0.16" top="0.27" bottom="0.28000000000000003" header="0.23" footer="0.2"/>
  <pageSetup scale="98"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J68"/>
  <sheetViews>
    <sheetView topLeftCell="A2" zoomScale="120" zoomScaleNormal="120" workbookViewId="0">
      <selection activeCell="Z9" sqref="Z9:Z50"/>
    </sheetView>
  </sheetViews>
  <sheetFormatPr defaultRowHeight="18.75" x14ac:dyDescent="0.3"/>
  <cols>
    <col min="1" max="1" width="3.09765625" style="1" customWidth="1"/>
    <col min="2" max="2" width="4.3984375" style="1" customWidth="1"/>
    <col min="3" max="3" width="4.5" style="1" customWidth="1"/>
    <col min="4" max="4" width="16.09765625" customWidth="1"/>
    <col min="5" max="5" width="8.796875" style="1" customWidth="1"/>
    <col min="6" max="11" width="2.796875" style="1" customWidth="1"/>
    <col min="12" max="12" width="2.796875" style="237" customWidth="1"/>
    <col min="13" max="13" width="2.796875" style="1" customWidth="1"/>
    <col min="14" max="14" width="2.796875" style="237" customWidth="1"/>
    <col min="15" max="15" width="2.796875" style="686" customWidth="1"/>
    <col min="16" max="17" width="2.796875" style="1" customWidth="1"/>
    <col min="18" max="18" width="4.8984375" style="25" customWidth="1"/>
    <col min="19" max="21" width="2.19921875" style="22" hidden="1" customWidth="1"/>
    <col min="22" max="23" width="3.3984375" style="1" hidden="1" customWidth="1"/>
    <col min="24" max="24" width="4" style="1" customWidth="1"/>
    <col min="25" max="25" width="4.3984375" style="15" hidden="1" customWidth="1"/>
    <col min="26" max="26" width="25" style="1" customWidth="1"/>
    <col min="27" max="27" width="2.09765625" customWidth="1"/>
    <col min="28" max="28" width="5.8984375" customWidth="1"/>
  </cols>
  <sheetData>
    <row r="1" spans="1:36" s="806" customFormat="1" ht="6.75" customHeight="1" x14ac:dyDescent="0.3">
      <c r="A1" s="807"/>
      <c r="B1" s="807"/>
      <c r="C1" s="807"/>
      <c r="E1" s="807"/>
      <c r="F1" s="807"/>
      <c r="G1" s="807"/>
      <c r="H1" s="807"/>
      <c r="I1" s="807"/>
      <c r="J1" s="807"/>
      <c r="K1" s="807"/>
      <c r="L1" s="801"/>
      <c r="M1" s="807"/>
      <c r="N1" s="801"/>
      <c r="O1" s="797"/>
      <c r="P1" s="807"/>
      <c r="Q1" s="807"/>
      <c r="R1" s="827"/>
      <c r="S1" s="807"/>
      <c r="T1" s="807"/>
      <c r="U1" s="807"/>
      <c r="V1" s="807"/>
      <c r="W1" s="807"/>
      <c r="X1" s="807"/>
      <c r="Y1" s="808"/>
      <c r="Z1" s="807"/>
    </row>
    <row r="2" spans="1:36" s="761" customFormat="1" ht="15.75" x14ac:dyDescent="0.25">
      <c r="B2" s="763"/>
      <c r="C2" s="763"/>
      <c r="D2" s="763"/>
      <c r="E2" s="1046" t="s">
        <v>2237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  <c r="X2" s="1046"/>
      <c r="Y2" s="1046"/>
      <c r="Z2" s="1046"/>
    </row>
    <row r="3" spans="1:36" s="761" customFormat="1" ht="15.75" x14ac:dyDescent="0.25">
      <c r="B3" s="763"/>
      <c r="C3" s="763"/>
      <c r="D3" s="763"/>
      <c r="E3" s="1046" t="s">
        <v>2323</v>
      </c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1046"/>
      <c r="W3" s="1046"/>
      <c r="X3" s="1046"/>
      <c r="Y3" s="1046"/>
      <c r="Z3" s="1046"/>
    </row>
    <row r="4" spans="1:36" s="761" customFormat="1" ht="15.75" hidden="1" x14ac:dyDescent="0.25">
      <c r="B4" s="762"/>
      <c r="C4" s="762"/>
      <c r="D4" s="762"/>
      <c r="E4" s="1047" t="s">
        <v>28</v>
      </c>
      <c r="F4" s="1047"/>
      <c r="G4" s="1047"/>
      <c r="H4" s="1047"/>
      <c r="I4" s="1047"/>
      <c r="J4" s="1047"/>
      <c r="K4" s="1047"/>
      <c r="L4" s="1047"/>
      <c r="M4" s="1047"/>
      <c r="N4" s="1047"/>
      <c r="O4" s="1047"/>
      <c r="P4" s="1047"/>
      <c r="Q4" s="1047"/>
      <c r="R4" s="1047"/>
      <c r="S4" s="1047"/>
      <c r="T4" s="1047"/>
      <c r="U4" s="1047"/>
      <c r="V4" s="1047"/>
      <c r="W4" s="1047"/>
      <c r="X4" s="1047"/>
      <c r="Y4" s="1047"/>
      <c r="Z4" s="1047"/>
    </row>
    <row r="5" spans="1:36" s="761" customFormat="1" ht="15.75" customHeight="1" x14ac:dyDescent="0.25">
      <c r="B5" s="763"/>
      <c r="C5" s="763"/>
      <c r="D5" s="763"/>
      <c r="E5" s="1052" t="s">
        <v>2316</v>
      </c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1052"/>
      <c r="V5" s="1052"/>
      <c r="W5" s="1052"/>
      <c r="X5" s="1052"/>
      <c r="Y5" s="1052"/>
      <c r="Z5" s="1052"/>
      <c r="AA5" s="1052"/>
      <c r="AB5" s="1052"/>
      <c r="AC5" s="1052"/>
      <c r="AD5" s="1052"/>
      <c r="AE5" s="1052"/>
      <c r="AF5" s="1052"/>
      <c r="AG5" s="1052"/>
      <c r="AH5" s="1052"/>
      <c r="AI5" s="1052"/>
      <c r="AJ5" s="1052"/>
    </row>
    <row r="6" spans="1:36" s="806" customFormat="1" ht="8.25" customHeight="1" thickBot="1" x14ac:dyDescent="0.4">
      <c r="A6" s="809"/>
      <c r="B6" s="809"/>
      <c r="C6" s="809"/>
      <c r="D6" s="809"/>
      <c r="E6" s="841"/>
      <c r="F6" s="842"/>
      <c r="G6" s="842"/>
      <c r="H6" s="842"/>
      <c r="I6" s="842"/>
      <c r="J6" s="842"/>
      <c r="K6" s="842"/>
      <c r="L6" s="843"/>
      <c r="M6" s="842"/>
      <c r="N6" s="843"/>
      <c r="O6" s="844"/>
      <c r="P6" s="842"/>
      <c r="Q6" s="842"/>
      <c r="R6" s="828"/>
      <c r="S6" s="809"/>
      <c r="T6" s="809"/>
      <c r="U6" s="809"/>
      <c r="V6" s="809"/>
      <c r="W6" s="809"/>
      <c r="X6" s="809"/>
      <c r="Y6" s="809"/>
      <c r="Z6" s="809"/>
      <c r="AA6" s="812"/>
      <c r="AB6" s="806" t="s">
        <v>94</v>
      </c>
    </row>
    <row r="7" spans="1:36" s="780" customFormat="1" ht="23.25" customHeight="1" thickTop="1" x14ac:dyDescent="0.25">
      <c r="A7" s="1056" t="s">
        <v>91</v>
      </c>
      <c r="B7" s="1060" t="s">
        <v>2118</v>
      </c>
      <c r="C7" s="1061"/>
      <c r="D7" s="1058" t="s">
        <v>2119</v>
      </c>
      <c r="E7" s="1058" t="s">
        <v>2120</v>
      </c>
      <c r="F7" s="1053" t="s">
        <v>2123</v>
      </c>
      <c r="G7" s="1054"/>
      <c r="H7" s="1054"/>
      <c r="I7" s="1054"/>
      <c r="J7" s="1054"/>
      <c r="K7" s="1054"/>
      <c r="L7" s="1054"/>
      <c r="M7" s="1054"/>
      <c r="N7" s="1054"/>
      <c r="O7" s="1054"/>
      <c r="P7" s="1054"/>
      <c r="Q7" s="1055"/>
      <c r="R7" s="1069" t="s">
        <v>2107</v>
      </c>
      <c r="S7" s="1053" t="s">
        <v>104</v>
      </c>
      <c r="T7" s="1054"/>
      <c r="U7" s="1054"/>
      <c r="V7" s="1055"/>
      <c r="W7" s="1048" t="s">
        <v>99</v>
      </c>
      <c r="X7" s="1048" t="s">
        <v>2108</v>
      </c>
      <c r="Y7" s="1048" t="s">
        <v>103</v>
      </c>
      <c r="Z7" s="1067" t="s">
        <v>2121</v>
      </c>
    </row>
    <row r="8" spans="1:36" s="780" customFormat="1" ht="146.25" customHeight="1" x14ac:dyDescent="0.25">
      <c r="A8" s="1057"/>
      <c r="B8" s="1062"/>
      <c r="C8" s="1063"/>
      <c r="D8" s="1059"/>
      <c r="E8" s="1059"/>
      <c r="F8" s="713" t="s">
        <v>2205</v>
      </c>
      <c r="G8" s="714" t="s">
        <v>2128</v>
      </c>
      <c r="H8" s="713" t="s">
        <v>2206</v>
      </c>
      <c r="I8" s="715" t="s">
        <v>2207</v>
      </c>
      <c r="J8" s="713" t="s">
        <v>2208</v>
      </c>
      <c r="K8" s="713" t="s">
        <v>2209</v>
      </c>
      <c r="L8" s="713" t="s">
        <v>2113</v>
      </c>
      <c r="M8" s="713" t="s">
        <v>2210</v>
      </c>
      <c r="N8" s="713" t="s">
        <v>2114</v>
      </c>
      <c r="O8" s="716" t="s">
        <v>2095</v>
      </c>
      <c r="P8" s="716" t="s">
        <v>2211</v>
      </c>
      <c r="Q8" s="713" t="s">
        <v>2117</v>
      </c>
      <c r="R8" s="1070"/>
      <c r="S8" s="718" t="s">
        <v>108</v>
      </c>
      <c r="T8" s="718" t="s">
        <v>97</v>
      </c>
      <c r="U8" s="718" t="s">
        <v>96</v>
      </c>
      <c r="V8" s="719" t="s">
        <v>98</v>
      </c>
      <c r="W8" s="1049"/>
      <c r="X8" s="1049"/>
      <c r="Y8" s="1049"/>
      <c r="Z8" s="1068"/>
      <c r="AA8" s="780" t="s">
        <v>94</v>
      </c>
    </row>
    <row r="9" spans="1:36" s="784" customFormat="1" ht="18" customHeight="1" x14ac:dyDescent="0.25">
      <c r="A9" s="741">
        <v>1</v>
      </c>
      <c r="B9" s="752"/>
      <c r="C9" s="743">
        <v>2026</v>
      </c>
      <c r="D9" s="690" t="s">
        <v>4299</v>
      </c>
      <c r="E9" s="687" t="s">
        <v>4300</v>
      </c>
      <c r="F9" s="705"/>
      <c r="G9" s="705"/>
      <c r="H9" s="705"/>
      <c r="I9" s="705"/>
      <c r="J9" s="705"/>
      <c r="K9" s="705"/>
      <c r="L9" s="705"/>
      <c r="M9" s="705"/>
      <c r="N9" s="705"/>
      <c r="O9" s="705"/>
      <c r="P9" s="705"/>
      <c r="Q9" s="705"/>
      <c r="R9" s="776">
        <f>SUM(F9:Q9)/12</f>
        <v>0</v>
      </c>
      <c r="S9" s="705"/>
      <c r="T9" s="705"/>
      <c r="U9" s="705"/>
      <c r="V9" s="776">
        <f>SUM(S9:U9)/3</f>
        <v>0</v>
      </c>
      <c r="W9" s="776">
        <f>SUM(R9+V9)/2</f>
        <v>0</v>
      </c>
      <c r="X9" s="819"/>
      <c r="Y9" s="813"/>
      <c r="Z9" s="1035" t="s">
        <v>4358</v>
      </c>
      <c r="AB9" s="781" t="e">
        <f t="shared" ref="AB9:AB50" si="0">AVERAGE(F9:Q9)</f>
        <v>#DIV/0!</v>
      </c>
    </row>
    <row r="10" spans="1:36" s="784" customFormat="1" ht="18" customHeight="1" x14ac:dyDescent="0.25">
      <c r="A10" s="744">
        <v>2</v>
      </c>
      <c r="B10" s="745"/>
      <c r="C10" s="746">
        <v>2026</v>
      </c>
      <c r="D10" s="685" t="s">
        <v>4301</v>
      </c>
      <c r="E10" s="689" t="s">
        <v>4302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7"/>
      <c r="R10" s="782">
        <f>SUM(F10:Q10)/12</f>
        <v>0</v>
      </c>
      <c r="S10" s="707"/>
      <c r="T10" s="707"/>
      <c r="U10" s="707"/>
      <c r="V10" s="782">
        <f>SUM(S10:U10)/3</f>
        <v>0</v>
      </c>
      <c r="W10" s="782">
        <f>SUM(R10+V10)/2</f>
        <v>0</v>
      </c>
      <c r="X10" s="778"/>
      <c r="Y10" s="814"/>
      <c r="Z10" s="1036" t="s">
        <v>4359</v>
      </c>
      <c r="AB10" s="781" t="e">
        <f t="shared" si="0"/>
        <v>#DIV/0!</v>
      </c>
    </row>
    <row r="11" spans="1:36" s="784" customFormat="1" ht="18" customHeight="1" x14ac:dyDescent="0.25">
      <c r="A11" s="744">
        <v>3</v>
      </c>
      <c r="B11" s="745"/>
      <c r="C11" s="746">
        <v>2026</v>
      </c>
      <c r="D11" s="685" t="s">
        <v>4303</v>
      </c>
      <c r="E11" s="689" t="s">
        <v>4304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07"/>
      <c r="R11" s="782">
        <f t="shared" ref="R11:R50" si="1">SUM(F11:Q11)/12</f>
        <v>0</v>
      </c>
      <c r="S11" s="707"/>
      <c r="T11" s="707"/>
      <c r="U11" s="707"/>
      <c r="V11" s="782">
        <f>SUM(S11:U11)/3</f>
        <v>0</v>
      </c>
      <c r="W11" s="782">
        <f>SUM(R11+V11)/2</f>
        <v>0</v>
      </c>
      <c r="X11" s="778"/>
      <c r="Y11" s="814"/>
      <c r="Z11" s="1036" t="s">
        <v>4360</v>
      </c>
      <c r="AB11" s="781" t="e">
        <f t="shared" si="0"/>
        <v>#DIV/0!</v>
      </c>
    </row>
    <row r="12" spans="1:36" s="784" customFormat="1" ht="18" customHeight="1" x14ac:dyDescent="0.25">
      <c r="A12" s="744">
        <v>4</v>
      </c>
      <c r="B12" s="745"/>
      <c r="C12" s="746">
        <v>2026</v>
      </c>
      <c r="D12" s="685" t="s">
        <v>4305</v>
      </c>
      <c r="E12" s="689" t="s">
        <v>3265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07"/>
      <c r="R12" s="782">
        <f t="shared" si="1"/>
        <v>0</v>
      </c>
      <c r="S12" s="707"/>
      <c r="T12" s="707"/>
      <c r="U12" s="707"/>
      <c r="V12" s="782"/>
      <c r="W12" s="782"/>
      <c r="X12" s="778"/>
      <c r="Y12" s="814"/>
      <c r="Z12" s="1036" t="s">
        <v>4361</v>
      </c>
      <c r="AB12" s="781" t="e">
        <f t="shared" si="0"/>
        <v>#DIV/0!</v>
      </c>
    </row>
    <row r="13" spans="1:36" s="784" customFormat="1" ht="18" customHeight="1" x14ac:dyDescent="0.25">
      <c r="A13" s="744">
        <v>5</v>
      </c>
      <c r="B13" s="745"/>
      <c r="C13" s="746">
        <v>2026</v>
      </c>
      <c r="D13" s="685" t="s">
        <v>3567</v>
      </c>
      <c r="E13" s="689" t="s">
        <v>4306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07"/>
      <c r="R13" s="782">
        <f t="shared" si="1"/>
        <v>0</v>
      </c>
      <c r="S13" s="707"/>
      <c r="T13" s="707"/>
      <c r="U13" s="707"/>
      <c r="V13" s="782"/>
      <c r="W13" s="782"/>
      <c r="X13" s="778"/>
      <c r="Y13" s="814"/>
      <c r="Z13" s="1036" t="s">
        <v>4362</v>
      </c>
      <c r="AB13" s="781" t="e">
        <f t="shared" si="0"/>
        <v>#DIV/0!</v>
      </c>
    </row>
    <row r="14" spans="1:36" s="784" customFormat="1" ht="18" customHeight="1" x14ac:dyDescent="0.25">
      <c r="A14" s="744">
        <v>6</v>
      </c>
      <c r="B14" s="745"/>
      <c r="C14" s="746">
        <v>2026</v>
      </c>
      <c r="D14" s="685" t="s">
        <v>4307</v>
      </c>
      <c r="E14" s="689" t="s">
        <v>4308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82">
        <f t="shared" si="1"/>
        <v>0</v>
      </c>
      <c r="S14" s="707"/>
      <c r="T14" s="707"/>
      <c r="U14" s="707"/>
      <c r="V14" s="782"/>
      <c r="W14" s="782"/>
      <c r="X14" s="778"/>
      <c r="Y14" s="814"/>
      <c r="Z14" s="1036" t="s">
        <v>4363</v>
      </c>
      <c r="AB14" s="781" t="e">
        <f t="shared" si="0"/>
        <v>#DIV/0!</v>
      </c>
    </row>
    <row r="15" spans="1:36" s="784" customFormat="1" ht="18" customHeight="1" x14ac:dyDescent="0.25">
      <c r="A15" s="744">
        <v>7</v>
      </c>
      <c r="B15" s="745"/>
      <c r="C15" s="746">
        <v>2026</v>
      </c>
      <c r="D15" s="685" t="s">
        <v>4309</v>
      </c>
      <c r="E15" s="689" t="s">
        <v>4310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07"/>
      <c r="R15" s="782">
        <f t="shared" si="1"/>
        <v>0</v>
      </c>
      <c r="S15" s="707"/>
      <c r="T15" s="707"/>
      <c r="U15" s="707"/>
      <c r="V15" s="782"/>
      <c r="W15" s="782"/>
      <c r="X15" s="778"/>
      <c r="Y15" s="814"/>
      <c r="Z15" s="1036" t="s">
        <v>4364</v>
      </c>
      <c r="AB15" s="781" t="e">
        <f t="shared" si="0"/>
        <v>#DIV/0!</v>
      </c>
    </row>
    <row r="16" spans="1:36" s="784" customFormat="1" ht="18" customHeight="1" x14ac:dyDescent="0.25">
      <c r="A16" s="744">
        <v>8</v>
      </c>
      <c r="B16" s="745"/>
      <c r="C16" s="746">
        <v>2026</v>
      </c>
      <c r="D16" s="685" t="s">
        <v>4311</v>
      </c>
      <c r="E16" s="689" t="s">
        <v>3314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07"/>
      <c r="R16" s="782">
        <f t="shared" si="1"/>
        <v>0</v>
      </c>
      <c r="S16" s="707"/>
      <c r="T16" s="707"/>
      <c r="U16" s="707"/>
      <c r="V16" s="782"/>
      <c r="W16" s="782"/>
      <c r="X16" s="778"/>
      <c r="Y16" s="814"/>
      <c r="Z16" s="1036" t="s">
        <v>4363</v>
      </c>
      <c r="AB16" s="781" t="e">
        <f t="shared" si="0"/>
        <v>#DIV/0!</v>
      </c>
    </row>
    <row r="17" spans="1:28" s="784" customFormat="1" ht="18" customHeight="1" x14ac:dyDescent="0.25">
      <c r="A17" s="744">
        <v>9</v>
      </c>
      <c r="B17" s="745"/>
      <c r="C17" s="746">
        <v>2026</v>
      </c>
      <c r="D17" s="685" t="s">
        <v>4312</v>
      </c>
      <c r="E17" s="689" t="s">
        <v>4313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82">
        <f t="shared" si="1"/>
        <v>0</v>
      </c>
      <c r="S17" s="707"/>
      <c r="T17" s="707"/>
      <c r="U17" s="707"/>
      <c r="V17" s="782"/>
      <c r="W17" s="782"/>
      <c r="X17" s="778"/>
      <c r="Y17" s="814"/>
      <c r="Z17" s="1036" t="s">
        <v>4365</v>
      </c>
      <c r="AB17" s="781" t="e">
        <f t="shared" si="0"/>
        <v>#DIV/0!</v>
      </c>
    </row>
    <row r="18" spans="1:28" s="784" customFormat="1" ht="18" customHeight="1" x14ac:dyDescent="0.25">
      <c r="A18" s="744">
        <v>10</v>
      </c>
      <c r="B18" s="745"/>
      <c r="C18" s="746">
        <v>2026</v>
      </c>
      <c r="D18" s="685" t="s">
        <v>4314</v>
      </c>
      <c r="E18" s="689" t="s">
        <v>4315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07"/>
      <c r="R18" s="782">
        <f t="shared" si="1"/>
        <v>0</v>
      </c>
      <c r="S18" s="707"/>
      <c r="T18" s="707"/>
      <c r="U18" s="707"/>
      <c r="V18" s="782"/>
      <c r="W18" s="782"/>
      <c r="X18" s="778"/>
      <c r="Y18" s="814"/>
      <c r="Z18" s="1036" t="s">
        <v>2968</v>
      </c>
      <c r="AB18" s="781" t="e">
        <f t="shared" si="0"/>
        <v>#DIV/0!</v>
      </c>
    </row>
    <row r="19" spans="1:28" s="784" customFormat="1" ht="18" customHeight="1" x14ac:dyDescent="0.25">
      <c r="A19" s="744">
        <v>11</v>
      </c>
      <c r="B19" s="745"/>
      <c r="C19" s="746">
        <v>2026</v>
      </c>
      <c r="D19" s="685" t="s">
        <v>4316</v>
      </c>
      <c r="E19" s="689" t="s">
        <v>2435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82">
        <f t="shared" si="1"/>
        <v>0</v>
      </c>
      <c r="S19" s="707"/>
      <c r="T19" s="707"/>
      <c r="U19" s="707"/>
      <c r="V19" s="782"/>
      <c r="W19" s="782"/>
      <c r="X19" s="778"/>
      <c r="Y19" s="814"/>
      <c r="Z19" s="1036" t="s">
        <v>4366</v>
      </c>
      <c r="AB19" s="781" t="e">
        <f t="shared" si="0"/>
        <v>#DIV/0!</v>
      </c>
    </row>
    <row r="20" spans="1:28" s="784" customFormat="1" ht="18" customHeight="1" x14ac:dyDescent="0.25">
      <c r="A20" s="744">
        <v>12</v>
      </c>
      <c r="B20" s="745"/>
      <c r="C20" s="746">
        <v>2026</v>
      </c>
      <c r="D20" s="685" t="s">
        <v>4317</v>
      </c>
      <c r="E20" s="689" t="s">
        <v>3135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82">
        <f t="shared" si="1"/>
        <v>0</v>
      </c>
      <c r="S20" s="707"/>
      <c r="T20" s="707"/>
      <c r="U20" s="707"/>
      <c r="V20" s="782"/>
      <c r="W20" s="782"/>
      <c r="X20" s="778"/>
      <c r="Y20" s="814"/>
      <c r="Z20" s="1036" t="s">
        <v>4363</v>
      </c>
      <c r="AB20" s="781" t="e">
        <f t="shared" si="0"/>
        <v>#DIV/0!</v>
      </c>
    </row>
    <row r="21" spans="1:28" s="784" customFormat="1" ht="18" customHeight="1" x14ac:dyDescent="0.25">
      <c r="A21" s="744">
        <v>13</v>
      </c>
      <c r="B21" s="745"/>
      <c r="C21" s="746">
        <v>2026</v>
      </c>
      <c r="D21" s="685" t="s">
        <v>4318</v>
      </c>
      <c r="E21" s="689" t="s">
        <v>3274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07"/>
      <c r="R21" s="782">
        <f t="shared" si="1"/>
        <v>0</v>
      </c>
      <c r="S21" s="707"/>
      <c r="T21" s="707"/>
      <c r="U21" s="707"/>
      <c r="V21" s="782"/>
      <c r="W21" s="782"/>
      <c r="X21" s="778"/>
      <c r="Y21" s="814"/>
      <c r="Z21" s="1036" t="s">
        <v>4367</v>
      </c>
      <c r="AB21" s="781" t="e">
        <f t="shared" si="0"/>
        <v>#DIV/0!</v>
      </c>
    </row>
    <row r="22" spans="1:28" s="784" customFormat="1" ht="18" customHeight="1" x14ac:dyDescent="0.25">
      <c r="A22" s="744">
        <v>14</v>
      </c>
      <c r="B22" s="745"/>
      <c r="C22" s="746">
        <v>2026</v>
      </c>
      <c r="D22" s="685" t="s">
        <v>3870</v>
      </c>
      <c r="E22" s="689" t="s">
        <v>4319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07"/>
      <c r="R22" s="782">
        <f t="shared" si="1"/>
        <v>0</v>
      </c>
      <c r="S22" s="707"/>
      <c r="T22" s="707"/>
      <c r="U22" s="707"/>
      <c r="V22" s="782"/>
      <c r="W22" s="782"/>
      <c r="X22" s="778"/>
      <c r="Y22" s="814"/>
      <c r="Z22" s="1036" t="s">
        <v>4368</v>
      </c>
      <c r="AB22" s="781" t="e">
        <f t="shared" si="0"/>
        <v>#DIV/0!</v>
      </c>
    </row>
    <row r="23" spans="1:28" s="784" customFormat="1" ht="18" customHeight="1" x14ac:dyDescent="0.25">
      <c r="A23" s="744">
        <v>15</v>
      </c>
      <c r="B23" s="745"/>
      <c r="C23" s="746">
        <v>2026</v>
      </c>
      <c r="D23" s="685" t="s">
        <v>4320</v>
      </c>
      <c r="E23" s="689" t="s">
        <v>4321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07"/>
      <c r="R23" s="782">
        <f t="shared" si="1"/>
        <v>0</v>
      </c>
      <c r="S23" s="707"/>
      <c r="T23" s="707"/>
      <c r="U23" s="707"/>
      <c r="V23" s="782"/>
      <c r="W23" s="782"/>
      <c r="X23" s="778"/>
      <c r="Y23" s="814"/>
      <c r="Z23" s="1036" t="s">
        <v>4369</v>
      </c>
      <c r="AB23" s="781" t="e">
        <f t="shared" si="0"/>
        <v>#DIV/0!</v>
      </c>
    </row>
    <row r="24" spans="1:28" s="784" customFormat="1" ht="18" customHeight="1" x14ac:dyDescent="0.25">
      <c r="A24" s="744">
        <v>16</v>
      </c>
      <c r="B24" s="745"/>
      <c r="C24" s="746">
        <v>2026</v>
      </c>
      <c r="D24" s="685" t="s">
        <v>2416</v>
      </c>
      <c r="E24" s="689" t="s">
        <v>4322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07"/>
      <c r="R24" s="782">
        <f t="shared" si="1"/>
        <v>0</v>
      </c>
      <c r="S24" s="707"/>
      <c r="T24" s="707"/>
      <c r="U24" s="707"/>
      <c r="V24" s="782"/>
      <c r="W24" s="782"/>
      <c r="X24" s="778"/>
      <c r="Y24" s="814"/>
      <c r="Z24" s="1036" t="s">
        <v>4370</v>
      </c>
      <c r="AB24" s="781" t="e">
        <f t="shared" si="0"/>
        <v>#DIV/0!</v>
      </c>
    </row>
    <row r="25" spans="1:28" s="784" customFormat="1" ht="18" customHeight="1" x14ac:dyDescent="0.25">
      <c r="A25" s="744">
        <v>17</v>
      </c>
      <c r="B25" s="745"/>
      <c r="C25" s="746">
        <v>2026</v>
      </c>
      <c r="D25" s="685" t="s">
        <v>4323</v>
      </c>
      <c r="E25" s="689" t="s">
        <v>2400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07"/>
      <c r="R25" s="782">
        <f t="shared" si="1"/>
        <v>0</v>
      </c>
      <c r="S25" s="707"/>
      <c r="T25" s="707"/>
      <c r="U25" s="707"/>
      <c r="V25" s="782"/>
      <c r="W25" s="782"/>
      <c r="X25" s="778"/>
      <c r="Y25" s="814"/>
      <c r="Z25" s="1036" t="s">
        <v>4371</v>
      </c>
      <c r="AB25" s="781" t="e">
        <f t="shared" si="0"/>
        <v>#DIV/0!</v>
      </c>
    </row>
    <row r="26" spans="1:28" s="784" customFormat="1" ht="18" customHeight="1" x14ac:dyDescent="0.25">
      <c r="A26" s="744">
        <v>18</v>
      </c>
      <c r="B26" s="745"/>
      <c r="C26" s="746">
        <v>2026</v>
      </c>
      <c r="D26" s="685" t="s">
        <v>4253</v>
      </c>
      <c r="E26" s="689" t="s">
        <v>4324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07"/>
      <c r="R26" s="782">
        <f t="shared" si="1"/>
        <v>0</v>
      </c>
      <c r="S26" s="707"/>
      <c r="T26" s="707"/>
      <c r="U26" s="707"/>
      <c r="V26" s="782"/>
      <c r="W26" s="782"/>
      <c r="X26" s="778"/>
      <c r="Y26" s="814"/>
      <c r="Z26" s="1036" t="s">
        <v>4372</v>
      </c>
      <c r="AB26" s="781" t="e">
        <f t="shared" si="0"/>
        <v>#DIV/0!</v>
      </c>
    </row>
    <row r="27" spans="1:28" s="784" customFormat="1" ht="18" customHeight="1" x14ac:dyDescent="0.25">
      <c r="A27" s="744">
        <v>19</v>
      </c>
      <c r="B27" s="745"/>
      <c r="C27" s="746">
        <v>2026</v>
      </c>
      <c r="D27" s="685" t="s">
        <v>4325</v>
      </c>
      <c r="E27" s="689" t="s">
        <v>3180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07"/>
      <c r="R27" s="782">
        <f t="shared" si="1"/>
        <v>0</v>
      </c>
      <c r="S27" s="707"/>
      <c r="T27" s="707"/>
      <c r="U27" s="707"/>
      <c r="V27" s="782"/>
      <c r="W27" s="782"/>
      <c r="X27" s="778"/>
      <c r="Y27" s="814"/>
      <c r="Z27" s="1036" t="s">
        <v>4373</v>
      </c>
      <c r="AB27" s="781" t="e">
        <f t="shared" si="0"/>
        <v>#DIV/0!</v>
      </c>
    </row>
    <row r="28" spans="1:28" s="784" customFormat="1" ht="18" customHeight="1" x14ac:dyDescent="0.25">
      <c r="A28" s="744">
        <v>20</v>
      </c>
      <c r="B28" s="745"/>
      <c r="C28" s="746">
        <v>2026</v>
      </c>
      <c r="D28" s="685" t="s">
        <v>4326</v>
      </c>
      <c r="E28" s="689" t="s">
        <v>3251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07"/>
      <c r="R28" s="782">
        <f t="shared" si="1"/>
        <v>0</v>
      </c>
      <c r="S28" s="707"/>
      <c r="T28" s="707"/>
      <c r="U28" s="707"/>
      <c r="V28" s="782"/>
      <c r="W28" s="782"/>
      <c r="X28" s="778"/>
      <c r="Y28" s="814"/>
      <c r="Z28" s="1036" t="s">
        <v>4374</v>
      </c>
      <c r="AB28" s="781" t="e">
        <f t="shared" si="0"/>
        <v>#DIV/0!</v>
      </c>
    </row>
    <row r="29" spans="1:28" s="784" customFormat="1" ht="18" customHeight="1" x14ac:dyDescent="0.25">
      <c r="A29" s="744">
        <v>21</v>
      </c>
      <c r="B29" s="745"/>
      <c r="C29" s="746">
        <v>2026</v>
      </c>
      <c r="D29" s="685" t="s">
        <v>4327</v>
      </c>
      <c r="E29" s="689" t="s">
        <v>2880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07"/>
      <c r="R29" s="782">
        <f t="shared" si="1"/>
        <v>0</v>
      </c>
      <c r="S29" s="707"/>
      <c r="T29" s="707"/>
      <c r="U29" s="707"/>
      <c r="V29" s="782"/>
      <c r="W29" s="782"/>
      <c r="X29" s="778"/>
      <c r="Y29" s="814"/>
      <c r="Z29" s="1036" t="s">
        <v>4375</v>
      </c>
      <c r="AB29" s="781" t="e">
        <f t="shared" si="0"/>
        <v>#DIV/0!</v>
      </c>
    </row>
    <row r="30" spans="1:28" s="784" customFormat="1" ht="18" customHeight="1" x14ac:dyDescent="0.25">
      <c r="A30" s="744">
        <v>22</v>
      </c>
      <c r="B30" s="745"/>
      <c r="C30" s="746">
        <v>2026</v>
      </c>
      <c r="D30" s="685" t="s">
        <v>2364</v>
      </c>
      <c r="E30" s="689" t="s">
        <v>4328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07"/>
      <c r="R30" s="782">
        <f t="shared" si="1"/>
        <v>0</v>
      </c>
      <c r="S30" s="707"/>
      <c r="T30" s="707"/>
      <c r="U30" s="707"/>
      <c r="V30" s="782"/>
      <c r="W30" s="782"/>
      <c r="X30" s="778"/>
      <c r="Y30" s="814"/>
      <c r="Z30" s="1036" t="s">
        <v>4376</v>
      </c>
      <c r="AB30" s="781" t="e">
        <f t="shared" si="0"/>
        <v>#DIV/0!</v>
      </c>
    </row>
    <row r="31" spans="1:28" s="784" customFormat="1" ht="18" customHeight="1" x14ac:dyDescent="0.25">
      <c r="A31" s="744">
        <v>23</v>
      </c>
      <c r="B31" s="745"/>
      <c r="C31" s="746">
        <v>2026</v>
      </c>
      <c r="D31" s="685" t="s">
        <v>3697</v>
      </c>
      <c r="E31" s="689" t="s">
        <v>4279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07"/>
      <c r="R31" s="782">
        <f t="shared" si="1"/>
        <v>0</v>
      </c>
      <c r="S31" s="707"/>
      <c r="T31" s="707"/>
      <c r="U31" s="707"/>
      <c r="V31" s="782"/>
      <c r="W31" s="782"/>
      <c r="X31" s="778"/>
      <c r="Y31" s="814"/>
      <c r="Z31" s="1036" t="s">
        <v>4377</v>
      </c>
      <c r="AB31" s="781" t="e">
        <f t="shared" si="0"/>
        <v>#DIV/0!</v>
      </c>
    </row>
    <row r="32" spans="1:28" s="784" customFormat="1" ht="18" customHeight="1" x14ac:dyDescent="0.25">
      <c r="A32" s="744">
        <v>24</v>
      </c>
      <c r="B32" s="745"/>
      <c r="C32" s="746">
        <v>2026</v>
      </c>
      <c r="D32" s="685" t="s">
        <v>4329</v>
      </c>
      <c r="E32" s="689" t="s">
        <v>4330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07"/>
      <c r="R32" s="782">
        <f t="shared" si="1"/>
        <v>0</v>
      </c>
      <c r="S32" s="707"/>
      <c r="T32" s="707"/>
      <c r="U32" s="707"/>
      <c r="V32" s="782"/>
      <c r="W32" s="782"/>
      <c r="X32" s="778"/>
      <c r="Y32" s="814"/>
      <c r="Z32" s="1036" t="s">
        <v>4378</v>
      </c>
      <c r="AB32" s="781" t="e">
        <f t="shared" si="0"/>
        <v>#DIV/0!</v>
      </c>
    </row>
    <row r="33" spans="1:28" s="784" customFormat="1" ht="18" customHeight="1" x14ac:dyDescent="0.25">
      <c r="A33" s="744">
        <v>25</v>
      </c>
      <c r="B33" s="745"/>
      <c r="C33" s="746">
        <v>2026</v>
      </c>
      <c r="D33" s="685" t="s">
        <v>4331</v>
      </c>
      <c r="E33" s="689" t="s">
        <v>3263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82">
        <f t="shared" si="1"/>
        <v>0</v>
      </c>
      <c r="S33" s="707"/>
      <c r="T33" s="707"/>
      <c r="U33" s="707"/>
      <c r="V33" s="782"/>
      <c r="W33" s="782"/>
      <c r="X33" s="778"/>
      <c r="Y33" s="814"/>
      <c r="Z33" s="1036" t="s">
        <v>4379</v>
      </c>
      <c r="AB33" s="781" t="e">
        <f t="shared" si="0"/>
        <v>#DIV/0!</v>
      </c>
    </row>
    <row r="34" spans="1:28" s="784" customFormat="1" ht="18" customHeight="1" x14ac:dyDescent="0.25">
      <c r="A34" s="744">
        <v>26</v>
      </c>
      <c r="B34" s="745"/>
      <c r="C34" s="746">
        <v>2026</v>
      </c>
      <c r="D34" s="685" t="s">
        <v>4332</v>
      </c>
      <c r="E34" s="689" t="s">
        <v>2904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82">
        <f t="shared" si="1"/>
        <v>0</v>
      </c>
      <c r="S34" s="707"/>
      <c r="T34" s="707"/>
      <c r="U34" s="707"/>
      <c r="V34" s="782"/>
      <c r="W34" s="782"/>
      <c r="X34" s="778"/>
      <c r="Y34" s="814"/>
      <c r="Z34" s="1036" t="s">
        <v>4380</v>
      </c>
      <c r="AB34" s="781" t="e">
        <f t="shared" si="0"/>
        <v>#DIV/0!</v>
      </c>
    </row>
    <row r="35" spans="1:28" s="784" customFormat="1" ht="18" customHeight="1" x14ac:dyDescent="0.25">
      <c r="A35" s="744">
        <v>27</v>
      </c>
      <c r="B35" s="745"/>
      <c r="C35" s="746">
        <v>2026</v>
      </c>
      <c r="D35" s="685" t="s">
        <v>4333</v>
      </c>
      <c r="E35" s="689" t="s">
        <v>4334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82">
        <f t="shared" si="1"/>
        <v>0</v>
      </c>
      <c r="S35" s="707"/>
      <c r="T35" s="707"/>
      <c r="U35" s="707"/>
      <c r="V35" s="782"/>
      <c r="W35" s="782"/>
      <c r="X35" s="778"/>
      <c r="Y35" s="814"/>
      <c r="Z35" s="1036" t="s">
        <v>4381</v>
      </c>
      <c r="AB35" s="781" t="e">
        <f t="shared" si="0"/>
        <v>#DIV/0!</v>
      </c>
    </row>
    <row r="36" spans="1:28" s="784" customFormat="1" ht="18" customHeight="1" x14ac:dyDescent="0.25">
      <c r="A36" s="744">
        <v>28</v>
      </c>
      <c r="B36" s="745"/>
      <c r="C36" s="746">
        <v>2026</v>
      </c>
      <c r="D36" s="685" t="s">
        <v>4335</v>
      </c>
      <c r="E36" s="689" t="s">
        <v>3389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7"/>
      <c r="Q36" s="707"/>
      <c r="R36" s="782">
        <f t="shared" si="1"/>
        <v>0</v>
      </c>
      <c r="S36" s="707"/>
      <c r="T36" s="707"/>
      <c r="U36" s="707"/>
      <c r="V36" s="782"/>
      <c r="W36" s="782"/>
      <c r="X36" s="778"/>
      <c r="Y36" s="814"/>
      <c r="Z36" s="1036" t="s">
        <v>4382</v>
      </c>
      <c r="AB36" s="781" t="e">
        <f t="shared" si="0"/>
        <v>#DIV/0!</v>
      </c>
    </row>
    <row r="37" spans="1:28" s="784" customFormat="1" ht="18" customHeight="1" x14ac:dyDescent="0.25">
      <c r="A37" s="744">
        <v>29</v>
      </c>
      <c r="B37" s="745"/>
      <c r="C37" s="746">
        <v>2026</v>
      </c>
      <c r="D37" s="685" t="s">
        <v>4336</v>
      </c>
      <c r="E37" s="689" t="s">
        <v>4337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7"/>
      <c r="Q37" s="707"/>
      <c r="R37" s="782">
        <f t="shared" si="1"/>
        <v>0</v>
      </c>
      <c r="S37" s="707"/>
      <c r="T37" s="707"/>
      <c r="U37" s="707"/>
      <c r="V37" s="782"/>
      <c r="W37" s="782"/>
      <c r="X37" s="778"/>
      <c r="Y37" s="814"/>
      <c r="Z37" s="1036" t="s">
        <v>4383</v>
      </c>
      <c r="AB37" s="781" t="e">
        <f t="shared" si="0"/>
        <v>#DIV/0!</v>
      </c>
    </row>
    <row r="38" spans="1:28" s="784" customFormat="1" ht="18" customHeight="1" x14ac:dyDescent="0.25">
      <c r="A38" s="744">
        <v>30</v>
      </c>
      <c r="B38" s="745"/>
      <c r="C38" s="746">
        <v>2026</v>
      </c>
      <c r="D38" s="685" t="s">
        <v>4338</v>
      </c>
      <c r="E38" s="689" t="s">
        <v>3334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7"/>
      <c r="Q38" s="707"/>
      <c r="R38" s="782">
        <f t="shared" si="1"/>
        <v>0</v>
      </c>
      <c r="S38" s="707"/>
      <c r="T38" s="707"/>
      <c r="U38" s="707"/>
      <c r="V38" s="782"/>
      <c r="W38" s="782"/>
      <c r="X38" s="778"/>
      <c r="Y38" s="814"/>
      <c r="Z38" s="1036" t="s">
        <v>4384</v>
      </c>
      <c r="AB38" s="781" t="e">
        <f t="shared" si="0"/>
        <v>#DIV/0!</v>
      </c>
    </row>
    <row r="39" spans="1:28" s="784" customFormat="1" ht="18" customHeight="1" x14ac:dyDescent="0.25">
      <c r="A39" s="744">
        <v>31</v>
      </c>
      <c r="B39" s="745"/>
      <c r="C39" s="746">
        <v>2026</v>
      </c>
      <c r="D39" s="685" t="s">
        <v>4339</v>
      </c>
      <c r="E39" s="689" t="s">
        <v>3714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82">
        <f t="shared" si="1"/>
        <v>0</v>
      </c>
      <c r="S39" s="707"/>
      <c r="T39" s="707"/>
      <c r="U39" s="707"/>
      <c r="V39" s="782"/>
      <c r="W39" s="782"/>
      <c r="X39" s="778"/>
      <c r="Y39" s="814"/>
      <c r="Z39" s="1036" t="s">
        <v>3808</v>
      </c>
      <c r="AB39" s="781" t="e">
        <f t="shared" si="0"/>
        <v>#DIV/0!</v>
      </c>
    </row>
    <row r="40" spans="1:28" s="784" customFormat="1" ht="18" customHeight="1" x14ac:dyDescent="0.25">
      <c r="A40" s="744">
        <v>32</v>
      </c>
      <c r="B40" s="745"/>
      <c r="C40" s="746">
        <v>2026</v>
      </c>
      <c r="D40" s="685" t="s">
        <v>4340</v>
      </c>
      <c r="E40" s="689" t="s">
        <v>4032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07"/>
      <c r="R40" s="782">
        <f t="shared" si="1"/>
        <v>0</v>
      </c>
      <c r="S40" s="707"/>
      <c r="T40" s="707"/>
      <c r="U40" s="707"/>
      <c r="V40" s="782"/>
      <c r="W40" s="782"/>
      <c r="X40" s="778"/>
      <c r="Y40" s="814"/>
      <c r="Z40" s="1036" t="s">
        <v>3808</v>
      </c>
      <c r="AB40" s="781" t="e">
        <f t="shared" si="0"/>
        <v>#DIV/0!</v>
      </c>
    </row>
    <row r="41" spans="1:28" s="784" customFormat="1" ht="18" customHeight="1" x14ac:dyDescent="0.25">
      <c r="A41" s="744">
        <v>33</v>
      </c>
      <c r="B41" s="745"/>
      <c r="C41" s="746">
        <v>2026</v>
      </c>
      <c r="D41" s="685" t="s">
        <v>4341</v>
      </c>
      <c r="E41" s="689" t="s">
        <v>4342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07"/>
      <c r="R41" s="782">
        <f t="shared" si="1"/>
        <v>0</v>
      </c>
      <c r="S41" s="707"/>
      <c r="T41" s="707"/>
      <c r="U41" s="707"/>
      <c r="V41" s="782"/>
      <c r="W41" s="782"/>
      <c r="X41" s="778"/>
      <c r="Y41" s="814"/>
      <c r="Z41" s="1036" t="s">
        <v>3808</v>
      </c>
      <c r="AB41" s="781" t="e">
        <f t="shared" si="0"/>
        <v>#DIV/0!</v>
      </c>
    </row>
    <row r="42" spans="1:28" s="784" customFormat="1" ht="18" customHeight="1" x14ac:dyDescent="0.25">
      <c r="A42" s="744">
        <v>34</v>
      </c>
      <c r="B42" s="745"/>
      <c r="C42" s="746">
        <v>2026</v>
      </c>
      <c r="D42" s="685" t="s">
        <v>4343</v>
      </c>
      <c r="E42" s="689" t="s">
        <v>4344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07"/>
      <c r="R42" s="782">
        <f t="shared" si="1"/>
        <v>0</v>
      </c>
      <c r="S42" s="707"/>
      <c r="T42" s="707"/>
      <c r="U42" s="707"/>
      <c r="V42" s="782"/>
      <c r="W42" s="782"/>
      <c r="X42" s="778"/>
      <c r="Y42" s="814"/>
      <c r="Z42" s="1036" t="s">
        <v>4385</v>
      </c>
      <c r="AB42" s="781" t="e">
        <f t="shared" si="0"/>
        <v>#DIV/0!</v>
      </c>
    </row>
    <row r="43" spans="1:28" s="784" customFormat="1" ht="18" customHeight="1" x14ac:dyDescent="0.25">
      <c r="A43" s="744">
        <v>35</v>
      </c>
      <c r="B43" s="745"/>
      <c r="C43" s="746">
        <v>2026</v>
      </c>
      <c r="D43" s="685" t="s">
        <v>4345</v>
      </c>
      <c r="E43" s="689" t="s">
        <v>4346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07"/>
      <c r="R43" s="782">
        <f t="shared" si="1"/>
        <v>0</v>
      </c>
      <c r="S43" s="707"/>
      <c r="T43" s="707"/>
      <c r="U43" s="707"/>
      <c r="V43" s="782"/>
      <c r="W43" s="782"/>
      <c r="X43" s="778"/>
      <c r="Y43" s="814"/>
      <c r="Z43" s="1036" t="s">
        <v>4386</v>
      </c>
      <c r="AB43" s="781" t="e">
        <f t="shared" si="0"/>
        <v>#DIV/0!</v>
      </c>
    </row>
    <row r="44" spans="1:28" s="784" customFormat="1" ht="18" customHeight="1" x14ac:dyDescent="0.25">
      <c r="A44" s="744">
        <v>36</v>
      </c>
      <c r="B44" s="745"/>
      <c r="C44" s="746">
        <v>2026</v>
      </c>
      <c r="D44" s="685" t="s">
        <v>4347</v>
      </c>
      <c r="E44" s="689" t="s">
        <v>4348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82">
        <f t="shared" si="1"/>
        <v>0</v>
      </c>
      <c r="S44" s="707"/>
      <c r="T44" s="707"/>
      <c r="U44" s="707"/>
      <c r="V44" s="782">
        <f>SUM(S44:U44)/3</f>
        <v>0</v>
      </c>
      <c r="W44" s="782">
        <f>SUM(R44+V44)/2</f>
        <v>0</v>
      </c>
      <c r="X44" s="778"/>
      <c r="Y44" s="814"/>
      <c r="Z44" s="1036" t="s">
        <v>4387</v>
      </c>
      <c r="AB44" s="781" t="e">
        <f t="shared" si="0"/>
        <v>#DIV/0!</v>
      </c>
    </row>
    <row r="45" spans="1:28" s="784" customFormat="1" ht="18" customHeight="1" x14ac:dyDescent="0.25">
      <c r="A45" s="744">
        <v>37</v>
      </c>
      <c r="B45" s="745"/>
      <c r="C45" s="746">
        <v>2026</v>
      </c>
      <c r="D45" s="685" t="s">
        <v>4349</v>
      </c>
      <c r="E45" s="689" t="s">
        <v>4350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07"/>
      <c r="R45" s="782">
        <f t="shared" si="1"/>
        <v>0</v>
      </c>
      <c r="S45" s="707"/>
      <c r="T45" s="707"/>
      <c r="U45" s="707"/>
      <c r="V45" s="782"/>
      <c r="W45" s="782"/>
      <c r="X45" s="778"/>
      <c r="Y45" s="814"/>
      <c r="Z45" s="1036" t="s">
        <v>2484</v>
      </c>
      <c r="AB45" s="781" t="e">
        <f t="shared" si="0"/>
        <v>#DIV/0!</v>
      </c>
    </row>
    <row r="46" spans="1:28" s="784" customFormat="1" ht="18" customHeight="1" x14ac:dyDescent="0.25">
      <c r="A46" s="744">
        <v>38</v>
      </c>
      <c r="B46" s="745"/>
      <c r="C46" s="746">
        <v>2026</v>
      </c>
      <c r="D46" s="685" t="s">
        <v>4351</v>
      </c>
      <c r="E46" s="689" t="s">
        <v>2840</v>
      </c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07"/>
      <c r="R46" s="782">
        <f t="shared" si="1"/>
        <v>0</v>
      </c>
      <c r="S46" s="707"/>
      <c r="T46" s="707"/>
      <c r="U46" s="707"/>
      <c r="V46" s="782">
        <f t="shared" ref="V46:V50" si="2">SUM(S46:U46)/3</f>
        <v>0</v>
      </c>
      <c r="W46" s="782">
        <f t="shared" ref="W46:W50" si="3">SUM(R46+V46)/2</f>
        <v>0</v>
      </c>
      <c r="X46" s="778"/>
      <c r="Y46" s="814"/>
      <c r="Z46" s="1036" t="s">
        <v>4388</v>
      </c>
      <c r="AB46" s="781" t="e">
        <f t="shared" si="0"/>
        <v>#DIV/0!</v>
      </c>
    </row>
    <row r="47" spans="1:28" s="784" customFormat="1" ht="18" customHeight="1" x14ac:dyDescent="0.25">
      <c r="A47" s="744">
        <v>39</v>
      </c>
      <c r="B47" s="745"/>
      <c r="C47" s="746">
        <v>2026</v>
      </c>
      <c r="D47" s="685" t="s">
        <v>4352</v>
      </c>
      <c r="E47" s="689" t="s">
        <v>4353</v>
      </c>
      <c r="F47" s="707"/>
      <c r="G47" s="707"/>
      <c r="H47" s="707"/>
      <c r="I47" s="707"/>
      <c r="J47" s="707"/>
      <c r="K47" s="707"/>
      <c r="L47" s="707"/>
      <c r="M47" s="707"/>
      <c r="N47" s="707"/>
      <c r="O47" s="707"/>
      <c r="P47" s="707"/>
      <c r="Q47" s="707"/>
      <c r="R47" s="782">
        <f t="shared" si="1"/>
        <v>0</v>
      </c>
      <c r="S47" s="707"/>
      <c r="T47" s="707"/>
      <c r="U47" s="707"/>
      <c r="V47" s="782">
        <f t="shared" si="2"/>
        <v>0</v>
      </c>
      <c r="W47" s="782">
        <f t="shared" si="3"/>
        <v>0</v>
      </c>
      <c r="X47" s="778"/>
      <c r="Y47" s="814"/>
      <c r="Z47" s="1036" t="s">
        <v>4389</v>
      </c>
      <c r="AB47" s="781" t="e">
        <f t="shared" si="0"/>
        <v>#DIV/0!</v>
      </c>
    </row>
    <row r="48" spans="1:28" s="784" customFormat="1" ht="18" customHeight="1" x14ac:dyDescent="0.25">
      <c r="A48" s="744">
        <v>40</v>
      </c>
      <c r="B48" s="745"/>
      <c r="C48" s="746">
        <v>2026</v>
      </c>
      <c r="D48" s="685" t="s">
        <v>4354</v>
      </c>
      <c r="E48" s="689" t="s">
        <v>4355</v>
      </c>
      <c r="F48" s="707"/>
      <c r="G48" s="707"/>
      <c r="H48" s="707"/>
      <c r="I48" s="707"/>
      <c r="J48" s="707"/>
      <c r="K48" s="707"/>
      <c r="L48" s="707"/>
      <c r="M48" s="707"/>
      <c r="N48" s="707"/>
      <c r="O48" s="707"/>
      <c r="P48" s="707"/>
      <c r="Q48" s="707"/>
      <c r="R48" s="782">
        <f t="shared" si="1"/>
        <v>0</v>
      </c>
      <c r="S48" s="707"/>
      <c r="T48" s="707"/>
      <c r="U48" s="707"/>
      <c r="V48" s="782">
        <f t="shared" si="2"/>
        <v>0</v>
      </c>
      <c r="W48" s="782">
        <f t="shared" si="3"/>
        <v>0</v>
      </c>
      <c r="X48" s="778"/>
      <c r="Y48" s="814"/>
      <c r="Z48" s="1036" t="s">
        <v>4390</v>
      </c>
      <c r="AB48" s="781" t="e">
        <f t="shared" si="0"/>
        <v>#DIV/0!</v>
      </c>
    </row>
    <row r="49" spans="1:28" s="784" customFormat="1" ht="18" customHeight="1" x14ac:dyDescent="0.25">
      <c r="A49" s="744">
        <v>41</v>
      </c>
      <c r="B49" s="745"/>
      <c r="C49" s="746">
        <v>2026</v>
      </c>
      <c r="D49" s="685" t="s">
        <v>4356</v>
      </c>
      <c r="E49" s="689" t="s">
        <v>4020</v>
      </c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82">
        <f t="shared" si="1"/>
        <v>0</v>
      </c>
      <c r="S49" s="707"/>
      <c r="T49" s="707"/>
      <c r="U49" s="707"/>
      <c r="V49" s="782">
        <f t="shared" si="2"/>
        <v>0</v>
      </c>
      <c r="W49" s="782">
        <f t="shared" si="3"/>
        <v>0</v>
      </c>
      <c r="X49" s="778"/>
      <c r="Y49" s="814"/>
      <c r="Z49" s="1036" t="s">
        <v>4391</v>
      </c>
      <c r="AB49" s="781" t="e">
        <f t="shared" si="0"/>
        <v>#DIV/0!</v>
      </c>
    </row>
    <row r="50" spans="1:28" s="784" customFormat="1" ht="18" customHeight="1" x14ac:dyDescent="0.25">
      <c r="A50" s="744">
        <v>42</v>
      </c>
      <c r="B50" s="745"/>
      <c r="C50" s="746">
        <v>2026</v>
      </c>
      <c r="D50" s="685" t="s">
        <v>4357</v>
      </c>
      <c r="E50" s="689" t="s">
        <v>3708</v>
      </c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07"/>
      <c r="R50" s="782">
        <f t="shared" si="1"/>
        <v>0</v>
      </c>
      <c r="S50" s="707"/>
      <c r="T50" s="707"/>
      <c r="U50" s="707"/>
      <c r="V50" s="782">
        <f t="shared" si="2"/>
        <v>0</v>
      </c>
      <c r="W50" s="782">
        <f t="shared" si="3"/>
        <v>0</v>
      </c>
      <c r="X50" s="778"/>
      <c r="Y50" s="814"/>
      <c r="Z50" s="1036" t="s">
        <v>4392</v>
      </c>
      <c r="AB50" s="781" t="e">
        <f t="shared" si="0"/>
        <v>#DIV/0!</v>
      </c>
    </row>
    <row r="51" spans="1:28" s="796" customFormat="1" ht="13.5" customHeight="1" thickBot="1" x14ac:dyDescent="0.35">
      <c r="A51" s="836"/>
      <c r="B51" s="837"/>
      <c r="C51" s="770"/>
      <c r="D51" s="838"/>
      <c r="E51" s="837"/>
      <c r="F51" s="837"/>
      <c r="G51" s="837"/>
      <c r="H51" s="837"/>
      <c r="I51" s="837"/>
      <c r="J51" s="837"/>
      <c r="K51" s="837"/>
      <c r="L51" s="837"/>
      <c r="M51" s="837"/>
      <c r="N51" s="837"/>
      <c r="O51" s="837"/>
      <c r="P51" s="837"/>
      <c r="Q51" s="837"/>
      <c r="R51" s="845"/>
      <c r="S51" s="824"/>
      <c r="T51" s="824"/>
      <c r="U51" s="824"/>
      <c r="V51" s="837"/>
      <c r="W51" s="837"/>
      <c r="X51" s="837"/>
      <c r="Y51" s="846"/>
      <c r="Z51" s="847"/>
    </row>
    <row r="52" spans="1:28" s="796" customFormat="1" ht="19.5" thickTop="1" x14ac:dyDescent="0.3">
      <c r="A52" s="797"/>
      <c r="B52" s="797"/>
      <c r="C52" s="797"/>
      <c r="E52" s="797"/>
      <c r="F52" s="797"/>
      <c r="G52" s="797"/>
      <c r="H52" s="797"/>
      <c r="I52" s="797"/>
      <c r="J52" s="797"/>
      <c r="K52" s="797"/>
      <c r="L52" s="797"/>
      <c r="M52" s="797"/>
      <c r="N52" s="797"/>
      <c r="O52" s="797"/>
      <c r="P52" s="797"/>
      <c r="Q52" s="797"/>
      <c r="R52" s="803"/>
      <c r="S52" s="797"/>
      <c r="T52" s="797"/>
      <c r="U52" s="797"/>
      <c r="V52" s="797"/>
      <c r="W52" s="797"/>
      <c r="X52" s="797"/>
      <c r="Y52" s="799"/>
      <c r="Z52" s="797"/>
    </row>
    <row r="53" spans="1:28" s="796" customFormat="1" x14ac:dyDescent="0.3">
      <c r="A53" s="797"/>
      <c r="B53" s="797"/>
      <c r="C53" s="797"/>
      <c r="E53" s="797"/>
      <c r="F53" s="797"/>
      <c r="G53" s="797"/>
      <c r="H53" s="797"/>
      <c r="I53" s="797"/>
      <c r="J53" s="797"/>
      <c r="K53" s="797"/>
      <c r="L53" s="797"/>
      <c r="M53" s="797"/>
      <c r="N53" s="797"/>
      <c r="O53" s="797"/>
      <c r="P53" s="797"/>
      <c r="Q53" s="797"/>
      <c r="R53" s="1071"/>
      <c r="S53" s="1071"/>
      <c r="T53" s="1071"/>
      <c r="U53" s="1071"/>
      <c r="V53" s="1071"/>
      <c r="W53" s="1071"/>
      <c r="X53" s="1071"/>
      <c r="Y53" s="1071"/>
      <c r="Z53" s="1071"/>
    </row>
    <row r="54" spans="1:28" s="796" customFormat="1" x14ac:dyDescent="0.3">
      <c r="A54" s="797"/>
      <c r="B54" s="797"/>
      <c r="C54" s="797"/>
      <c r="E54" s="797"/>
      <c r="F54" s="797"/>
      <c r="G54" s="797"/>
      <c r="H54" s="797"/>
      <c r="I54" s="797"/>
      <c r="J54" s="797"/>
      <c r="K54" s="797"/>
      <c r="L54" s="797"/>
      <c r="M54" s="797"/>
      <c r="N54" s="797"/>
      <c r="O54" s="797"/>
      <c r="P54" s="797"/>
      <c r="Q54" s="797"/>
      <c r="R54" s="1071"/>
      <c r="S54" s="1071"/>
      <c r="T54" s="1071"/>
      <c r="U54" s="797"/>
      <c r="V54" s="797"/>
      <c r="W54" s="797"/>
      <c r="X54" s="797"/>
      <c r="Y54" s="799"/>
      <c r="Z54" s="797"/>
    </row>
    <row r="55" spans="1:28" s="796" customFormat="1" x14ac:dyDescent="0.3">
      <c r="A55" s="797"/>
      <c r="B55" s="797"/>
      <c r="C55" s="797"/>
      <c r="E55" s="797"/>
      <c r="F55" s="797"/>
      <c r="G55" s="797"/>
      <c r="H55" s="797"/>
      <c r="I55" s="797"/>
      <c r="J55" s="797"/>
      <c r="K55" s="797"/>
      <c r="L55" s="797"/>
      <c r="M55" s="797"/>
      <c r="N55" s="797"/>
      <c r="O55" s="797"/>
      <c r="P55" s="797"/>
      <c r="Q55" s="797"/>
      <c r="R55" s="800"/>
      <c r="S55" s="780"/>
      <c r="T55" s="780"/>
      <c r="U55" s="797"/>
      <c r="V55" s="797"/>
      <c r="W55" s="797"/>
      <c r="X55" s="797"/>
      <c r="Y55" s="799"/>
      <c r="Z55" s="797"/>
    </row>
    <row r="56" spans="1:28" s="796" customFormat="1" x14ac:dyDescent="0.3">
      <c r="A56" s="797"/>
      <c r="B56" s="797"/>
      <c r="C56" s="797"/>
      <c r="E56" s="797"/>
      <c r="F56" s="797"/>
      <c r="G56" s="797"/>
      <c r="H56" s="797"/>
      <c r="I56" s="797"/>
      <c r="J56" s="797"/>
      <c r="K56" s="797"/>
      <c r="L56" s="797"/>
      <c r="M56" s="797"/>
      <c r="N56" s="797"/>
      <c r="O56" s="797"/>
      <c r="P56" s="797"/>
      <c r="Q56" s="797"/>
      <c r="R56" s="800"/>
      <c r="S56" s="780"/>
      <c r="T56" s="780"/>
      <c r="U56" s="797"/>
      <c r="V56" s="797"/>
      <c r="W56" s="797"/>
      <c r="X56" s="797"/>
      <c r="Y56" s="799"/>
      <c r="Z56" s="797"/>
    </row>
    <row r="57" spans="1:28" s="796" customFormat="1" x14ac:dyDescent="0.3">
      <c r="A57" s="797"/>
      <c r="B57" s="797"/>
      <c r="C57" s="797"/>
      <c r="E57" s="797"/>
      <c r="F57" s="797"/>
      <c r="G57" s="797"/>
      <c r="H57" s="797"/>
      <c r="I57" s="797"/>
      <c r="J57" s="797"/>
      <c r="K57" s="797"/>
      <c r="L57" s="797"/>
      <c r="M57" s="797"/>
      <c r="N57" s="797"/>
      <c r="O57" s="797"/>
      <c r="P57" s="797"/>
      <c r="Q57" s="797"/>
      <c r="R57" s="1072"/>
      <c r="S57" s="1072"/>
      <c r="T57" s="1072"/>
      <c r="U57" s="797"/>
      <c r="V57" s="797"/>
      <c r="W57" s="797"/>
      <c r="X57" s="797"/>
      <c r="Y57" s="799"/>
      <c r="Z57" s="797"/>
    </row>
    <row r="58" spans="1:28" s="796" customFormat="1" x14ac:dyDescent="0.3">
      <c r="A58" s="797"/>
      <c r="B58" s="797"/>
      <c r="C58" s="797"/>
      <c r="E58" s="797"/>
      <c r="F58" s="797"/>
      <c r="G58" s="797"/>
      <c r="H58" s="797"/>
      <c r="I58" s="797"/>
      <c r="J58" s="797"/>
      <c r="K58" s="797"/>
      <c r="L58" s="797"/>
      <c r="M58" s="797"/>
      <c r="N58" s="797"/>
      <c r="O58" s="797"/>
      <c r="P58" s="797"/>
      <c r="Q58" s="797"/>
      <c r="R58" s="1071"/>
      <c r="S58" s="1071"/>
      <c r="T58" s="1071"/>
      <c r="U58" s="1071"/>
      <c r="V58" s="1071"/>
      <c r="W58" s="1071"/>
      <c r="X58" s="1071"/>
      <c r="Y58" s="1071"/>
      <c r="Z58" s="1071"/>
    </row>
    <row r="59" spans="1:28" s="796" customFormat="1" x14ac:dyDescent="0.3">
      <c r="A59" s="797"/>
      <c r="B59" s="797"/>
      <c r="C59" s="797"/>
      <c r="E59" s="797"/>
      <c r="F59" s="797"/>
      <c r="G59" s="797"/>
      <c r="H59" s="797"/>
      <c r="I59" s="797"/>
      <c r="J59" s="797"/>
      <c r="K59" s="797"/>
      <c r="L59" s="797"/>
      <c r="M59" s="797"/>
      <c r="N59" s="797"/>
      <c r="O59" s="797"/>
      <c r="P59" s="797"/>
      <c r="Q59" s="797"/>
      <c r="R59" s="803"/>
      <c r="S59" s="797"/>
      <c r="T59" s="797"/>
      <c r="U59" s="797"/>
      <c r="V59" s="797"/>
      <c r="W59" s="797"/>
      <c r="X59" s="797"/>
      <c r="Y59" s="799"/>
      <c r="Z59" s="797"/>
    </row>
    <row r="60" spans="1:28" s="796" customFormat="1" x14ac:dyDescent="0.3">
      <c r="A60" s="797"/>
      <c r="B60" s="797"/>
      <c r="C60" s="797"/>
      <c r="E60" s="797"/>
      <c r="F60" s="797"/>
      <c r="G60" s="797"/>
      <c r="H60" s="797"/>
      <c r="I60" s="797"/>
      <c r="J60" s="797"/>
      <c r="K60" s="797"/>
      <c r="L60" s="797"/>
      <c r="M60" s="797"/>
      <c r="N60" s="797"/>
      <c r="O60" s="797"/>
      <c r="P60" s="797"/>
      <c r="Q60" s="797"/>
      <c r="R60" s="803"/>
      <c r="S60" s="797"/>
      <c r="T60" s="797"/>
      <c r="U60" s="797"/>
      <c r="V60" s="797"/>
      <c r="W60" s="797"/>
      <c r="X60" s="797"/>
      <c r="Y60" s="799"/>
      <c r="Z60" s="797"/>
    </row>
    <row r="61" spans="1:28" s="796" customFormat="1" x14ac:dyDescent="0.3">
      <c r="A61" s="797"/>
      <c r="B61" s="797"/>
      <c r="C61" s="797"/>
      <c r="E61" s="797"/>
      <c r="F61" s="797"/>
      <c r="G61" s="797"/>
      <c r="H61" s="797"/>
      <c r="I61" s="797"/>
      <c r="J61" s="797"/>
      <c r="K61" s="797"/>
      <c r="L61" s="797"/>
      <c r="M61" s="797"/>
      <c r="N61" s="797"/>
      <c r="O61" s="797"/>
      <c r="P61" s="797"/>
      <c r="Q61" s="797"/>
      <c r="R61" s="803"/>
      <c r="S61" s="797"/>
      <c r="T61" s="797"/>
      <c r="U61" s="797"/>
      <c r="V61" s="797"/>
      <c r="W61" s="797"/>
      <c r="X61" s="797"/>
      <c r="Y61" s="799"/>
      <c r="Z61" s="797"/>
    </row>
    <row r="62" spans="1:28" s="796" customFormat="1" x14ac:dyDescent="0.3">
      <c r="A62" s="797"/>
      <c r="B62" s="797"/>
      <c r="C62" s="797"/>
      <c r="E62" s="797"/>
      <c r="F62" s="797"/>
      <c r="G62" s="797"/>
      <c r="H62" s="797"/>
      <c r="I62" s="797"/>
      <c r="J62" s="797"/>
      <c r="K62" s="797"/>
      <c r="L62" s="797"/>
      <c r="M62" s="797"/>
      <c r="N62" s="797"/>
      <c r="O62" s="797"/>
      <c r="P62" s="797"/>
      <c r="Q62" s="797"/>
      <c r="R62" s="803"/>
      <c r="S62" s="797"/>
      <c r="T62" s="797"/>
      <c r="U62" s="797"/>
      <c r="V62" s="797"/>
      <c r="W62" s="797"/>
      <c r="X62" s="797"/>
      <c r="Y62" s="799"/>
      <c r="Z62" s="797"/>
    </row>
    <row r="63" spans="1:28" s="796" customFormat="1" x14ac:dyDescent="0.3">
      <c r="A63" s="797"/>
      <c r="B63" s="797"/>
      <c r="C63" s="797"/>
      <c r="E63" s="797"/>
      <c r="F63" s="797"/>
      <c r="G63" s="797"/>
      <c r="H63" s="797"/>
      <c r="I63" s="797"/>
      <c r="J63" s="797"/>
      <c r="K63" s="797"/>
      <c r="L63" s="797"/>
      <c r="M63" s="797"/>
      <c r="N63" s="797"/>
      <c r="O63" s="797"/>
      <c r="P63" s="797"/>
      <c r="Q63" s="797"/>
      <c r="R63" s="803"/>
      <c r="S63" s="797"/>
      <c r="T63" s="797"/>
      <c r="U63" s="797"/>
      <c r="V63" s="797"/>
      <c r="W63" s="797"/>
      <c r="X63" s="797"/>
      <c r="Y63" s="799"/>
      <c r="Z63" s="797"/>
    </row>
    <row r="64" spans="1:28" s="796" customFormat="1" x14ac:dyDescent="0.3">
      <c r="A64" s="797"/>
      <c r="B64" s="797"/>
      <c r="C64" s="797"/>
      <c r="E64" s="797"/>
      <c r="F64" s="797"/>
      <c r="G64" s="797"/>
      <c r="H64" s="797"/>
      <c r="I64" s="797"/>
      <c r="J64" s="797"/>
      <c r="K64" s="797"/>
      <c r="L64" s="797"/>
      <c r="M64" s="797"/>
      <c r="N64" s="797"/>
      <c r="O64" s="797"/>
      <c r="P64" s="797"/>
      <c r="Q64" s="797"/>
      <c r="R64" s="803"/>
      <c r="S64" s="797"/>
      <c r="T64" s="797"/>
      <c r="U64" s="797"/>
      <c r="V64" s="797"/>
      <c r="W64" s="797"/>
      <c r="X64" s="797"/>
      <c r="Y64" s="799"/>
      <c r="Z64" s="797"/>
    </row>
    <row r="65" spans="1:26" s="806" customFormat="1" x14ac:dyDescent="0.3">
      <c r="A65" s="807"/>
      <c r="B65" s="807"/>
      <c r="C65" s="807"/>
      <c r="E65" s="807"/>
      <c r="F65" s="807"/>
      <c r="G65" s="807"/>
      <c r="H65" s="807"/>
      <c r="I65" s="807"/>
      <c r="J65" s="807"/>
      <c r="K65" s="807"/>
      <c r="L65" s="801"/>
      <c r="M65" s="807"/>
      <c r="N65" s="801"/>
      <c r="O65" s="797"/>
      <c r="P65" s="807"/>
      <c r="Q65" s="804"/>
      <c r="R65" s="818"/>
      <c r="S65" s="804"/>
      <c r="T65" s="804"/>
      <c r="U65" s="804"/>
      <c r="V65" s="804"/>
      <c r="W65" s="804"/>
      <c r="X65" s="804"/>
      <c r="Y65" s="889"/>
      <c r="Z65" s="804"/>
    </row>
    <row r="66" spans="1:26" s="806" customFormat="1" x14ac:dyDescent="0.3">
      <c r="A66" s="807"/>
      <c r="B66" s="807"/>
      <c r="C66" s="807"/>
      <c r="E66" s="807"/>
      <c r="F66" s="807"/>
      <c r="G66" s="807"/>
      <c r="H66" s="807"/>
      <c r="I66" s="807"/>
      <c r="J66" s="807"/>
      <c r="K66" s="807"/>
      <c r="L66" s="801"/>
      <c r="M66" s="807"/>
      <c r="N66" s="801"/>
      <c r="O66" s="797"/>
      <c r="P66" s="807"/>
      <c r="Q66" s="804"/>
      <c r="R66" s="818"/>
      <c r="S66" s="804"/>
      <c r="T66" s="804"/>
      <c r="U66" s="804"/>
      <c r="V66" s="804"/>
      <c r="W66" s="804"/>
      <c r="X66" s="804"/>
      <c r="Y66" s="889"/>
      <c r="Z66" s="804"/>
    </row>
    <row r="67" spans="1:26" x14ac:dyDescent="0.3">
      <c r="Q67" s="43"/>
      <c r="R67" s="44"/>
      <c r="S67" s="45"/>
      <c r="T67" s="45"/>
      <c r="U67" s="45"/>
      <c r="V67" s="43"/>
      <c r="W67" s="43"/>
      <c r="X67" s="43"/>
      <c r="Y67" s="46"/>
      <c r="Z67" s="43"/>
    </row>
    <row r="68" spans="1:26" x14ac:dyDescent="0.3">
      <c r="Q68" s="43"/>
      <c r="R68" s="44"/>
      <c r="S68" s="45"/>
      <c r="T68" s="45"/>
      <c r="U68" s="45"/>
      <c r="V68" s="43"/>
      <c r="W68" s="43"/>
      <c r="X68" s="43"/>
      <c r="Y68" s="46"/>
      <c r="Z68" s="43"/>
    </row>
  </sheetData>
  <autoFilter ref="R7:AA50">
    <filterColumn colId="1" showButton="0"/>
    <filterColumn colId="2" showButton="0"/>
    <filterColumn colId="3" showButton="0"/>
  </autoFilter>
  <mergeCells count="19">
    <mergeCell ref="E2:Z2"/>
    <mergeCell ref="E3:Z3"/>
    <mergeCell ref="E4:Z4"/>
    <mergeCell ref="E5:AJ5"/>
    <mergeCell ref="A7:A8"/>
    <mergeCell ref="B7:C8"/>
    <mergeCell ref="D7:D8"/>
    <mergeCell ref="E7:E8"/>
    <mergeCell ref="R7:R8"/>
    <mergeCell ref="R54:T54"/>
    <mergeCell ref="R57:T57"/>
    <mergeCell ref="R58:Z58"/>
    <mergeCell ref="F7:Q7"/>
    <mergeCell ref="S7:V7"/>
    <mergeCell ref="W7:W8"/>
    <mergeCell ref="X7:X8"/>
    <mergeCell ref="Y7:Y8"/>
    <mergeCell ref="Z7:Z8"/>
    <mergeCell ref="R53:Z53"/>
  </mergeCells>
  <printOptions horizontalCentered="1"/>
  <pageMargins left="0.56000000000000005" right="0.16" top="0.27" bottom="0.21" header="0.2" footer="0.27"/>
  <pageSetup scale="98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FF00"/>
  </sheetPr>
  <dimension ref="A1:AI94"/>
  <sheetViews>
    <sheetView topLeftCell="A7" zoomScale="120" zoomScaleNormal="120" workbookViewId="0">
      <selection activeCell="Y11" sqref="Y11:Y81"/>
    </sheetView>
  </sheetViews>
  <sheetFormatPr defaultRowHeight="18.75" x14ac:dyDescent="0.3"/>
  <cols>
    <col min="1" max="1" width="3.09765625" style="1" customWidth="1"/>
    <col min="2" max="2" width="4.296875" style="1" customWidth="1"/>
    <col min="3" max="3" width="4.59765625" style="1" customWidth="1"/>
    <col min="4" max="4" width="19" customWidth="1"/>
    <col min="5" max="5" width="8.5" style="1" customWidth="1"/>
    <col min="6" max="7" width="2.5" style="1" customWidth="1"/>
    <col min="8" max="8" width="2.5" style="36" customWidth="1"/>
    <col min="9" max="10" width="2.5" style="1" customWidth="1"/>
    <col min="11" max="11" width="2.5" style="36" customWidth="1"/>
    <col min="12" max="12" width="2.5" style="1" customWidth="1"/>
    <col min="13" max="13" width="2.5" style="686" customWidth="1"/>
    <col min="14" max="16" width="2.5" style="1" customWidth="1"/>
    <col min="17" max="17" width="4.59765625" style="5" customWidth="1"/>
    <col min="18" max="20" width="2.19921875" style="22" hidden="1" customWidth="1"/>
    <col min="21" max="22" width="3.3984375" style="1" hidden="1" customWidth="1"/>
    <col min="23" max="23" width="5" style="1" customWidth="1"/>
    <col min="24" max="24" width="4.3984375" style="15" hidden="1" customWidth="1"/>
    <col min="25" max="25" width="21.19921875" style="1" customWidth="1"/>
    <col min="26" max="26" width="3.5" customWidth="1"/>
    <col min="27" max="27" width="6" style="461" customWidth="1"/>
  </cols>
  <sheetData>
    <row r="1" spans="1:35" s="806" customFormat="1" ht="9" customHeight="1" x14ac:dyDescent="0.3">
      <c r="A1" s="807"/>
      <c r="B1" s="807"/>
      <c r="C1" s="807"/>
      <c r="E1" s="807"/>
      <c r="F1" s="807"/>
      <c r="G1" s="807"/>
      <c r="H1" s="801"/>
      <c r="I1" s="807"/>
      <c r="J1" s="807"/>
      <c r="K1" s="801"/>
      <c r="L1" s="807"/>
      <c r="M1" s="797"/>
      <c r="N1" s="807"/>
      <c r="O1" s="807"/>
      <c r="P1" s="807"/>
      <c r="Q1" s="827"/>
      <c r="R1" s="807"/>
      <c r="S1" s="807"/>
      <c r="T1" s="807"/>
      <c r="U1" s="807"/>
      <c r="V1" s="807"/>
      <c r="W1" s="807"/>
      <c r="X1" s="808"/>
      <c r="Y1" s="807"/>
    </row>
    <row r="2" spans="1:35" s="806" customFormat="1" x14ac:dyDescent="0.3">
      <c r="A2" s="807"/>
      <c r="B2" s="807"/>
      <c r="C2" s="807"/>
      <c r="E2" s="807"/>
      <c r="F2" s="807"/>
      <c r="G2" s="807"/>
      <c r="H2" s="801"/>
      <c r="I2" s="807"/>
      <c r="J2" s="807"/>
      <c r="K2" s="801"/>
      <c r="L2" s="807"/>
      <c r="M2" s="797"/>
      <c r="N2" s="807"/>
      <c r="O2" s="807"/>
      <c r="P2" s="807"/>
      <c r="Q2" s="827"/>
      <c r="R2" s="807"/>
      <c r="S2" s="807"/>
      <c r="T2" s="807"/>
      <c r="U2" s="807"/>
      <c r="V2" s="807"/>
      <c r="W2" s="807"/>
      <c r="X2" s="808"/>
      <c r="Y2" s="807"/>
    </row>
    <row r="3" spans="1:35" s="761" customFormat="1" ht="15.75" x14ac:dyDescent="0.25">
      <c r="B3" s="763"/>
      <c r="C3" s="763"/>
      <c r="D3" s="763"/>
      <c r="E3" s="1046" t="s">
        <v>2237</v>
      </c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1046"/>
      <c r="W3" s="1046"/>
      <c r="X3" s="1046"/>
      <c r="Y3" s="1046"/>
    </row>
    <row r="4" spans="1:35" s="761" customFormat="1" ht="15.75" x14ac:dyDescent="0.25">
      <c r="B4" s="763"/>
      <c r="C4" s="763"/>
      <c r="D4" s="763"/>
      <c r="E4" s="1046" t="s">
        <v>2324</v>
      </c>
      <c r="F4" s="1046"/>
      <c r="G4" s="1046"/>
      <c r="H4" s="1046"/>
      <c r="I4" s="1046"/>
      <c r="J4" s="1046"/>
      <c r="K4" s="1046"/>
      <c r="L4" s="1046"/>
      <c r="M4" s="1046"/>
      <c r="N4" s="1046"/>
      <c r="O4" s="1046"/>
      <c r="P4" s="1046"/>
      <c r="Q4" s="1046"/>
      <c r="R4" s="1046"/>
      <c r="S4" s="1046"/>
      <c r="T4" s="1046"/>
      <c r="U4" s="1046"/>
      <c r="V4" s="1046"/>
      <c r="W4" s="1046"/>
      <c r="X4" s="1046"/>
      <c r="Y4" s="1046"/>
    </row>
    <row r="5" spans="1:35" s="761" customFormat="1" ht="15.75" hidden="1" x14ac:dyDescent="0.25">
      <c r="B5" s="762"/>
      <c r="C5" s="762"/>
      <c r="D5" s="762"/>
      <c r="E5" s="1047" t="s">
        <v>28</v>
      </c>
      <c r="F5" s="1047"/>
      <c r="G5" s="1047"/>
      <c r="H5" s="1047"/>
      <c r="I5" s="1047"/>
      <c r="J5" s="1047"/>
      <c r="K5" s="1047"/>
      <c r="L5" s="1047"/>
      <c r="M5" s="1047"/>
      <c r="N5" s="1047"/>
      <c r="O5" s="1047"/>
      <c r="P5" s="1047"/>
      <c r="Q5" s="1047"/>
      <c r="R5" s="1047"/>
      <c r="S5" s="1047"/>
      <c r="T5" s="1047"/>
      <c r="U5" s="1047"/>
      <c r="V5" s="1047"/>
      <c r="W5" s="1047"/>
      <c r="X5" s="1047"/>
      <c r="Y5" s="1047"/>
    </row>
    <row r="6" spans="1:35" s="761" customFormat="1" ht="15.75" customHeight="1" x14ac:dyDescent="0.25">
      <c r="B6" s="763"/>
      <c r="C6" s="763"/>
      <c r="D6" s="763"/>
      <c r="E6" s="1052" t="s">
        <v>2314</v>
      </c>
      <c r="F6" s="1052"/>
      <c r="G6" s="1052"/>
      <c r="H6" s="1052"/>
      <c r="I6" s="1052"/>
      <c r="J6" s="1052"/>
      <c r="K6" s="1052"/>
      <c r="L6" s="1052"/>
      <c r="M6" s="1052"/>
      <c r="N6" s="1052"/>
      <c r="O6" s="1052"/>
      <c r="P6" s="1052"/>
      <c r="Q6" s="1052"/>
      <c r="R6" s="1052"/>
      <c r="S6" s="1052"/>
      <c r="T6" s="1052"/>
      <c r="U6" s="1052"/>
      <c r="V6" s="1052"/>
      <c r="W6" s="1052"/>
      <c r="X6" s="1052"/>
      <c r="Y6" s="1052"/>
      <c r="Z6" s="1052"/>
      <c r="AA6" s="1052"/>
      <c r="AB6" s="1052"/>
      <c r="AC6" s="1052"/>
      <c r="AD6" s="1052"/>
      <c r="AE6" s="1052"/>
      <c r="AF6" s="1052"/>
      <c r="AG6" s="1052"/>
      <c r="AH6" s="1052"/>
      <c r="AI6" s="1052"/>
    </row>
    <row r="7" spans="1:35" s="761" customFormat="1" ht="15.75" x14ac:dyDescent="0.25">
      <c r="A7" s="775"/>
      <c r="B7" s="775"/>
      <c r="C7" s="775"/>
      <c r="D7" s="775"/>
      <c r="E7" s="775"/>
      <c r="F7" s="775"/>
      <c r="G7" s="775"/>
      <c r="H7" s="775"/>
      <c r="I7" s="775"/>
      <c r="J7" s="775"/>
      <c r="K7" s="775"/>
      <c r="L7" s="775"/>
      <c r="M7" s="852"/>
      <c r="N7" s="775"/>
      <c r="O7" s="775"/>
      <c r="P7" s="775"/>
      <c r="Q7" s="775"/>
      <c r="R7" s="775"/>
      <c r="S7" s="775"/>
      <c r="T7" s="775"/>
      <c r="U7" s="775"/>
      <c r="V7" s="775"/>
      <c r="W7" s="775"/>
      <c r="X7" s="775"/>
      <c r="Y7" s="775"/>
    </row>
    <row r="8" spans="1:35" s="806" customFormat="1" ht="20.25" thickBot="1" x14ac:dyDescent="0.4">
      <c r="A8" s="809"/>
      <c r="B8" s="809"/>
      <c r="C8" s="809"/>
      <c r="D8" s="809"/>
      <c r="E8" s="809"/>
      <c r="F8" s="841"/>
      <c r="G8" s="841"/>
      <c r="H8" s="843"/>
      <c r="I8" s="841"/>
      <c r="J8" s="841"/>
      <c r="K8" s="843"/>
      <c r="L8" s="841"/>
      <c r="M8" s="844"/>
      <c r="N8" s="841"/>
      <c r="O8" s="841"/>
      <c r="P8" s="841"/>
      <c r="Q8" s="843"/>
      <c r="R8" s="809"/>
      <c r="S8" s="809"/>
      <c r="T8" s="809"/>
      <c r="U8" s="809"/>
      <c r="V8" s="809"/>
      <c r="W8" s="809"/>
      <c r="X8" s="809"/>
      <c r="Y8" s="809"/>
      <c r="Z8" s="886"/>
    </row>
    <row r="9" spans="1:35" s="780" customFormat="1" ht="23.25" customHeight="1" thickTop="1" x14ac:dyDescent="0.25">
      <c r="A9" s="1056" t="s">
        <v>91</v>
      </c>
      <c r="B9" s="1060" t="s">
        <v>2118</v>
      </c>
      <c r="C9" s="1061"/>
      <c r="D9" s="1058" t="s">
        <v>2119</v>
      </c>
      <c r="E9" s="1058" t="s">
        <v>2120</v>
      </c>
      <c r="F9" s="1053" t="s">
        <v>2195</v>
      </c>
      <c r="G9" s="1054"/>
      <c r="H9" s="1054"/>
      <c r="I9" s="1054"/>
      <c r="J9" s="1054"/>
      <c r="K9" s="1054"/>
      <c r="L9" s="1054"/>
      <c r="M9" s="1054"/>
      <c r="N9" s="1054"/>
      <c r="O9" s="1054"/>
      <c r="P9" s="1055"/>
      <c r="Q9" s="1069" t="s">
        <v>2107</v>
      </c>
      <c r="R9" s="1053" t="s">
        <v>104</v>
      </c>
      <c r="S9" s="1054"/>
      <c r="T9" s="1054"/>
      <c r="U9" s="1055"/>
      <c r="V9" s="1048" t="s">
        <v>99</v>
      </c>
      <c r="W9" s="1048" t="s">
        <v>2108</v>
      </c>
      <c r="X9" s="1048" t="s">
        <v>103</v>
      </c>
      <c r="Y9" s="1067" t="s">
        <v>2121</v>
      </c>
    </row>
    <row r="10" spans="1:35" s="780" customFormat="1" ht="165.75" customHeight="1" x14ac:dyDescent="0.25">
      <c r="A10" s="1106"/>
      <c r="B10" s="1062"/>
      <c r="C10" s="1063"/>
      <c r="D10" s="1059"/>
      <c r="E10" s="1059"/>
      <c r="F10" s="724" t="s">
        <v>2109</v>
      </c>
      <c r="G10" s="714" t="s">
        <v>2128</v>
      </c>
      <c r="H10" s="724" t="s">
        <v>2190</v>
      </c>
      <c r="I10" s="724" t="s">
        <v>2097</v>
      </c>
      <c r="J10" s="724" t="s">
        <v>2196</v>
      </c>
      <c r="K10" s="727" t="s">
        <v>2262</v>
      </c>
      <c r="L10" s="727" t="s">
        <v>2198</v>
      </c>
      <c r="M10" s="725" t="s">
        <v>2095</v>
      </c>
      <c r="N10" s="714" t="s">
        <v>2113</v>
      </c>
      <c r="O10" s="725" t="s">
        <v>2156</v>
      </c>
      <c r="P10" s="714" t="s">
        <v>2117</v>
      </c>
      <c r="Q10" s="1070"/>
      <c r="R10" s="718" t="s">
        <v>108</v>
      </c>
      <c r="S10" s="718" t="s">
        <v>97</v>
      </c>
      <c r="T10" s="718" t="s">
        <v>96</v>
      </c>
      <c r="U10" s="719" t="s">
        <v>98</v>
      </c>
      <c r="V10" s="1049"/>
      <c r="W10" s="1049"/>
      <c r="X10" s="1049"/>
      <c r="Y10" s="1068"/>
      <c r="Z10" s="880" t="s">
        <v>94</v>
      </c>
    </row>
    <row r="11" spans="1:35" s="784" customFormat="1" ht="18" customHeight="1" x14ac:dyDescent="0.25">
      <c r="A11" s="741">
        <v>1</v>
      </c>
      <c r="B11" s="752"/>
      <c r="C11" s="743">
        <v>2026</v>
      </c>
      <c r="D11" s="690" t="s">
        <v>4160</v>
      </c>
      <c r="E11" s="687" t="s">
        <v>4393</v>
      </c>
      <c r="F11" s="705"/>
      <c r="G11" s="705"/>
      <c r="H11" s="705"/>
      <c r="I11" s="705"/>
      <c r="J11" s="705"/>
      <c r="K11" s="705"/>
      <c r="L11" s="705"/>
      <c r="M11" s="705"/>
      <c r="N11" s="705"/>
      <c r="O11" s="705"/>
      <c r="P11" s="705"/>
      <c r="Q11" s="776">
        <f>SUM(F11:P11)/11</f>
        <v>0</v>
      </c>
      <c r="R11" s="705"/>
      <c r="S11" s="705"/>
      <c r="T11" s="705"/>
      <c r="U11" s="776">
        <f>SUM(R11:T11)/3</f>
        <v>0</v>
      </c>
      <c r="V11" s="776">
        <f>SUM(Q11+U11)/2</f>
        <v>0</v>
      </c>
      <c r="W11" s="819"/>
      <c r="X11" s="813"/>
      <c r="Y11" s="694" t="s">
        <v>2986</v>
      </c>
      <c r="Z11" s="881"/>
      <c r="AA11" s="781" t="e">
        <f t="shared" ref="AA11:AA48" si="0">AVERAGE(F11:P11)</f>
        <v>#DIV/0!</v>
      </c>
    </row>
    <row r="12" spans="1:35" s="784" customFormat="1" ht="18" customHeight="1" x14ac:dyDescent="0.25">
      <c r="A12" s="744">
        <v>2</v>
      </c>
      <c r="B12" s="745"/>
      <c r="C12" s="746">
        <v>2026</v>
      </c>
      <c r="D12" s="685" t="s">
        <v>4394</v>
      </c>
      <c r="E12" s="689" t="s">
        <v>2690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82">
        <f>SUM(F12:P12)/11</f>
        <v>0</v>
      </c>
      <c r="R12" s="707"/>
      <c r="S12" s="707"/>
      <c r="T12" s="707"/>
      <c r="U12" s="782"/>
      <c r="V12" s="782"/>
      <c r="W12" s="778"/>
      <c r="X12" s="814"/>
      <c r="Y12" s="695" t="s">
        <v>4489</v>
      </c>
      <c r="Z12" s="881"/>
      <c r="AA12" s="781" t="e">
        <f t="shared" si="0"/>
        <v>#DIV/0!</v>
      </c>
    </row>
    <row r="13" spans="1:35" s="784" customFormat="1" ht="18" customHeight="1" x14ac:dyDescent="0.25">
      <c r="A13" s="744">
        <v>3</v>
      </c>
      <c r="B13" s="745"/>
      <c r="C13" s="746">
        <v>2026</v>
      </c>
      <c r="D13" s="685" t="s">
        <v>4395</v>
      </c>
      <c r="E13" s="689" t="s">
        <v>3076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82">
        <f t="shared" ref="Q13:Q25" si="1">SUM(F13:P13)/11</f>
        <v>0</v>
      </c>
      <c r="R13" s="707"/>
      <c r="S13" s="707"/>
      <c r="T13" s="707"/>
      <c r="U13" s="782"/>
      <c r="V13" s="782"/>
      <c r="W13" s="778"/>
      <c r="X13" s="814"/>
      <c r="Y13" s="695" t="s">
        <v>2733</v>
      </c>
      <c r="Z13" s="881"/>
      <c r="AA13" s="781" t="e">
        <f t="shared" si="0"/>
        <v>#DIV/0!</v>
      </c>
    </row>
    <row r="14" spans="1:35" s="784" customFormat="1" ht="18" customHeight="1" x14ac:dyDescent="0.25">
      <c r="A14" s="744">
        <v>4</v>
      </c>
      <c r="B14" s="745"/>
      <c r="C14" s="746">
        <v>2026</v>
      </c>
      <c r="D14" s="685" t="s">
        <v>4396</v>
      </c>
      <c r="E14" s="689" t="s">
        <v>4397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82">
        <f t="shared" si="1"/>
        <v>0</v>
      </c>
      <c r="R14" s="707"/>
      <c r="S14" s="707"/>
      <c r="T14" s="707"/>
      <c r="U14" s="782"/>
      <c r="V14" s="782"/>
      <c r="W14" s="778"/>
      <c r="X14" s="814"/>
      <c r="Y14" s="695" t="s">
        <v>2537</v>
      </c>
      <c r="Z14" s="881"/>
      <c r="AA14" s="781" t="e">
        <f t="shared" si="0"/>
        <v>#DIV/0!</v>
      </c>
    </row>
    <row r="15" spans="1:35" s="784" customFormat="1" ht="18" customHeight="1" x14ac:dyDescent="0.25">
      <c r="A15" s="744">
        <v>5</v>
      </c>
      <c r="B15" s="745"/>
      <c r="C15" s="746">
        <v>2026</v>
      </c>
      <c r="D15" s="685" t="s">
        <v>4398</v>
      </c>
      <c r="E15" s="689" t="s">
        <v>3116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82">
        <f t="shared" si="1"/>
        <v>0</v>
      </c>
      <c r="R15" s="707"/>
      <c r="S15" s="707"/>
      <c r="T15" s="707"/>
      <c r="U15" s="782"/>
      <c r="V15" s="782"/>
      <c r="W15" s="778"/>
      <c r="X15" s="814"/>
      <c r="Y15" s="695" t="s">
        <v>4490</v>
      </c>
      <c r="Z15" s="881"/>
      <c r="AA15" s="781" t="e">
        <f t="shared" si="0"/>
        <v>#DIV/0!</v>
      </c>
    </row>
    <row r="16" spans="1:35" s="784" customFormat="1" ht="18" customHeight="1" x14ac:dyDescent="0.25">
      <c r="A16" s="744">
        <v>6</v>
      </c>
      <c r="B16" s="745"/>
      <c r="C16" s="746">
        <v>2026</v>
      </c>
      <c r="D16" s="685" t="s">
        <v>4399</v>
      </c>
      <c r="E16" s="689" t="s">
        <v>4400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82">
        <f t="shared" si="1"/>
        <v>0</v>
      </c>
      <c r="R16" s="707"/>
      <c r="S16" s="707"/>
      <c r="T16" s="707"/>
      <c r="U16" s="782"/>
      <c r="V16" s="782"/>
      <c r="W16" s="778"/>
      <c r="X16" s="814"/>
      <c r="Y16" s="695" t="s">
        <v>2533</v>
      </c>
      <c r="Z16" s="881"/>
      <c r="AA16" s="781" t="e">
        <f t="shared" si="0"/>
        <v>#DIV/0!</v>
      </c>
    </row>
    <row r="17" spans="1:27" s="784" customFormat="1" ht="18" customHeight="1" x14ac:dyDescent="0.25">
      <c r="A17" s="744">
        <v>7</v>
      </c>
      <c r="B17" s="745"/>
      <c r="C17" s="746">
        <v>2026</v>
      </c>
      <c r="D17" s="685" t="s">
        <v>4401</v>
      </c>
      <c r="E17" s="689" t="s">
        <v>2587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82">
        <f t="shared" si="1"/>
        <v>0</v>
      </c>
      <c r="R17" s="707"/>
      <c r="S17" s="707"/>
      <c r="T17" s="707"/>
      <c r="U17" s="782"/>
      <c r="V17" s="782"/>
      <c r="W17" s="778"/>
      <c r="X17" s="814"/>
      <c r="Y17" s="695" t="s">
        <v>4491</v>
      </c>
      <c r="Z17" s="881"/>
      <c r="AA17" s="781" t="e">
        <f t="shared" si="0"/>
        <v>#DIV/0!</v>
      </c>
    </row>
    <row r="18" spans="1:27" s="784" customFormat="1" ht="18" customHeight="1" x14ac:dyDescent="0.25">
      <c r="A18" s="744">
        <v>8</v>
      </c>
      <c r="B18" s="745"/>
      <c r="C18" s="746">
        <v>2026</v>
      </c>
      <c r="D18" s="685" t="s">
        <v>4402</v>
      </c>
      <c r="E18" s="689" t="s">
        <v>4403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82">
        <f t="shared" si="1"/>
        <v>0</v>
      </c>
      <c r="R18" s="707"/>
      <c r="S18" s="707"/>
      <c r="T18" s="707"/>
      <c r="U18" s="782"/>
      <c r="V18" s="782"/>
      <c r="W18" s="778"/>
      <c r="X18" s="814"/>
      <c r="Y18" s="695" t="s">
        <v>4492</v>
      </c>
      <c r="Z18" s="881"/>
      <c r="AA18" s="781" t="e">
        <f t="shared" si="0"/>
        <v>#DIV/0!</v>
      </c>
    </row>
    <row r="19" spans="1:27" s="784" customFormat="1" ht="18" customHeight="1" x14ac:dyDescent="0.25">
      <c r="A19" s="744">
        <v>9</v>
      </c>
      <c r="B19" s="745"/>
      <c r="C19" s="746">
        <v>2026</v>
      </c>
      <c r="D19" s="685" t="s">
        <v>4404</v>
      </c>
      <c r="E19" s="689" t="s">
        <v>4405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82">
        <f t="shared" si="1"/>
        <v>0</v>
      </c>
      <c r="R19" s="707"/>
      <c r="S19" s="707"/>
      <c r="T19" s="707"/>
      <c r="U19" s="782"/>
      <c r="V19" s="782"/>
      <c r="W19" s="778"/>
      <c r="X19" s="814"/>
      <c r="Y19" s="695" t="s">
        <v>4493</v>
      </c>
      <c r="Z19" s="881"/>
      <c r="AA19" s="781" t="e">
        <f t="shared" si="0"/>
        <v>#DIV/0!</v>
      </c>
    </row>
    <row r="20" spans="1:27" s="784" customFormat="1" ht="18" customHeight="1" x14ac:dyDescent="0.25">
      <c r="A20" s="744">
        <v>10</v>
      </c>
      <c r="B20" s="745"/>
      <c r="C20" s="746">
        <v>2026</v>
      </c>
      <c r="D20" s="685" t="s">
        <v>4406</v>
      </c>
      <c r="E20" s="689" t="s">
        <v>3447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82">
        <f t="shared" si="1"/>
        <v>0</v>
      </c>
      <c r="R20" s="707"/>
      <c r="S20" s="707"/>
      <c r="T20" s="707"/>
      <c r="U20" s="782"/>
      <c r="V20" s="782"/>
      <c r="W20" s="778"/>
      <c r="X20" s="814"/>
      <c r="Y20" s="695" t="s">
        <v>2703</v>
      </c>
      <c r="Z20" s="881"/>
      <c r="AA20" s="781" t="e">
        <f t="shared" si="0"/>
        <v>#DIV/0!</v>
      </c>
    </row>
    <row r="21" spans="1:27" s="784" customFormat="1" ht="18" customHeight="1" x14ac:dyDescent="0.25">
      <c r="A21" s="744">
        <v>11</v>
      </c>
      <c r="B21" s="745"/>
      <c r="C21" s="746">
        <v>2026</v>
      </c>
      <c r="D21" s="685" t="s">
        <v>4407</v>
      </c>
      <c r="E21" s="689" t="s">
        <v>673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82">
        <f t="shared" si="1"/>
        <v>0</v>
      </c>
      <c r="R21" s="707"/>
      <c r="S21" s="707"/>
      <c r="T21" s="707"/>
      <c r="U21" s="782"/>
      <c r="V21" s="782"/>
      <c r="W21" s="778"/>
      <c r="X21" s="814"/>
      <c r="Y21" s="695" t="s">
        <v>2533</v>
      </c>
      <c r="Z21" s="881"/>
      <c r="AA21" s="781" t="e">
        <f t="shared" si="0"/>
        <v>#DIV/0!</v>
      </c>
    </row>
    <row r="22" spans="1:27" s="784" customFormat="1" ht="18" customHeight="1" x14ac:dyDescent="0.25">
      <c r="A22" s="744">
        <v>12</v>
      </c>
      <c r="B22" s="745"/>
      <c r="C22" s="746">
        <v>2026</v>
      </c>
      <c r="D22" s="685" t="s">
        <v>4408</v>
      </c>
      <c r="E22" s="689" t="s">
        <v>4409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82">
        <f t="shared" si="1"/>
        <v>0</v>
      </c>
      <c r="R22" s="707"/>
      <c r="S22" s="707"/>
      <c r="T22" s="707"/>
      <c r="U22" s="782"/>
      <c r="V22" s="782"/>
      <c r="W22" s="778"/>
      <c r="X22" s="814"/>
      <c r="Y22" s="695" t="s">
        <v>2968</v>
      </c>
      <c r="Z22" s="881"/>
      <c r="AA22" s="781" t="e">
        <f t="shared" si="0"/>
        <v>#DIV/0!</v>
      </c>
    </row>
    <row r="23" spans="1:27" s="784" customFormat="1" ht="18" customHeight="1" x14ac:dyDescent="0.25">
      <c r="A23" s="744">
        <v>13</v>
      </c>
      <c r="B23" s="745"/>
      <c r="C23" s="746">
        <v>2026</v>
      </c>
      <c r="D23" s="685" t="s">
        <v>4410</v>
      </c>
      <c r="E23" s="689" t="s">
        <v>3133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82">
        <f t="shared" si="1"/>
        <v>0</v>
      </c>
      <c r="R23" s="707"/>
      <c r="S23" s="707"/>
      <c r="T23" s="707"/>
      <c r="U23" s="782"/>
      <c r="V23" s="782"/>
      <c r="W23" s="778"/>
      <c r="X23" s="814"/>
      <c r="Y23" s="695" t="s">
        <v>4494</v>
      </c>
      <c r="Z23" s="881"/>
      <c r="AA23" s="781" t="e">
        <f t="shared" si="0"/>
        <v>#DIV/0!</v>
      </c>
    </row>
    <row r="24" spans="1:27" s="784" customFormat="1" ht="18" customHeight="1" x14ac:dyDescent="0.25">
      <c r="A24" s="744">
        <v>14</v>
      </c>
      <c r="B24" s="745"/>
      <c r="C24" s="746">
        <v>2026</v>
      </c>
      <c r="D24" s="685" t="s">
        <v>4411</v>
      </c>
      <c r="E24" s="689" t="s">
        <v>3116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82">
        <f t="shared" si="1"/>
        <v>0</v>
      </c>
      <c r="R24" s="707"/>
      <c r="S24" s="707"/>
      <c r="T24" s="707"/>
      <c r="U24" s="782"/>
      <c r="V24" s="782"/>
      <c r="W24" s="778"/>
      <c r="X24" s="814"/>
      <c r="Y24" s="695" t="s">
        <v>3469</v>
      </c>
      <c r="Z24" s="881"/>
      <c r="AA24" s="781" t="e">
        <f t="shared" si="0"/>
        <v>#DIV/0!</v>
      </c>
    </row>
    <row r="25" spans="1:27" s="784" customFormat="1" ht="18" customHeight="1" x14ac:dyDescent="0.25">
      <c r="A25" s="744">
        <v>15</v>
      </c>
      <c r="B25" s="745"/>
      <c r="C25" s="746">
        <v>2026</v>
      </c>
      <c r="D25" s="685" t="s">
        <v>4412</v>
      </c>
      <c r="E25" s="689" t="s">
        <v>3173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82">
        <f t="shared" si="1"/>
        <v>0</v>
      </c>
      <c r="R25" s="707"/>
      <c r="S25" s="707"/>
      <c r="T25" s="707"/>
      <c r="U25" s="782"/>
      <c r="V25" s="782"/>
      <c r="W25" s="778"/>
      <c r="X25" s="814"/>
      <c r="Y25" s="695" t="s">
        <v>4495</v>
      </c>
      <c r="Z25" s="881"/>
      <c r="AA25" s="781" t="e">
        <f t="shared" si="0"/>
        <v>#DIV/0!</v>
      </c>
    </row>
    <row r="26" spans="1:27" s="784" customFormat="1" ht="18" customHeight="1" x14ac:dyDescent="0.25">
      <c r="A26" s="744">
        <v>16</v>
      </c>
      <c r="B26" s="745"/>
      <c r="C26" s="746">
        <v>2026</v>
      </c>
      <c r="D26" s="685" t="s">
        <v>3481</v>
      </c>
      <c r="E26" s="689" t="s">
        <v>4413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82">
        <f t="shared" ref="Q26:Q81" si="2">SUM(F26:P26)/11</f>
        <v>0</v>
      </c>
      <c r="R26" s="707"/>
      <c r="S26" s="707"/>
      <c r="T26" s="707"/>
      <c r="U26" s="782"/>
      <c r="V26" s="782"/>
      <c r="W26" s="778"/>
      <c r="X26" s="814"/>
      <c r="Y26" s="695" t="s">
        <v>3196</v>
      </c>
      <c r="Z26" s="881"/>
      <c r="AA26" s="781" t="e">
        <f t="shared" si="0"/>
        <v>#DIV/0!</v>
      </c>
    </row>
    <row r="27" spans="1:27" s="784" customFormat="1" ht="18" customHeight="1" x14ac:dyDescent="0.25">
      <c r="A27" s="744">
        <v>17</v>
      </c>
      <c r="B27" s="745"/>
      <c r="C27" s="746">
        <v>2026</v>
      </c>
      <c r="D27" s="685" t="s">
        <v>4414</v>
      </c>
      <c r="E27" s="689" t="s">
        <v>4415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82">
        <f t="shared" si="2"/>
        <v>0</v>
      </c>
      <c r="R27" s="707"/>
      <c r="S27" s="707"/>
      <c r="T27" s="707"/>
      <c r="U27" s="782"/>
      <c r="V27" s="782"/>
      <c r="W27" s="778"/>
      <c r="X27" s="814"/>
      <c r="Y27" s="695" t="s">
        <v>2986</v>
      </c>
      <c r="Z27" s="881"/>
      <c r="AA27" s="781" t="e">
        <f t="shared" si="0"/>
        <v>#DIV/0!</v>
      </c>
    </row>
    <row r="28" spans="1:27" s="784" customFormat="1" ht="18" customHeight="1" x14ac:dyDescent="0.25">
      <c r="A28" s="744">
        <v>18</v>
      </c>
      <c r="B28" s="745"/>
      <c r="C28" s="746">
        <v>2026</v>
      </c>
      <c r="D28" s="685" t="s">
        <v>4416</v>
      </c>
      <c r="E28" s="689" t="s">
        <v>2796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82">
        <f t="shared" si="2"/>
        <v>0</v>
      </c>
      <c r="R28" s="707"/>
      <c r="S28" s="707"/>
      <c r="T28" s="707"/>
      <c r="U28" s="782"/>
      <c r="V28" s="782"/>
      <c r="W28" s="778"/>
      <c r="X28" s="814"/>
      <c r="Y28" s="695" t="s">
        <v>3834</v>
      </c>
      <c r="Z28" s="881"/>
      <c r="AA28" s="781" t="e">
        <f t="shared" si="0"/>
        <v>#DIV/0!</v>
      </c>
    </row>
    <row r="29" spans="1:27" s="784" customFormat="1" ht="18" customHeight="1" x14ac:dyDescent="0.25">
      <c r="A29" s="744">
        <v>19</v>
      </c>
      <c r="B29" s="745"/>
      <c r="C29" s="746">
        <v>2026</v>
      </c>
      <c r="D29" s="685" t="s">
        <v>3687</v>
      </c>
      <c r="E29" s="689" t="s">
        <v>2653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82">
        <f t="shared" si="2"/>
        <v>0</v>
      </c>
      <c r="R29" s="707"/>
      <c r="S29" s="707"/>
      <c r="T29" s="707"/>
      <c r="U29" s="782"/>
      <c r="V29" s="782"/>
      <c r="W29" s="778"/>
      <c r="X29" s="814"/>
      <c r="Y29" s="695" t="s">
        <v>3834</v>
      </c>
      <c r="Z29" s="881"/>
      <c r="AA29" s="781" t="e">
        <f t="shared" si="0"/>
        <v>#DIV/0!</v>
      </c>
    </row>
    <row r="30" spans="1:27" s="784" customFormat="1" ht="18" customHeight="1" x14ac:dyDescent="0.25">
      <c r="A30" s="744">
        <v>20</v>
      </c>
      <c r="B30" s="745"/>
      <c r="C30" s="746">
        <v>2026</v>
      </c>
      <c r="D30" s="685" t="s">
        <v>4417</v>
      </c>
      <c r="E30" s="689" t="s">
        <v>4418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82">
        <f t="shared" si="2"/>
        <v>0</v>
      </c>
      <c r="R30" s="707"/>
      <c r="S30" s="707"/>
      <c r="T30" s="707"/>
      <c r="U30" s="782"/>
      <c r="V30" s="782"/>
      <c r="W30" s="778"/>
      <c r="X30" s="814"/>
      <c r="Y30" s="695" t="s">
        <v>4496</v>
      </c>
      <c r="Z30" s="881"/>
      <c r="AA30" s="781" t="e">
        <f t="shared" si="0"/>
        <v>#DIV/0!</v>
      </c>
    </row>
    <row r="31" spans="1:27" s="784" customFormat="1" ht="18" customHeight="1" x14ac:dyDescent="0.25">
      <c r="A31" s="744">
        <v>21</v>
      </c>
      <c r="B31" s="745"/>
      <c r="C31" s="746">
        <v>2026</v>
      </c>
      <c r="D31" s="685" t="s">
        <v>4419</v>
      </c>
      <c r="E31" s="689" t="s">
        <v>2859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82">
        <f t="shared" si="2"/>
        <v>0</v>
      </c>
      <c r="R31" s="707"/>
      <c r="S31" s="707"/>
      <c r="T31" s="707"/>
      <c r="U31" s="782"/>
      <c r="V31" s="782"/>
      <c r="W31" s="778"/>
      <c r="X31" s="814"/>
      <c r="Y31" s="695" t="s">
        <v>2990</v>
      </c>
      <c r="Z31" s="881"/>
      <c r="AA31" s="781" t="e">
        <f t="shared" si="0"/>
        <v>#DIV/0!</v>
      </c>
    </row>
    <row r="32" spans="1:27" s="784" customFormat="1" ht="18" customHeight="1" x14ac:dyDescent="0.25">
      <c r="A32" s="744">
        <v>22</v>
      </c>
      <c r="B32" s="745"/>
      <c r="C32" s="746">
        <v>2026</v>
      </c>
      <c r="D32" s="685" t="s">
        <v>4420</v>
      </c>
      <c r="E32" s="689" t="s">
        <v>4421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82">
        <f t="shared" si="2"/>
        <v>0</v>
      </c>
      <c r="R32" s="707"/>
      <c r="S32" s="707"/>
      <c r="T32" s="707"/>
      <c r="U32" s="782"/>
      <c r="V32" s="782"/>
      <c r="W32" s="778"/>
      <c r="X32" s="814"/>
      <c r="Y32" s="695" t="s">
        <v>4490</v>
      </c>
      <c r="Z32" s="881"/>
      <c r="AA32" s="781" t="e">
        <f t="shared" si="0"/>
        <v>#DIV/0!</v>
      </c>
    </row>
    <row r="33" spans="1:27" s="784" customFormat="1" ht="18" customHeight="1" x14ac:dyDescent="0.25">
      <c r="A33" s="744">
        <v>23</v>
      </c>
      <c r="B33" s="745"/>
      <c r="C33" s="746">
        <v>2026</v>
      </c>
      <c r="D33" s="685" t="s">
        <v>4422</v>
      </c>
      <c r="E33" s="689" t="s">
        <v>3885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82">
        <f t="shared" si="2"/>
        <v>0</v>
      </c>
      <c r="R33" s="707"/>
      <c r="S33" s="707"/>
      <c r="T33" s="707"/>
      <c r="U33" s="782"/>
      <c r="V33" s="782"/>
      <c r="W33" s="778"/>
      <c r="X33" s="814"/>
      <c r="Y33" s="695" t="s">
        <v>2730</v>
      </c>
      <c r="Z33" s="881"/>
      <c r="AA33" s="781" t="e">
        <f t="shared" si="0"/>
        <v>#DIV/0!</v>
      </c>
    </row>
    <row r="34" spans="1:27" s="784" customFormat="1" ht="18" customHeight="1" x14ac:dyDescent="0.25">
      <c r="A34" s="744">
        <v>24</v>
      </c>
      <c r="B34" s="745"/>
      <c r="C34" s="746">
        <v>2026</v>
      </c>
      <c r="D34" s="685" t="s">
        <v>4423</v>
      </c>
      <c r="E34" s="689" t="s">
        <v>4424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82">
        <f t="shared" si="2"/>
        <v>0</v>
      </c>
      <c r="R34" s="707"/>
      <c r="S34" s="707"/>
      <c r="T34" s="707"/>
      <c r="U34" s="782"/>
      <c r="V34" s="782"/>
      <c r="W34" s="778"/>
      <c r="X34" s="814"/>
      <c r="Y34" s="695" t="s">
        <v>2242</v>
      </c>
      <c r="Z34" s="881"/>
      <c r="AA34" s="781" t="e">
        <f t="shared" si="0"/>
        <v>#DIV/0!</v>
      </c>
    </row>
    <row r="35" spans="1:27" s="784" customFormat="1" ht="18" customHeight="1" x14ac:dyDescent="0.25">
      <c r="A35" s="744">
        <v>25</v>
      </c>
      <c r="B35" s="745"/>
      <c r="C35" s="746">
        <v>2026</v>
      </c>
      <c r="D35" s="685" t="s">
        <v>4425</v>
      </c>
      <c r="E35" s="689" t="s">
        <v>3413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82">
        <f t="shared" si="2"/>
        <v>0</v>
      </c>
      <c r="R35" s="707"/>
      <c r="S35" s="707"/>
      <c r="T35" s="707"/>
      <c r="U35" s="782"/>
      <c r="V35" s="782"/>
      <c r="W35" s="778"/>
      <c r="X35" s="814"/>
      <c r="Y35" s="695" t="s">
        <v>4497</v>
      </c>
      <c r="Z35" s="881"/>
      <c r="AA35" s="781" t="e">
        <f t="shared" si="0"/>
        <v>#DIV/0!</v>
      </c>
    </row>
    <row r="36" spans="1:27" s="784" customFormat="1" ht="18" customHeight="1" x14ac:dyDescent="0.25">
      <c r="A36" s="744">
        <v>26</v>
      </c>
      <c r="B36" s="745"/>
      <c r="C36" s="746">
        <v>2026</v>
      </c>
      <c r="D36" s="685" t="s">
        <v>4426</v>
      </c>
      <c r="E36" s="689" t="s">
        <v>2572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7"/>
      <c r="Q36" s="782">
        <f t="shared" si="2"/>
        <v>0</v>
      </c>
      <c r="R36" s="707"/>
      <c r="S36" s="707"/>
      <c r="T36" s="707"/>
      <c r="U36" s="782"/>
      <c r="V36" s="782"/>
      <c r="W36" s="778"/>
      <c r="X36" s="814"/>
      <c r="Y36" s="695" t="s">
        <v>3834</v>
      </c>
      <c r="Z36" s="881"/>
      <c r="AA36" s="781" t="e">
        <f t="shared" si="0"/>
        <v>#DIV/0!</v>
      </c>
    </row>
    <row r="37" spans="1:27" s="784" customFormat="1" ht="18" customHeight="1" x14ac:dyDescent="0.25">
      <c r="A37" s="744">
        <v>27</v>
      </c>
      <c r="B37" s="745"/>
      <c r="C37" s="746">
        <v>2026</v>
      </c>
      <c r="D37" s="685" t="s">
        <v>3580</v>
      </c>
      <c r="E37" s="689" t="s">
        <v>2345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7"/>
      <c r="Q37" s="782">
        <f t="shared" si="2"/>
        <v>0</v>
      </c>
      <c r="R37" s="707"/>
      <c r="S37" s="707"/>
      <c r="T37" s="707"/>
      <c r="U37" s="782"/>
      <c r="V37" s="782"/>
      <c r="W37" s="778"/>
      <c r="X37" s="814"/>
      <c r="Y37" s="695" t="s">
        <v>3358</v>
      </c>
      <c r="Z37" s="881"/>
      <c r="AA37" s="781" t="e">
        <f t="shared" si="0"/>
        <v>#DIV/0!</v>
      </c>
    </row>
    <row r="38" spans="1:27" s="784" customFormat="1" ht="18" customHeight="1" x14ac:dyDescent="0.25">
      <c r="A38" s="744">
        <v>28</v>
      </c>
      <c r="B38" s="745"/>
      <c r="C38" s="746">
        <v>2026</v>
      </c>
      <c r="D38" s="685" t="s">
        <v>4427</v>
      </c>
      <c r="E38" s="689" t="s">
        <v>4428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7"/>
      <c r="Q38" s="782">
        <f t="shared" si="2"/>
        <v>0</v>
      </c>
      <c r="R38" s="707"/>
      <c r="S38" s="707"/>
      <c r="T38" s="707"/>
      <c r="U38" s="782"/>
      <c r="V38" s="782"/>
      <c r="W38" s="778"/>
      <c r="X38" s="814"/>
      <c r="Y38" s="695" t="s">
        <v>4498</v>
      </c>
      <c r="Z38" s="881"/>
      <c r="AA38" s="781" t="e">
        <f t="shared" si="0"/>
        <v>#DIV/0!</v>
      </c>
    </row>
    <row r="39" spans="1:27" s="784" customFormat="1" ht="18" customHeight="1" x14ac:dyDescent="0.25">
      <c r="A39" s="744">
        <v>29</v>
      </c>
      <c r="B39" s="745"/>
      <c r="C39" s="746">
        <v>2026</v>
      </c>
      <c r="D39" s="685" t="s">
        <v>4429</v>
      </c>
      <c r="E39" s="689" t="s">
        <v>4393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82">
        <f>SUM(F39:P39)/11</f>
        <v>0</v>
      </c>
      <c r="R39" s="707"/>
      <c r="S39" s="707"/>
      <c r="T39" s="707"/>
      <c r="U39" s="782"/>
      <c r="V39" s="782"/>
      <c r="W39" s="778"/>
      <c r="X39" s="814"/>
      <c r="Y39" s="695" t="s">
        <v>2523</v>
      </c>
      <c r="Z39" s="881"/>
      <c r="AA39" s="781" t="e">
        <f t="shared" si="0"/>
        <v>#DIV/0!</v>
      </c>
    </row>
    <row r="40" spans="1:27" s="784" customFormat="1" ht="18" customHeight="1" x14ac:dyDescent="0.25">
      <c r="A40" s="744">
        <v>30</v>
      </c>
      <c r="B40" s="745"/>
      <c r="C40" s="746">
        <v>2026</v>
      </c>
      <c r="D40" s="685" t="s">
        <v>3707</v>
      </c>
      <c r="E40" s="689" t="s">
        <v>2568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82">
        <f t="shared" si="2"/>
        <v>0</v>
      </c>
      <c r="R40" s="707"/>
      <c r="S40" s="707"/>
      <c r="T40" s="707"/>
      <c r="U40" s="782"/>
      <c r="V40" s="782"/>
      <c r="W40" s="778"/>
      <c r="X40" s="814"/>
      <c r="Y40" s="695" t="s">
        <v>2517</v>
      </c>
      <c r="Z40" s="881"/>
      <c r="AA40" s="781" t="e">
        <f t="shared" si="0"/>
        <v>#DIV/0!</v>
      </c>
    </row>
    <row r="41" spans="1:27" s="784" customFormat="1" ht="18" customHeight="1" x14ac:dyDescent="0.25">
      <c r="A41" s="744">
        <v>31</v>
      </c>
      <c r="B41" s="745"/>
      <c r="C41" s="746">
        <v>2026</v>
      </c>
      <c r="D41" s="685" t="s">
        <v>4430</v>
      </c>
      <c r="E41" s="689" t="s">
        <v>2768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82">
        <f t="shared" si="2"/>
        <v>0</v>
      </c>
      <c r="R41" s="707"/>
      <c r="S41" s="707"/>
      <c r="T41" s="707"/>
      <c r="U41" s="782"/>
      <c r="V41" s="782"/>
      <c r="W41" s="778"/>
      <c r="X41" s="814"/>
      <c r="Y41" s="695" t="s">
        <v>4499</v>
      </c>
      <c r="Z41" s="881"/>
      <c r="AA41" s="781" t="e">
        <f t="shared" si="0"/>
        <v>#DIV/0!</v>
      </c>
    </row>
    <row r="42" spans="1:27" s="784" customFormat="1" ht="18" customHeight="1" x14ac:dyDescent="0.25">
      <c r="A42" s="744">
        <v>32</v>
      </c>
      <c r="B42" s="745"/>
      <c r="C42" s="746">
        <v>2026</v>
      </c>
      <c r="D42" s="685" t="s">
        <v>4431</v>
      </c>
      <c r="E42" s="689" t="s">
        <v>4165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82">
        <f t="shared" si="2"/>
        <v>0</v>
      </c>
      <c r="R42" s="707"/>
      <c r="S42" s="707"/>
      <c r="T42" s="707"/>
      <c r="U42" s="782"/>
      <c r="V42" s="782"/>
      <c r="W42" s="778"/>
      <c r="X42" s="814"/>
      <c r="Y42" s="695" t="s">
        <v>4500</v>
      </c>
      <c r="Z42" s="881"/>
      <c r="AA42" s="781" t="e">
        <f t="shared" si="0"/>
        <v>#DIV/0!</v>
      </c>
    </row>
    <row r="43" spans="1:27" s="784" customFormat="1" ht="18" customHeight="1" x14ac:dyDescent="0.25">
      <c r="A43" s="744">
        <v>33</v>
      </c>
      <c r="B43" s="745"/>
      <c r="C43" s="746">
        <v>2026</v>
      </c>
      <c r="D43" s="685" t="s">
        <v>4432</v>
      </c>
      <c r="E43" s="689" t="s">
        <v>4433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82">
        <f t="shared" si="2"/>
        <v>0</v>
      </c>
      <c r="R43" s="707"/>
      <c r="S43" s="707"/>
      <c r="T43" s="707"/>
      <c r="U43" s="782"/>
      <c r="V43" s="782"/>
      <c r="W43" s="778"/>
      <c r="X43" s="814"/>
      <c r="Y43" s="695" t="s">
        <v>3470</v>
      </c>
      <c r="Z43" s="881"/>
      <c r="AA43" s="781" t="e">
        <f t="shared" si="0"/>
        <v>#DIV/0!</v>
      </c>
    </row>
    <row r="44" spans="1:27" s="784" customFormat="1" ht="18" customHeight="1" x14ac:dyDescent="0.25">
      <c r="A44" s="744">
        <v>34</v>
      </c>
      <c r="B44" s="745"/>
      <c r="C44" s="746">
        <v>2026</v>
      </c>
      <c r="D44" s="685" t="s">
        <v>4434</v>
      </c>
      <c r="E44" s="689" t="s">
        <v>4435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82">
        <f t="shared" si="2"/>
        <v>0</v>
      </c>
      <c r="R44" s="707"/>
      <c r="S44" s="707"/>
      <c r="T44" s="707"/>
      <c r="U44" s="782"/>
      <c r="V44" s="782"/>
      <c r="W44" s="778"/>
      <c r="X44" s="814"/>
      <c r="Y44" s="695" t="s">
        <v>4501</v>
      </c>
      <c r="Z44" s="881"/>
      <c r="AA44" s="781" t="e">
        <f t="shared" si="0"/>
        <v>#DIV/0!</v>
      </c>
    </row>
    <row r="45" spans="1:27" s="784" customFormat="1" ht="18" customHeight="1" x14ac:dyDescent="0.25">
      <c r="A45" s="744">
        <v>35</v>
      </c>
      <c r="B45" s="745"/>
      <c r="C45" s="746">
        <v>2026</v>
      </c>
      <c r="D45" s="685" t="s">
        <v>4436</v>
      </c>
      <c r="E45" s="689" t="s">
        <v>4437</v>
      </c>
      <c r="F45" s="707"/>
      <c r="G45" s="707"/>
      <c r="H45" s="707"/>
      <c r="I45" s="707"/>
      <c r="J45" s="707"/>
      <c r="K45" s="707"/>
      <c r="L45" s="707"/>
      <c r="M45" s="707"/>
      <c r="N45" s="707"/>
      <c r="O45" s="707"/>
      <c r="P45" s="707"/>
      <c r="Q45" s="782">
        <f t="shared" si="2"/>
        <v>0</v>
      </c>
      <c r="R45" s="707"/>
      <c r="S45" s="707"/>
      <c r="T45" s="707"/>
      <c r="U45" s="782"/>
      <c r="V45" s="782"/>
      <c r="W45" s="778"/>
      <c r="X45" s="814"/>
      <c r="Y45" s="695" t="s">
        <v>2985</v>
      </c>
      <c r="Z45" s="881"/>
      <c r="AA45" s="781" t="e">
        <f t="shared" si="0"/>
        <v>#DIV/0!</v>
      </c>
    </row>
    <row r="46" spans="1:27" s="784" customFormat="1" ht="18" customHeight="1" x14ac:dyDescent="0.25">
      <c r="A46" s="744">
        <v>36</v>
      </c>
      <c r="B46" s="745"/>
      <c r="C46" s="746">
        <v>2026</v>
      </c>
      <c r="D46" s="685" t="s">
        <v>2622</v>
      </c>
      <c r="E46" s="689" t="s">
        <v>4247</v>
      </c>
      <c r="F46" s="707"/>
      <c r="G46" s="707"/>
      <c r="H46" s="707"/>
      <c r="I46" s="707"/>
      <c r="J46" s="707"/>
      <c r="K46" s="707"/>
      <c r="L46" s="707"/>
      <c r="M46" s="707"/>
      <c r="N46" s="707"/>
      <c r="O46" s="707"/>
      <c r="P46" s="707"/>
      <c r="Q46" s="782">
        <f t="shared" si="2"/>
        <v>0</v>
      </c>
      <c r="R46" s="707"/>
      <c r="S46" s="707"/>
      <c r="T46" s="707"/>
      <c r="U46" s="782"/>
      <c r="V46" s="782"/>
      <c r="W46" s="778"/>
      <c r="X46" s="814"/>
      <c r="Y46" s="695" t="s">
        <v>4500</v>
      </c>
      <c r="Z46" s="881"/>
      <c r="AA46" s="781" t="e">
        <f t="shared" si="0"/>
        <v>#DIV/0!</v>
      </c>
    </row>
    <row r="47" spans="1:27" s="784" customFormat="1" ht="18" customHeight="1" x14ac:dyDescent="0.25">
      <c r="A47" s="744">
        <v>37</v>
      </c>
      <c r="B47" s="745"/>
      <c r="C47" s="746">
        <v>2026</v>
      </c>
      <c r="D47" s="685" t="s">
        <v>4438</v>
      </c>
      <c r="E47" s="689" t="s">
        <v>3065</v>
      </c>
      <c r="F47" s="707"/>
      <c r="G47" s="707"/>
      <c r="H47" s="707"/>
      <c r="I47" s="707"/>
      <c r="J47" s="707"/>
      <c r="K47" s="707"/>
      <c r="L47" s="707"/>
      <c r="M47" s="707"/>
      <c r="N47" s="707"/>
      <c r="O47" s="707"/>
      <c r="P47" s="707"/>
      <c r="Q47" s="782">
        <f t="shared" si="2"/>
        <v>0</v>
      </c>
      <c r="R47" s="707"/>
      <c r="S47" s="707"/>
      <c r="T47" s="707"/>
      <c r="U47" s="782"/>
      <c r="V47" s="782"/>
      <c r="W47" s="778"/>
      <c r="X47" s="814"/>
      <c r="Y47" s="695" t="s">
        <v>4502</v>
      </c>
      <c r="Z47" s="881"/>
      <c r="AA47" s="781" t="e">
        <f t="shared" si="0"/>
        <v>#DIV/0!</v>
      </c>
    </row>
    <row r="48" spans="1:27" s="784" customFormat="1" ht="18" customHeight="1" x14ac:dyDescent="0.25">
      <c r="A48" s="744">
        <v>38</v>
      </c>
      <c r="B48" s="745"/>
      <c r="C48" s="746">
        <v>2026</v>
      </c>
      <c r="D48" s="685" t="s">
        <v>4439</v>
      </c>
      <c r="E48" s="689" t="s">
        <v>4440</v>
      </c>
      <c r="F48" s="707"/>
      <c r="G48" s="707"/>
      <c r="H48" s="707"/>
      <c r="I48" s="707"/>
      <c r="J48" s="707"/>
      <c r="K48" s="707"/>
      <c r="L48" s="707"/>
      <c r="M48" s="707"/>
      <c r="N48" s="707"/>
      <c r="O48" s="707"/>
      <c r="P48" s="707"/>
      <c r="Q48" s="782">
        <f t="shared" si="2"/>
        <v>0</v>
      </c>
      <c r="R48" s="707"/>
      <c r="S48" s="707"/>
      <c r="T48" s="707"/>
      <c r="U48" s="782"/>
      <c r="V48" s="782"/>
      <c r="W48" s="778"/>
      <c r="X48" s="814"/>
      <c r="Y48" s="695" t="s">
        <v>2537</v>
      </c>
      <c r="Z48" s="881"/>
      <c r="AA48" s="781" t="e">
        <f t="shared" si="0"/>
        <v>#DIV/0!</v>
      </c>
    </row>
    <row r="49" spans="1:27" s="784" customFormat="1" ht="18" customHeight="1" x14ac:dyDescent="0.25">
      <c r="A49" s="744">
        <v>39</v>
      </c>
      <c r="B49" s="745"/>
      <c r="C49" s="746">
        <v>2026</v>
      </c>
      <c r="D49" s="685" t="s">
        <v>4441</v>
      </c>
      <c r="E49" s="689" t="s">
        <v>4442</v>
      </c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82">
        <f t="shared" si="2"/>
        <v>0</v>
      </c>
      <c r="R49" s="707"/>
      <c r="S49" s="707"/>
      <c r="T49" s="707"/>
      <c r="U49" s="782"/>
      <c r="V49" s="782"/>
      <c r="W49" s="778"/>
      <c r="X49" s="814"/>
      <c r="Y49" s="695" t="s">
        <v>2978</v>
      </c>
      <c r="Z49" s="881"/>
      <c r="AA49" s="781" t="e">
        <f t="shared" ref="AA49:AA81" si="3">AVERAGE(F49:P49)</f>
        <v>#DIV/0!</v>
      </c>
    </row>
    <row r="50" spans="1:27" s="784" customFormat="1" ht="18" customHeight="1" x14ac:dyDescent="0.25">
      <c r="A50" s="744">
        <v>40</v>
      </c>
      <c r="B50" s="745"/>
      <c r="C50" s="746">
        <v>2026</v>
      </c>
      <c r="D50" s="685" t="s">
        <v>4443</v>
      </c>
      <c r="E50" s="689" t="s">
        <v>1245</v>
      </c>
      <c r="F50" s="707"/>
      <c r="G50" s="707"/>
      <c r="H50" s="707"/>
      <c r="I50" s="707"/>
      <c r="J50" s="707"/>
      <c r="K50" s="707"/>
      <c r="L50" s="707"/>
      <c r="M50" s="707"/>
      <c r="N50" s="707"/>
      <c r="O50" s="707"/>
      <c r="P50" s="707"/>
      <c r="Q50" s="782">
        <f t="shared" si="2"/>
        <v>0</v>
      </c>
      <c r="R50" s="707"/>
      <c r="S50" s="707"/>
      <c r="T50" s="707"/>
      <c r="U50" s="782"/>
      <c r="V50" s="782"/>
      <c r="W50" s="778"/>
      <c r="X50" s="814"/>
      <c r="Y50" s="695" t="s">
        <v>4493</v>
      </c>
      <c r="Z50" s="881"/>
      <c r="AA50" s="781" t="e">
        <f t="shared" si="3"/>
        <v>#DIV/0!</v>
      </c>
    </row>
    <row r="51" spans="1:27" s="784" customFormat="1" ht="18" customHeight="1" x14ac:dyDescent="0.25">
      <c r="A51" s="744">
        <v>41</v>
      </c>
      <c r="B51" s="745"/>
      <c r="C51" s="746">
        <v>2026</v>
      </c>
      <c r="D51" s="685" t="s">
        <v>4444</v>
      </c>
      <c r="E51" s="689" t="s">
        <v>3114</v>
      </c>
      <c r="F51" s="707"/>
      <c r="G51" s="707"/>
      <c r="H51" s="707"/>
      <c r="I51" s="707"/>
      <c r="J51" s="707"/>
      <c r="K51" s="707"/>
      <c r="L51" s="707"/>
      <c r="M51" s="707"/>
      <c r="N51" s="707"/>
      <c r="O51" s="707"/>
      <c r="P51" s="707"/>
      <c r="Q51" s="782">
        <f t="shared" si="2"/>
        <v>0</v>
      </c>
      <c r="R51" s="707"/>
      <c r="S51" s="707"/>
      <c r="T51" s="707"/>
      <c r="U51" s="782"/>
      <c r="V51" s="782"/>
      <c r="W51" s="778"/>
      <c r="X51" s="814"/>
      <c r="Y51" s="695" t="s">
        <v>2724</v>
      </c>
      <c r="Z51" s="881"/>
      <c r="AA51" s="781" t="e">
        <f t="shared" si="3"/>
        <v>#DIV/0!</v>
      </c>
    </row>
    <row r="52" spans="1:27" s="784" customFormat="1" ht="18" customHeight="1" x14ac:dyDescent="0.25">
      <c r="A52" s="744">
        <v>42</v>
      </c>
      <c r="B52" s="745"/>
      <c r="C52" s="746">
        <v>2026</v>
      </c>
      <c r="D52" s="685" t="s">
        <v>4445</v>
      </c>
      <c r="E52" s="689" t="s">
        <v>4446</v>
      </c>
      <c r="F52" s="707"/>
      <c r="G52" s="707"/>
      <c r="H52" s="707"/>
      <c r="I52" s="707"/>
      <c r="J52" s="707"/>
      <c r="K52" s="707"/>
      <c r="L52" s="707"/>
      <c r="M52" s="707"/>
      <c r="N52" s="707"/>
      <c r="O52" s="707"/>
      <c r="P52" s="707"/>
      <c r="Q52" s="782">
        <f t="shared" si="2"/>
        <v>0</v>
      </c>
      <c r="R52" s="707"/>
      <c r="S52" s="707"/>
      <c r="T52" s="707"/>
      <c r="U52" s="782"/>
      <c r="V52" s="782"/>
      <c r="W52" s="778"/>
      <c r="X52" s="814"/>
      <c r="Y52" s="695" t="s">
        <v>4498</v>
      </c>
      <c r="Z52" s="881"/>
      <c r="AA52" s="781" t="e">
        <f t="shared" si="3"/>
        <v>#DIV/0!</v>
      </c>
    </row>
    <row r="53" spans="1:27" s="784" customFormat="1" ht="18" customHeight="1" x14ac:dyDescent="0.25">
      <c r="A53" s="744">
        <v>43</v>
      </c>
      <c r="B53" s="745"/>
      <c r="C53" s="746">
        <v>2026</v>
      </c>
      <c r="D53" s="685" t="s">
        <v>4447</v>
      </c>
      <c r="E53" s="689" t="s">
        <v>2965</v>
      </c>
      <c r="F53" s="707"/>
      <c r="G53" s="707"/>
      <c r="H53" s="707"/>
      <c r="I53" s="707"/>
      <c r="J53" s="707"/>
      <c r="K53" s="707"/>
      <c r="L53" s="707"/>
      <c r="M53" s="707"/>
      <c r="N53" s="707"/>
      <c r="O53" s="707"/>
      <c r="P53" s="707"/>
      <c r="Q53" s="782">
        <f t="shared" si="2"/>
        <v>0</v>
      </c>
      <c r="R53" s="707"/>
      <c r="S53" s="707"/>
      <c r="T53" s="707"/>
      <c r="U53" s="782"/>
      <c r="V53" s="782"/>
      <c r="W53" s="778"/>
      <c r="X53" s="814"/>
      <c r="Y53" s="695" t="s">
        <v>3832</v>
      </c>
      <c r="Z53" s="881"/>
      <c r="AA53" s="781" t="e">
        <f t="shared" si="3"/>
        <v>#DIV/0!</v>
      </c>
    </row>
    <row r="54" spans="1:27" s="784" customFormat="1" ht="18" customHeight="1" x14ac:dyDescent="0.25">
      <c r="A54" s="744">
        <v>44</v>
      </c>
      <c r="B54" s="745"/>
      <c r="C54" s="746">
        <v>2026</v>
      </c>
      <c r="D54" s="685" t="s">
        <v>4448</v>
      </c>
      <c r="E54" s="689" t="s">
        <v>3788</v>
      </c>
      <c r="F54" s="707"/>
      <c r="G54" s="757"/>
      <c r="H54" s="707"/>
      <c r="I54" s="707"/>
      <c r="J54" s="707"/>
      <c r="K54" s="707"/>
      <c r="L54" s="707"/>
      <c r="M54" s="707"/>
      <c r="N54" s="707"/>
      <c r="O54" s="707"/>
      <c r="P54" s="707"/>
      <c r="Q54" s="782">
        <f t="shared" si="2"/>
        <v>0</v>
      </c>
      <c r="R54" s="707"/>
      <c r="S54" s="707"/>
      <c r="T54" s="707"/>
      <c r="U54" s="782"/>
      <c r="V54" s="782"/>
      <c r="W54" s="778"/>
      <c r="X54" s="814"/>
      <c r="Y54" s="695" t="s">
        <v>3832</v>
      </c>
      <c r="Z54" s="881"/>
      <c r="AA54" s="781" t="e">
        <f t="shared" si="3"/>
        <v>#DIV/0!</v>
      </c>
    </row>
    <row r="55" spans="1:27" s="784" customFormat="1" ht="18" customHeight="1" x14ac:dyDescent="0.25">
      <c r="A55" s="744">
        <v>45</v>
      </c>
      <c r="B55" s="745"/>
      <c r="C55" s="746">
        <v>2026</v>
      </c>
      <c r="D55" s="685" t="s">
        <v>4449</v>
      </c>
      <c r="E55" s="689" t="s">
        <v>4450</v>
      </c>
      <c r="F55" s="707"/>
      <c r="G55" s="707"/>
      <c r="H55" s="707"/>
      <c r="I55" s="707"/>
      <c r="J55" s="707"/>
      <c r="K55" s="707"/>
      <c r="L55" s="707"/>
      <c r="M55" s="707"/>
      <c r="N55" s="707"/>
      <c r="O55" s="707"/>
      <c r="P55" s="707"/>
      <c r="Q55" s="782">
        <f t="shared" si="2"/>
        <v>0</v>
      </c>
      <c r="R55" s="707"/>
      <c r="S55" s="707"/>
      <c r="T55" s="707"/>
      <c r="U55" s="782"/>
      <c r="V55" s="782"/>
      <c r="W55" s="778"/>
      <c r="X55" s="814"/>
      <c r="Y55" s="695" t="s">
        <v>2973</v>
      </c>
      <c r="Z55" s="881"/>
      <c r="AA55" s="781" t="e">
        <f t="shared" si="3"/>
        <v>#DIV/0!</v>
      </c>
    </row>
    <row r="56" spans="1:27" s="784" customFormat="1" ht="18" customHeight="1" x14ac:dyDescent="0.25">
      <c r="A56" s="744">
        <v>46</v>
      </c>
      <c r="B56" s="745"/>
      <c r="C56" s="746">
        <v>2026</v>
      </c>
      <c r="D56" s="685" t="s">
        <v>4451</v>
      </c>
      <c r="E56" s="689" t="s">
        <v>4452</v>
      </c>
      <c r="F56" s="707"/>
      <c r="G56" s="707"/>
      <c r="H56" s="707"/>
      <c r="I56" s="707"/>
      <c r="J56" s="707"/>
      <c r="K56" s="707"/>
      <c r="L56" s="707"/>
      <c r="M56" s="707"/>
      <c r="N56" s="707"/>
      <c r="O56" s="707"/>
      <c r="P56" s="707"/>
      <c r="Q56" s="782">
        <f t="shared" si="2"/>
        <v>0</v>
      </c>
      <c r="R56" s="707"/>
      <c r="S56" s="707"/>
      <c r="T56" s="707"/>
      <c r="U56" s="782"/>
      <c r="V56" s="782"/>
      <c r="W56" s="778"/>
      <c r="X56" s="814"/>
      <c r="Y56" s="695" t="s">
        <v>4503</v>
      </c>
      <c r="Z56" s="881"/>
      <c r="AA56" s="781" t="e">
        <f t="shared" si="3"/>
        <v>#DIV/0!</v>
      </c>
    </row>
    <row r="57" spans="1:27" s="784" customFormat="1" ht="18" customHeight="1" x14ac:dyDescent="0.25">
      <c r="A57" s="744">
        <v>47</v>
      </c>
      <c r="B57" s="745"/>
      <c r="C57" s="746">
        <v>2026</v>
      </c>
      <c r="D57" s="685" t="s">
        <v>4453</v>
      </c>
      <c r="E57" s="689" t="s">
        <v>2675</v>
      </c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82">
        <f t="shared" si="2"/>
        <v>0</v>
      </c>
      <c r="R57" s="707"/>
      <c r="S57" s="707"/>
      <c r="T57" s="707"/>
      <c r="U57" s="782"/>
      <c r="V57" s="782"/>
      <c r="W57" s="778"/>
      <c r="X57" s="814"/>
      <c r="Y57" s="695" t="s">
        <v>3826</v>
      </c>
      <c r="Z57" s="881"/>
      <c r="AA57" s="781" t="e">
        <f t="shared" si="3"/>
        <v>#DIV/0!</v>
      </c>
    </row>
    <row r="58" spans="1:27" s="784" customFormat="1" ht="18" customHeight="1" x14ac:dyDescent="0.25">
      <c r="A58" s="744">
        <v>48</v>
      </c>
      <c r="B58" s="745"/>
      <c r="C58" s="746">
        <v>2026</v>
      </c>
      <c r="D58" s="685" t="s">
        <v>4454</v>
      </c>
      <c r="E58" s="689" t="s">
        <v>4455</v>
      </c>
      <c r="F58" s="707"/>
      <c r="G58" s="707"/>
      <c r="H58" s="707"/>
      <c r="I58" s="707"/>
      <c r="J58" s="707"/>
      <c r="K58" s="707"/>
      <c r="L58" s="707"/>
      <c r="M58" s="707"/>
      <c r="N58" s="707"/>
      <c r="O58" s="707"/>
      <c r="P58" s="707"/>
      <c r="Q58" s="782">
        <f t="shared" si="2"/>
        <v>0</v>
      </c>
      <c r="R58" s="707"/>
      <c r="S58" s="707"/>
      <c r="T58" s="707"/>
      <c r="U58" s="782"/>
      <c r="V58" s="782"/>
      <c r="W58" s="778"/>
      <c r="X58" s="814"/>
      <c r="Y58" s="695" t="s">
        <v>4504</v>
      </c>
      <c r="Z58" s="881"/>
      <c r="AA58" s="781" t="e">
        <f t="shared" si="3"/>
        <v>#DIV/0!</v>
      </c>
    </row>
    <row r="59" spans="1:27" s="784" customFormat="1" ht="18" customHeight="1" x14ac:dyDescent="0.25">
      <c r="A59" s="744">
        <v>49</v>
      </c>
      <c r="B59" s="745"/>
      <c r="C59" s="746">
        <v>2026</v>
      </c>
      <c r="D59" s="685" t="s">
        <v>4456</v>
      </c>
      <c r="E59" s="689" t="s">
        <v>2681</v>
      </c>
      <c r="F59" s="707"/>
      <c r="G59" s="707"/>
      <c r="H59" s="707"/>
      <c r="I59" s="707"/>
      <c r="J59" s="707"/>
      <c r="K59" s="707"/>
      <c r="L59" s="707"/>
      <c r="M59" s="707"/>
      <c r="N59" s="707"/>
      <c r="O59" s="707"/>
      <c r="P59" s="707"/>
      <c r="Q59" s="782">
        <f t="shared" si="2"/>
        <v>0</v>
      </c>
      <c r="R59" s="707"/>
      <c r="S59" s="707"/>
      <c r="T59" s="707"/>
      <c r="U59" s="782"/>
      <c r="V59" s="782"/>
      <c r="W59" s="778"/>
      <c r="X59" s="814"/>
      <c r="Y59" s="695" t="s">
        <v>4495</v>
      </c>
      <c r="Z59" s="881"/>
      <c r="AA59" s="781" t="e">
        <f t="shared" si="3"/>
        <v>#DIV/0!</v>
      </c>
    </row>
    <row r="60" spans="1:27" s="784" customFormat="1" ht="18" customHeight="1" x14ac:dyDescent="0.25">
      <c r="A60" s="744">
        <v>50</v>
      </c>
      <c r="B60" s="745"/>
      <c r="C60" s="746">
        <v>2026</v>
      </c>
      <c r="D60" s="685" t="s">
        <v>4457</v>
      </c>
      <c r="E60" s="689" t="s">
        <v>3889</v>
      </c>
      <c r="F60" s="707"/>
      <c r="G60" s="707"/>
      <c r="H60" s="707"/>
      <c r="I60" s="707"/>
      <c r="J60" s="707"/>
      <c r="K60" s="707"/>
      <c r="L60" s="707"/>
      <c r="M60" s="707"/>
      <c r="N60" s="707"/>
      <c r="O60" s="707"/>
      <c r="P60" s="707"/>
      <c r="Q60" s="782">
        <f t="shared" si="2"/>
        <v>0</v>
      </c>
      <c r="R60" s="707"/>
      <c r="S60" s="707"/>
      <c r="T60" s="707"/>
      <c r="U60" s="782"/>
      <c r="V60" s="782"/>
      <c r="W60" s="778"/>
      <c r="X60" s="814"/>
      <c r="Y60" s="695" t="s">
        <v>4498</v>
      </c>
      <c r="Z60" s="881"/>
      <c r="AA60" s="781" t="e">
        <f t="shared" si="3"/>
        <v>#DIV/0!</v>
      </c>
    </row>
    <row r="61" spans="1:27" s="784" customFormat="1" ht="18" customHeight="1" x14ac:dyDescent="0.25">
      <c r="A61" s="744">
        <v>51</v>
      </c>
      <c r="B61" s="745"/>
      <c r="C61" s="746">
        <v>2026</v>
      </c>
      <c r="D61" s="685" t="s">
        <v>4458</v>
      </c>
      <c r="E61" s="689" t="s">
        <v>4459</v>
      </c>
      <c r="F61" s="707"/>
      <c r="G61" s="707"/>
      <c r="H61" s="707"/>
      <c r="I61" s="707"/>
      <c r="J61" s="707"/>
      <c r="K61" s="707"/>
      <c r="L61" s="707"/>
      <c r="M61" s="707"/>
      <c r="N61" s="707"/>
      <c r="O61" s="707"/>
      <c r="P61" s="707"/>
      <c r="Q61" s="782">
        <f t="shared" si="2"/>
        <v>0</v>
      </c>
      <c r="R61" s="707"/>
      <c r="S61" s="707"/>
      <c r="T61" s="707"/>
      <c r="U61" s="782"/>
      <c r="V61" s="782"/>
      <c r="W61" s="778"/>
      <c r="X61" s="814"/>
      <c r="Y61" s="695" t="s">
        <v>2987</v>
      </c>
      <c r="Z61" s="881"/>
      <c r="AA61" s="781" t="e">
        <f t="shared" si="3"/>
        <v>#DIV/0!</v>
      </c>
    </row>
    <row r="62" spans="1:27" s="784" customFormat="1" ht="18" customHeight="1" x14ac:dyDescent="0.25">
      <c r="A62" s="744">
        <v>52</v>
      </c>
      <c r="B62" s="745"/>
      <c r="C62" s="746">
        <v>2026</v>
      </c>
      <c r="D62" s="685" t="s">
        <v>4460</v>
      </c>
      <c r="E62" s="689" t="s">
        <v>3873</v>
      </c>
      <c r="F62" s="707"/>
      <c r="G62" s="707"/>
      <c r="H62" s="707"/>
      <c r="I62" s="707"/>
      <c r="J62" s="707"/>
      <c r="K62" s="707"/>
      <c r="L62" s="707"/>
      <c r="M62" s="707"/>
      <c r="N62" s="707"/>
      <c r="O62" s="707"/>
      <c r="P62" s="707"/>
      <c r="Q62" s="782">
        <f t="shared" si="2"/>
        <v>0</v>
      </c>
      <c r="R62" s="707"/>
      <c r="S62" s="707"/>
      <c r="T62" s="707"/>
      <c r="U62" s="782"/>
      <c r="V62" s="782"/>
      <c r="W62" s="778"/>
      <c r="X62" s="814"/>
      <c r="Y62" s="695" t="s">
        <v>4500</v>
      </c>
      <c r="Z62" s="881"/>
      <c r="AA62" s="781" t="e">
        <f t="shared" si="3"/>
        <v>#DIV/0!</v>
      </c>
    </row>
    <row r="63" spans="1:27" s="784" customFormat="1" ht="18" customHeight="1" x14ac:dyDescent="0.25">
      <c r="A63" s="744">
        <v>53</v>
      </c>
      <c r="B63" s="745"/>
      <c r="C63" s="746">
        <v>2026</v>
      </c>
      <c r="D63" s="685" t="s">
        <v>4461</v>
      </c>
      <c r="E63" s="689" t="s">
        <v>3122</v>
      </c>
      <c r="F63" s="707"/>
      <c r="G63" s="707"/>
      <c r="H63" s="707"/>
      <c r="I63" s="707"/>
      <c r="J63" s="707"/>
      <c r="K63" s="707"/>
      <c r="L63" s="707"/>
      <c r="M63" s="707"/>
      <c r="N63" s="707"/>
      <c r="O63" s="707"/>
      <c r="P63" s="707"/>
      <c r="Q63" s="782">
        <f t="shared" si="2"/>
        <v>0</v>
      </c>
      <c r="R63" s="707"/>
      <c r="S63" s="707"/>
      <c r="T63" s="707"/>
      <c r="U63" s="782"/>
      <c r="V63" s="782"/>
      <c r="W63" s="778"/>
      <c r="X63" s="814"/>
      <c r="Y63" s="695" t="s">
        <v>3832</v>
      </c>
      <c r="Z63" s="881"/>
      <c r="AA63" s="781" t="e">
        <f t="shared" si="3"/>
        <v>#DIV/0!</v>
      </c>
    </row>
    <row r="64" spans="1:27" s="784" customFormat="1" ht="18" customHeight="1" x14ac:dyDescent="0.25">
      <c r="A64" s="744">
        <v>54</v>
      </c>
      <c r="B64" s="745"/>
      <c r="C64" s="746">
        <v>2026</v>
      </c>
      <c r="D64" s="685" t="s">
        <v>4462</v>
      </c>
      <c r="E64" s="689" t="s">
        <v>4463</v>
      </c>
      <c r="F64" s="707"/>
      <c r="G64" s="707"/>
      <c r="H64" s="707"/>
      <c r="I64" s="707"/>
      <c r="J64" s="707"/>
      <c r="K64" s="707"/>
      <c r="L64" s="707"/>
      <c r="M64" s="707"/>
      <c r="N64" s="707"/>
      <c r="O64" s="707"/>
      <c r="P64" s="707"/>
      <c r="Q64" s="782">
        <f t="shared" si="2"/>
        <v>0</v>
      </c>
      <c r="R64" s="707"/>
      <c r="S64" s="707"/>
      <c r="T64" s="707"/>
      <c r="U64" s="782"/>
      <c r="V64" s="782"/>
      <c r="W64" s="778"/>
      <c r="X64" s="814"/>
      <c r="Y64" s="695" t="s">
        <v>2703</v>
      </c>
      <c r="Z64" s="881"/>
      <c r="AA64" s="781" t="e">
        <f t="shared" si="3"/>
        <v>#DIV/0!</v>
      </c>
    </row>
    <row r="65" spans="1:27" s="784" customFormat="1" ht="18" customHeight="1" x14ac:dyDescent="0.25">
      <c r="A65" s="744">
        <v>55</v>
      </c>
      <c r="B65" s="745"/>
      <c r="C65" s="746">
        <v>2026</v>
      </c>
      <c r="D65" s="685" t="s">
        <v>4464</v>
      </c>
      <c r="E65" s="689" t="s">
        <v>4465</v>
      </c>
      <c r="F65" s="707"/>
      <c r="G65" s="707"/>
      <c r="H65" s="707"/>
      <c r="I65" s="707"/>
      <c r="J65" s="707"/>
      <c r="K65" s="707"/>
      <c r="L65" s="707"/>
      <c r="M65" s="707"/>
      <c r="N65" s="707"/>
      <c r="O65" s="707"/>
      <c r="P65" s="707"/>
      <c r="Q65" s="782">
        <f t="shared" si="2"/>
        <v>0</v>
      </c>
      <c r="R65" s="707"/>
      <c r="S65" s="707"/>
      <c r="T65" s="707"/>
      <c r="U65" s="782"/>
      <c r="V65" s="782"/>
      <c r="W65" s="778"/>
      <c r="X65" s="814"/>
      <c r="Y65" s="695" t="s">
        <v>2533</v>
      </c>
      <c r="Z65" s="881"/>
      <c r="AA65" s="781" t="e">
        <f t="shared" si="3"/>
        <v>#DIV/0!</v>
      </c>
    </row>
    <row r="66" spans="1:27" s="784" customFormat="1" ht="18" customHeight="1" x14ac:dyDescent="0.25">
      <c r="A66" s="744">
        <v>56</v>
      </c>
      <c r="B66" s="745"/>
      <c r="C66" s="746">
        <v>2026</v>
      </c>
      <c r="D66" s="685" t="s">
        <v>4466</v>
      </c>
      <c r="E66" s="689" t="s">
        <v>4467</v>
      </c>
      <c r="F66" s="707"/>
      <c r="G66" s="707"/>
      <c r="H66" s="707"/>
      <c r="I66" s="707"/>
      <c r="J66" s="707"/>
      <c r="K66" s="707"/>
      <c r="L66" s="707"/>
      <c r="M66" s="707"/>
      <c r="N66" s="707"/>
      <c r="O66" s="707"/>
      <c r="P66" s="707"/>
      <c r="Q66" s="782">
        <f t="shared" si="2"/>
        <v>0</v>
      </c>
      <c r="R66" s="707"/>
      <c r="S66" s="707"/>
      <c r="T66" s="707"/>
      <c r="U66" s="782"/>
      <c r="V66" s="782"/>
      <c r="W66" s="778"/>
      <c r="X66" s="814"/>
      <c r="Y66" s="695" t="s">
        <v>3832</v>
      </c>
      <c r="Z66" s="881"/>
      <c r="AA66" s="781" t="e">
        <f t="shared" si="3"/>
        <v>#DIV/0!</v>
      </c>
    </row>
    <row r="67" spans="1:27" s="784" customFormat="1" ht="18" customHeight="1" x14ac:dyDescent="0.25">
      <c r="A67" s="744">
        <v>57</v>
      </c>
      <c r="B67" s="745"/>
      <c r="C67" s="746">
        <v>2026</v>
      </c>
      <c r="D67" s="685" t="s">
        <v>4468</v>
      </c>
      <c r="E67" s="689" t="s">
        <v>3674</v>
      </c>
      <c r="F67" s="707"/>
      <c r="G67" s="707"/>
      <c r="H67" s="707"/>
      <c r="I67" s="707"/>
      <c r="J67" s="707"/>
      <c r="K67" s="707"/>
      <c r="L67" s="707"/>
      <c r="M67" s="707"/>
      <c r="N67" s="707"/>
      <c r="O67" s="707"/>
      <c r="P67" s="707"/>
      <c r="Q67" s="782">
        <f t="shared" si="2"/>
        <v>0</v>
      </c>
      <c r="R67" s="707"/>
      <c r="S67" s="707"/>
      <c r="T67" s="707"/>
      <c r="U67" s="782"/>
      <c r="V67" s="782"/>
      <c r="W67" s="778"/>
      <c r="X67" s="814"/>
      <c r="Y67" s="695" t="s">
        <v>3358</v>
      </c>
      <c r="Z67" s="881"/>
      <c r="AA67" s="781" t="e">
        <f t="shared" si="3"/>
        <v>#DIV/0!</v>
      </c>
    </row>
    <row r="68" spans="1:27" s="784" customFormat="1" ht="18" customHeight="1" x14ac:dyDescent="0.25">
      <c r="A68" s="744">
        <v>58</v>
      </c>
      <c r="B68" s="745"/>
      <c r="C68" s="746">
        <v>2026</v>
      </c>
      <c r="D68" s="685" t="s">
        <v>3751</v>
      </c>
      <c r="E68" s="689" t="s">
        <v>4469</v>
      </c>
      <c r="F68" s="707"/>
      <c r="G68" s="707"/>
      <c r="H68" s="707"/>
      <c r="I68" s="707"/>
      <c r="J68" s="707"/>
      <c r="K68" s="707"/>
      <c r="L68" s="707"/>
      <c r="M68" s="707"/>
      <c r="N68" s="707"/>
      <c r="O68" s="707"/>
      <c r="P68" s="707"/>
      <c r="Q68" s="782">
        <f t="shared" si="2"/>
        <v>0</v>
      </c>
      <c r="R68" s="707"/>
      <c r="S68" s="707"/>
      <c r="T68" s="707"/>
      <c r="U68" s="782"/>
      <c r="V68" s="782"/>
      <c r="W68" s="778"/>
      <c r="X68" s="814"/>
      <c r="Y68" s="695" t="s">
        <v>2703</v>
      </c>
      <c r="Z68" s="881"/>
      <c r="AA68" s="781" t="e">
        <f t="shared" si="3"/>
        <v>#DIV/0!</v>
      </c>
    </row>
    <row r="69" spans="1:27" s="784" customFormat="1" ht="18" customHeight="1" x14ac:dyDescent="0.25">
      <c r="A69" s="744">
        <v>59</v>
      </c>
      <c r="B69" s="745"/>
      <c r="C69" s="746">
        <v>2026</v>
      </c>
      <c r="D69" s="685" t="s">
        <v>4470</v>
      </c>
      <c r="E69" s="689" t="s">
        <v>4471</v>
      </c>
      <c r="F69" s="707"/>
      <c r="G69" s="707"/>
      <c r="H69" s="707"/>
      <c r="I69" s="707"/>
      <c r="J69" s="707"/>
      <c r="K69" s="707"/>
      <c r="L69" s="707"/>
      <c r="M69" s="707"/>
      <c r="N69" s="707"/>
      <c r="O69" s="707"/>
      <c r="P69" s="707"/>
      <c r="Q69" s="782">
        <f t="shared" si="2"/>
        <v>0</v>
      </c>
      <c r="R69" s="707"/>
      <c r="S69" s="707"/>
      <c r="T69" s="707"/>
      <c r="U69" s="782"/>
      <c r="V69" s="782"/>
      <c r="W69" s="778"/>
      <c r="X69" s="814"/>
      <c r="Y69" s="695" t="s">
        <v>3832</v>
      </c>
      <c r="Z69" s="881"/>
      <c r="AA69" s="781" t="e">
        <f t="shared" si="3"/>
        <v>#DIV/0!</v>
      </c>
    </row>
    <row r="70" spans="1:27" s="784" customFormat="1" ht="18" customHeight="1" x14ac:dyDescent="0.25">
      <c r="A70" s="744">
        <v>60</v>
      </c>
      <c r="B70" s="745"/>
      <c r="C70" s="746">
        <v>2026</v>
      </c>
      <c r="D70" s="685" t="s">
        <v>4472</v>
      </c>
      <c r="E70" s="689" t="s">
        <v>3022</v>
      </c>
      <c r="F70" s="707"/>
      <c r="G70" s="707"/>
      <c r="H70" s="707"/>
      <c r="I70" s="707"/>
      <c r="J70" s="707"/>
      <c r="K70" s="707"/>
      <c r="L70" s="707"/>
      <c r="M70" s="707"/>
      <c r="N70" s="707"/>
      <c r="O70" s="707"/>
      <c r="P70" s="707"/>
      <c r="Q70" s="782">
        <f t="shared" si="2"/>
        <v>0</v>
      </c>
      <c r="R70" s="707"/>
      <c r="S70" s="707"/>
      <c r="T70" s="707"/>
      <c r="U70" s="782"/>
      <c r="V70" s="782"/>
      <c r="W70" s="778"/>
      <c r="X70" s="814"/>
      <c r="Y70" s="695" t="s">
        <v>4500</v>
      </c>
      <c r="Z70" s="881"/>
      <c r="AA70" s="781" t="e">
        <f t="shared" si="3"/>
        <v>#DIV/0!</v>
      </c>
    </row>
    <row r="71" spans="1:27" s="784" customFormat="1" ht="18" customHeight="1" x14ac:dyDescent="0.25">
      <c r="A71" s="744">
        <v>61</v>
      </c>
      <c r="B71" s="745"/>
      <c r="C71" s="746">
        <v>2026</v>
      </c>
      <c r="D71" s="685" t="s">
        <v>4473</v>
      </c>
      <c r="E71" s="689" t="s">
        <v>4474</v>
      </c>
      <c r="F71" s="707"/>
      <c r="G71" s="707"/>
      <c r="H71" s="707"/>
      <c r="I71" s="707"/>
      <c r="J71" s="707"/>
      <c r="K71" s="707"/>
      <c r="L71" s="707"/>
      <c r="M71" s="707"/>
      <c r="N71" s="707"/>
      <c r="O71" s="707"/>
      <c r="P71" s="707"/>
      <c r="Q71" s="782">
        <f t="shared" si="2"/>
        <v>0</v>
      </c>
      <c r="R71" s="707"/>
      <c r="S71" s="707"/>
      <c r="T71" s="707"/>
      <c r="U71" s="782"/>
      <c r="V71" s="782"/>
      <c r="W71" s="778"/>
      <c r="X71" s="814"/>
      <c r="Y71" s="695" t="s">
        <v>4494</v>
      </c>
      <c r="Z71" s="881"/>
      <c r="AA71" s="781" t="e">
        <f t="shared" si="3"/>
        <v>#DIV/0!</v>
      </c>
    </row>
    <row r="72" spans="1:27" s="784" customFormat="1" ht="18" customHeight="1" x14ac:dyDescent="0.25">
      <c r="A72" s="744">
        <v>62</v>
      </c>
      <c r="B72" s="745"/>
      <c r="C72" s="746">
        <v>2026</v>
      </c>
      <c r="D72" s="685" t="s">
        <v>4475</v>
      </c>
      <c r="E72" s="689" t="s">
        <v>4217</v>
      </c>
      <c r="F72" s="707"/>
      <c r="G72" s="707"/>
      <c r="H72" s="707"/>
      <c r="I72" s="707"/>
      <c r="J72" s="707"/>
      <c r="K72" s="707"/>
      <c r="L72" s="707"/>
      <c r="M72" s="707"/>
      <c r="N72" s="707"/>
      <c r="O72" s="707"/>
      <c r="P72" s="707"/>
      <c r="Q72" s="782">
        <f t="shared" si="2"/>
        <v>0</v>
      </c>
      <c r="R72" s="707"/>
      <c r="S72" s="707"/>
      <c r="T72" s="707"/>
      <c r="U72" s="782"/>
      <c r="V72" s="782"/>
      <c r="W72" s="778"/>
      <c r="X72" s="814"/>
      <c r="Y72" s="695" t="s">
        <v>4505</v>
      </c>
      <c r="Z72" s="881"/>
      <c r="AA72" s="781" t="e">
        <f t="shared" si="3"/>
        <v>#DIV/0!</v>
      </c>
    </row>
    <row r="73" spans="1:27" s="784" customFormat="1" ht="18" customHeight="1" x14ac:dyDescent="0.25">
      <c r="A73" s="744">
        <v>63</v>
      </c>
      <c r="B73" s="745"/>
      <c r="C73" s="746">
        <v>2026</v>
      </c>
      <c r="D73" s="685" t="s">
        <v>4476</v>
      </c>
      <c r="E73" s="689" t="s">
        <v>2783</v>
      </c>
      <c r="F73" s="707"/>
      <c r="G73" s="707"/>
      <c r="H73" s="707"/>
      <c r="I73" s="707"/>
      <c r="J73" s="707"/>
      <c r="K73" s="707"/>
      <c r="L73" s="707"/>
      <c r="M73" s="707"/>
      <c r="N73" s="707"/>
      <c r="O73" s="707"/>
      <c r="P73" s="707"/>
      <c r="Q73" s="782">
        <f t="shared" si="2"/>
        <v>0</v>
      </c>
      <c r="R73" s="707"/>
      <c r="S73" s="707"/>
      <c r="T73" s="707"/>
      <c r="U73" s="782"/>
      <c r="V73" s="782"/>
      <c r="W73" s="778"/>
      <c r="X73" s="814"/>
      <c r="Y73" s="695" t="s">
        <v>3457</v>
      </c>
      <c r="Z73" s="881"/>
      <c r="AA73" s="781" t="e">
        <f t="shared" si="3"/>
        <v>#DIV/0!</v>
      </c>
    </row>
    <row r="74" spans="1:27" s="784" customFormat="1" ht="18" customHeight="1" x14ac:dyDescent="0.25">
      <c r="A74" s="744">
        <v>64</v>
      </c>
      <c r="B74" s="745"/>
      <c r="C74" s="746">
        <v>2026</v>
      </c>
      <c r="D74" s="685" t="s">
        <v>4477</v>
      </c>
      <c r="E74" s="689" t="s">
        <v>4478</v>
      </c>
      <c r="F74" s="707"/>
      <c r="G74" s="707"/>
      <c r="H74" s="707"/>
      <c r="I74" s="707"/>
      <c r="J74" s="707"/>
      <c r="K74" s="707"/>
      <c r="L74" s="707"/>
      <c r="M74" s="707"/>
      <c r="N74" s="707"/>
      <c r="O74" s="707"/>
      <c r="P74" s="707"/>
      <c r="Q74" s="782">
        <f t="shared" si="2"/>
        <v>0</v>
      </c>
      <c r="R74" s="707"/>
      <c r="S74" s="707"/>
      <c r="T74" s="707"/>
      <c r="U74" s="782"/>
      <c r="V74" s="782"/>
      <c r="W74" s="778"/>
      <c r="X74" s="814"/>
      <c r="Y74" s="695" t="s">
        <v>3196</v>
      </c>
      <c r="Z74" s="881"/>
      <c r="AA74" s="781" t="e">
        <f t="shared" si="3"/>
        <v>#DIV/0!</v>
      </c>
    </row>
    <row r="75" spans="1:27" s="784" customFormat="1" ht="18" customHeight="1" x14ac:dyDescent="0.25">
      <c r="A75" s="744">
        <v>65</v>
      </c>
      <c r="B75" s="745"/>
      <c r="C75" s="746">
        <v>2026</v>
      </c>
      <c r="D75" s="685" t="s">
        <v>4479</v>
      </c>
      <c r="E75" s="689" t="s">
        <v>2638</v>
      </c>
      <c r="F75" s="707"/>
      <c r="G75" s="707"/>
      <c r="H75" s="707"/>
      <c r="I75" s="707"/>
      <c r="J75" s="707"/>
      <c r="K75" s="707"/>
      <c r="L75" s="707"/>
      <c r="M75" s="707"/>
      <c r="N75" s="707"/>
      <c r="O75" s="707"/>
      <c r="P75" s="707"/>
      <c r="Q75" s="782">
        <f t="shared" si="2"/>
        <v>0</v>
      </c>
      <c r="R75" s="707"/>
      <c r="S75" s="707"/>
      <c r="T75" s="707"/>
      <c r="U75" s="782"/>
      <c r="V75" s="782"/>
      <c r="W75" s="778"/>
      <c r="X75" s="814"/>
      <c r="Y75" s="695" t="s">
        <v>4498</v>
      </c>
      <c r="Z75" s="881"/>
      <c r="AA75" s="781" t="e">
        <f t="shared" si="3"/>
        <v>#DIV/0!</v>
      </c>
    </row>
    <row r="76" spans="1:27" s="784" customFormat="1" ht="18" customHeight="1" x14ac:dyDescent="0.25">
      <c r="A76" s="744">
        <v>66</v>
      </c>
      <c r="B76" s="745"/>
      <c r="C76" s="746">
        <v>2026</v>
      </c>
      <c r="D76" s="685" t="s">
        <v>4480</v>
      </c>
      <c r="E76" s="689" t="s">
        <v>4481</v>
      </c>
      <c r="F76" s="707"/>
      <c r="G76" s="707"/>
      <c r="H76" s="707"/>
      <c r="I76" s="707"/>
      <c r="J76" s="707"/>
      <c r="K76" s="707"/>
      <c r="L76" s="707"/>
      <c r="M76" s="707"/>
      <c r="N76" s="707"/>
      <c r="O76" s="707"/>
      <c r="P76" s="707"/>
      <c r="Q76" s="782">
        <f t="shared" si="2"/>
        <v>0</v>
      </c>
      <c r="R76" s="707"/>
      <c r="S76" s="707"/>
      <c r="T76" s="707"/>
      <c r="U76" s="782"/>
      <c r="V76" s="782"/>
      <c r="W76" s="778"/>
      <c r="X76" s="814"/>
      <c r="Y76" s="695" t="s">
        <v>2533</v>
      </c>
      <c r="Z76" s="881"/>
      <c r="AA76" s="781" t="e">
        <f t="shared" si="3"/>
        <v>#DIV/0!</v>
      </c>
    </row>
    <row r="77" spans="1:27" s="784" customFormat="1" ht="18" customHeight="1" x14ac:dyDescent="0.25">
      <c r="A77" s="744">
        <v>67</v>
      </c>
      <c r="B77" s="745"/>
      <c r="C77" s="746">
        <v>2026</v>
      </c>
      <c r="D77" s="685" t="s">
        <v>4482</v>
      </c>
      <c r="E77" s="689" t="s">
        <v>4483</v>
      </c>
      <c r="F77" s="707"/>
      <c r="G77" s="707"/>
      <c r="H77" s="707"/>
      <c r="I77" s="707"/>
      <c r="J77" s="707"/>
      <c r="K77" s="707"/>
      <c r="L77" s="707"/>
      <c r="M77" s="707"/>
      <c r="N77" s="707"/>
      <c r="O77" s="707"/>
      <c r="P77" s="707"/>
      <c r="Q77" s="782">
        <f t="shared" si="2"/>
        <v>0</v>
      </c>
      <c r="R77" s="707"/>
      <c r="S77" s="707"/>
      <c r="T77" s="707"/>
      <c r="U77" s="782"/>
      <c r="V77" s="782"/>
      <c r="W77" s="778"/>
      <c r="X77" s="814"/>
      <c r="Y77" s="695" t="s">
        <v>2700</v>
      </c>
      <c r="Z77" s="881"/>
      <c r="AA77" s="781" t="e">
        <f t="shared" si="3"/>
        <v>#DIV/0!</v>
      </c>
    </row>
    <row r="78" spans="1:27" s="784" customFormat="1" ht="18" customHeight="1" x14ac:dyDescent="0.25">
      <c r="A78" s="744">
        <v>68</v>
      </c>
      <c r="B78" s="745"/>
      <c r="C78" s="746">
        <v>2026</v>
      </c>
      <c r="D78" s="685" t="s">
        <v>4484</v>
      </c>
      <c r="E78" s="689" t="s">
        <v>3152</v>
      </c>
      <c r="F78" s="707"/>
      <c r="G78" s="707"/>
      <c r="H78" s="707"/>
      <c r="I78" s="707"/>
      <c r="J78" s="707"/>
      <c r="K78" s="707"/>
      <c r="L78" s="707"/>
      <c r="M78" s="707"/>
      <c r="N78" s="707"/>
      <c r="O78" s="707"/>
      <c r="P78" s="707"/>
      <c r="Q78" s="782">
        <f t="shared" si="2"/>
        <v>0</v>
      </c>
      <c r="R78" s="707"/>
      <c r="S78" s="707"/>
      <c r="T78" s="707"/>
      <c r="U78" s="782"/>
      <c r="V78" s="782"/>
      <c r="W78" s="778"/>
      <c r="X78" s="814"/>
      <c r="Y78" s="695" t="s">
        <v>4498</v>
      </c>
      <c r="Z78" s="881"/>
      <c r="AA78" s="781" t="e">
        <f t="shared" si="3"/>
        <v>#DIV/0!</v>
      </c>
    </row>
    <row r="79" spans="1:27" s="784" customFormat="1" ht="18" customHeight="1" x14ac:dyDescent="0.25">
      <c r="A79" s="744">
        <v>69</v>
      </c>
      <c r="B79" s="745"/>
      <c r="C79" s="746">
        <v>2026</v>
      </c>
      <c r="D79" s="685" t="s">
        <v>4485</v>
      </c>
      <c r="E79" s="689" t="s">
        <v>3888</v>
      </c>
      <c r="F79" s="707"/>
      <c r="G79" s="707"/>
      <c r="H79" s="707"/>
      <c r="I79" s="707"/>
      <c r="J79" s="707"/>
      <c r="K79" s="707"/>
      <c r="L79" s="707"/>
      <c r="M79" s="707"/>
      <c r="N79" s="707"/>
      <c r="O79" s="707"/>
      <c r="P79" s="707"/>
      <c r="Q79" s="782">
        <f t="shared" si="2"/>
        <v>0</v>
      </c>
      <c r="R79" s="707"/>
      <c r="S79" s="707"/>
      <c r="T79" s="707"/>
      <c r="U79" s="782"/>
      <c r="V79" s="782"/>
      <c r="W79" s="778"/>
      <c r="X79" s="814"/>
      <c r="Y79" s="695" t="s">
        <v>3000</v>
      </c>
      <c r="Z79" s="881"/>
      <c r="AA79" s="781" t="e">
        <f t="shared" si="3"/>
        <v>#DIV/0!</v>
      </c>
    </row>
    <row r="80" spans="1:27" s="784" customFormat="1" ht="18" customHeight="1" x14ac:dyDescent="0.25">
      <c r="A80" s="744">
        <v>70</v>
      </c>
      <c r="B80" s="745"/>
      <c r="C80" s="746">
        <v>2026</v>
      </c>
      <c r="D80" s="685" t="s">
        <v>4486</v>
      </c>
      <c r="E80" s="689" t="s">
        <v>4487</v>
      </c>
      <c r="F80" s="707"/>
      <c r="G80" s="707"/>
      <c r="H80" s="707"/>
      <c r="I80" s="707"/>
      <c r="J80" s="707"/>
      <c r="K80" s="707"/>
      <c r="L80" s="707"/>
      <c r="M80" s="707"/>
      <c r="N80" s="707"/>
      <c r="O80" s="707"/>
      <c r="P80" s="707"/>
      <c r="Q80" s="782">
        <f t="shared" si="2"/>
        <v>0</v>
      </c>
      <c r="R80" s="707"/>
      <c r="S80" s="707"/>
      <c r="T80" s="707"/>
      <c r="U80" s="782">
        <f>SUM(R80:T80)/3</f>
        <v>0</v>
      </c>
      <c r="V80" s="782">
        <f>SUM(Q80+U80)/2</f>
        <v>0</v>
      </c>
      <c r="W80" s="778"/>
      <c r="X80" s="814"/>
      <c r="Y80" s="695" t="s">
        <v>4506</v>
      </c>
      <c r="Z80" s="881"/>
      <c r="AA80" s="781" t="e">
        <f t="shared" si="3"/>
        <v>#DIV/0!</v>
      </c>
    </row>
    <row r="81" spans="1:27" s="784" customFormat="1" ht="18" customHeight="1" x14ac:dyDescent="0.25">
      <c r="A81" s="744">
        <v>71</v>
      </c>
      <c r="B81" s="745"/>
      <c r="C81" s="746">
        <v>2026</v>
      </c>
      <c r="D81" s="685" t="s">
        <v>4488</v>
      </c>
      <c r="E81" s="689" t="s">
        <v>2396</v>
      </c>
      <c r="F81" s="707"/>
      <c r="G81" s="707"/>
      <c r="H81" s="707"/>
      <c r="I81" s="707"/>
      <c r="J81" s="707"/>
      <c r="K81" s="707"/>
      <c r="L81" s="707"/>
      <c r="M81" s="707"/>
      <c r="N81" s="707"/>
      <c r="O81" s="707"/>
      <c r="P81" s="707"/>
      <c r="Q81" s="782">
        <f t="shared" si="2"/>
        <v>0</v>
      </c>
      <c r="R81" s="707"/>
      <c r="S81" s="707"/>
      <c r="T81" s="707"/>
      <c r="U81" s="782">
        <f>SUM(R81:T81)/3</f>
        <v>0</v>
      </c>
      <c r="V81" s="782">
        <f>SUM(Q81+U81)/2</f>
        <v>0</v>
      </c>
      <c r="W81" s="778"/>
      <c r="X81" s="814"/>
      <c r="Y81" s="695" t="s">
        <v>3357</v>
      </c>
      <c r="Z81" s="881"/>
      <c r="AA81" s="781" t="e">
        <f t="shared" si="3"/>
        <v>#DIV/0!</v>
      </c>
    </row>
    <row r="82" spans="1:27" s="784" customFormat="1" ht="18" customHeight="1" thickBot="1" x14ac:dyDescent="0.25">
      <c r="A82" s="790"/>
      <c r="B82" s="887"/>
      <c r="C82" s="709"/>
      <c r="D82" s="815"/>
      <c r="E82" s="709"/>
      <c r="F82" s="848"/>
      <c r="G82" s="848"/>
      <c r="H82" s="848"/>
      <c r="I82" s="848"/>
      <c r="J82" s="848"/>
      <c r="K82" s="848"/>
      <c r="L82" s="848"/>
      <c r="M82" s="876"/>
      <c r="N82" s="848"/>
      <c r="O82" s="848"/>
      <c r="P82" s="848"/>
      <c r="Q82" s="849"/>
      <c r="R82" s="848"/>
      <c r="S82" s="848"/>
      <c r="T82" s="848"/>
      <c r="U82" s="849"/>
      <c r="V82" s="849"/>
      <c r="W82" s="888"/>
      <c r="X82" s="850"/>
      <c r="Y82" s="851"/>
      <c r="Z82" s="881"/>
    </row>
    <row r="83" spans="1:27" s="796" customFormat="1" ht="19.5" thickTop="1" x14ac:dyDescent="0.3">
      <c r="A83" s="797"/>
      <c r="B83" s="797"/>
      <c r="C83" s="797"/>
      <c r="E83" s="797"/>
      <c r="F83" s="797"/>
      <c r="G83" s="797"/>
      <c r="H83" s="797"/>
      <c r="I83" s="797"/>
      <c r="J83" s="797"/>
      <c r="K83" s="797"/>
      <c r="L83" s="797"/>
      <c r="M83" s="797"/>
      <c r="N83" s="797"/>
      <c r="O83" s="797"/>
      <c r="P83" s="797"/>
      <c r="Q83" s="803"/>
      <c r="R83" s="797"/>
      <c r="S83" s="797"/>
      <c r="T83" s="797"/>
      <c r="U83" s="797"/>
      <c r="V83" s="797"/>
      <c r="W83" s="797"/>
      <c r="X83" s="989"/>
      <c r="Y83" s="797"/>
      <c r="AA83" s="796" t="s">
        <v>2264</v>
      </c>
    </row>
    <row r="84" spans="1:27" s="796" customFormat="1" x14ac:dyDescent="0.3">
      <c r="A84" s="797"/>
      <c r="B84" s="797"/>
      <c r="C84" s="797"/>
      <c r="E84" s="797"/>
      <c r="F84" s="797"/>
      <c r="G84" s="797"/>
      <c r="H84" s="797" t="s">
        <v>94</v>
      </c>
      <c r="I84" s="797"/>
      <c r="J84" s="797"/>
      <c r="K84" s="797"/>
      <c r="L84" s="797"/>
      <c r="M84" s="797"/>
      <c r="N84" s="797"/>
      <c r="O84" s="797"/>
      <c r="P84" s="797"/>
      <c r="Q84" s="1071"/>
      <c r="R84" s="1071"/>
      <c r="S84" s="1071"/>
      <c r="T84" s="1071"/>
      <c r="U84" s="1071"/>
      <c r="V84" s="1071"/>
      <c r="W84" s="1071"/>
      <c r="X84" s="1071"/>
      <c r="Y84" s="1071"/>
    </row>
    <row r="85" spans="1:27" s="796" customFormat="1" x14ac:dyDescent="0.3">
      <c r="A85" s="797"/>
      <c r="B85" s="797"/>
      <c r="C85" s="797"/>
      <c r="E85" s="797"/>
      <c r="F85" s="797"/>
      <c r="G85" s="797"/>
      <c r="H85" s="797"/>
      <c r="I85" s="797"/>
      <c r="J85" s="797"/>
      <c r="K85" s="797"/>
      <c r="L85" s="797"/>
      <c r="M85" s="797"/>
      <c r="N85" s="797"/>
      <c r="O85" s="797"/>
      <c r="P85" s="797"/>
      <c r="Q85" s="1071"/>
      <c r="R85" s="1071"/>
      <c r="S85" s="1071"/>
      <c r="T85" s="797"/>
      <c r="U85" s="797"/>
      <c r="V85" s="797"/>
      <c r="W85" s="797"/>
      <c r="X85" s="989"/>
      <c r="Y85" s="797"/>
    </row>
    <row r="86" spans="1:27" s="796" customFormat="1" x14ac:dyDescent="0.3">
      <c r="A86" s="797"/>
      <c r="B86" s="797"/>
      <c r="C86" s="797"/>
      <c r="E86" s="797"/>
      <c r="F86" s="797"/>
      <c r="G86" s="797"/>
      <c r="H86" s="797"/>
      <c r="I86" s="797"/>
      <c r="J86" s="797"/>
      <c r="K86" s="797"/>
      <c r="L86" s="797"/>
      <c r="M86" s="797"/>
      <c r="N86" s="797"/>
      <c r="O86" s="797"/>
      <c r="P86" s="797"/>
      <c r="Q86" s="800"/>
      <c r="R86" s="780"/>
      <c r="S86" s="780"/>
      <c r="T86" s="797"/>
      <c r="U86" s="797"/>
      <c r="V86" s="797"/>
      <c r="W86" s="797"/>
      <c r="X86" s="989"/>
      <c r="Y86" s="797"/>
    </row>
    <row r="87" spans="1:27" s="796" customFormat="1" x14ac:dyDescent="0.3">
      <c r="A87" s="797"/>
      <c r="B87" s="797"/>
      <c r="C87" s="797"/>
      <c r="E87" s="797"/>
      <c r="F87" s="797"/>
      <c r="G87" s="797"/>
      <c r="H87" s="797"/>
      <c r="I87" s="797"/>
      <c r="J87" s="797"/>
      <c r="K87" s="797"/>
      <c r="L87" s="797"/>
      <c r="M87" s="797"/>
      <c r="N87" s="797"/>
      <c r="O87" s="797"/>
      <c r="P87" s="797"/>
      <c r="Q87" s="800"/>
      <c r="R87" s="780"/>
      <c r="S87" s="780"/>
      <c r="T87" s="797"/>
      <c r="U87" s="797"/>
      <c r="V87" s="797"/>
      <c r="W87" s="797"/>
      <c r="X87" s="989"/>
      <c r="Y87" s="797"/>
    </row>
    <row r="88" spans="1:27" s="796" customFormat="1" x14ac:dyDescent="0.3">
      <c r="A88" s="797"/>
      <c r="B88" s="797"/>
      <c r="C88" s="797"/>
      <c r="E88" s="797"/>
      <c r="F88" s="797"/>
      <c r="G88" s="797"/>
      <c r="H88" s="797"/>
      <c r="I88" s="797"/>
      <c r="J88" s="797"/>
      <c r="K88" s="797"/>
      <c r="L88" s="797"/>
      <c r="M88" s="797"/>
      <c r="N88" s="797"/>
      <c r="O88" s="797"/>
      <c r="P88" s="797"/>
      <c r="Q88" s="1072"/>
      <c r="R88" s="1072"/>
      <c r="S88" s="1072"/>
      <c r="T88" s="797"/>
      <c r="U88" s="797"/>
      <c r="V88" s="797"/>
      <c r="W88" s="797"/>
      <c r="X88" s="989"/>
      <c r="Y88" s="797"/>
    </row>
    <row r="89" spans="1:27" s="796" customFormat="1" x14ac:dyDescent="0.3">
      <c r="A89" s="797"/>
      <c r="B89" s="797"/>
      <c r="C89" s="797"/>
      <c r="E89" s="797"/>
      <c r="F89" s="797"/>
      <c r="G89" s="797"/>
      <c r="H89" s="797"/>
      <c r="I89" s="797"/>
      <c r="J89" s="797"/>
      <c r="K89" s="797"/>
      <c r="L89" s="797"/>
      <c r="M89" s="797"/>
      <c r="N89" s="797"/>
      <c r="O89" s="797"/>
      <c r="P89" s="797"/>
      <c r="Q89" s="1071"/>
      <c r="R89" s="1071"/>
      <c r="S89" s="1071"/>
      <c r="T89" s="1071"/>
      <c r="U89" s="1071"/>
      <c r="V89" s="1071"/>
      <c r="W89" s="1071"/>
      <c r="X89" s="1071"/>
      <c r="Y89" s="1071"/>
    </row>
    <row r="90" spans="1:27" s="796" customFormat="1" x14ac:dyDescent="0.3">
      <c r="A90" s="797"/>
      <c r="B90" s="797"/>
      <c r="C90" s="797"/>
      <c r="E90" s="797"/>
      <c r="F90" s="797"/>
      <c r="G90" s="797"/>
      <c r="H90" s="797"/>
      <c r="I90" s="797"/>
      <c r="J90" s="797"/>
      <c r="K90" s="797"/>
      <c r="L90" s="797"/>
      <c r="M90" s="797"/>
      <c r="N90" s="797"/>
      <c r="O90" s="797"/>
      <c r="P90" s="797"/>
      <c r="Q90" s="803"/>
      <c r="R90" s="797"/>
      <c r="S90" s="797"/>
      <c r="T90" s="797"/>
      <c r="U90" s="797"/>
      <c r="V90" s="797"/>
      <c r="W90" s="797"/>
      <c r="X90" s="989"/>
      <c r="Y90" s="797"/>
    </row>
    <row r="91" spans="1:27" s="796" customFormat="1" x14ac:dyDescent="0.3">
      <c r="A91" s="797"/>
      <c r="B91" s="797"/>
      <c r="C91" s="797"/>
      <c r="E91" s="797"/>
      <c r="F91" s="797"/>
      <c r="G91" s="797"/>
      <c r="H91" s="797"/>
      <c r="I91" s="797"/>
      <c r="J91" s="797"/>
      <c r="K91" s="797"/>
      <c r="L91" s="797"/>
      <c r="M91" s="797"/>
      <c r="N91" s="797"/>
      <c r="O91" s="797"/>
      <c r="P91" s="797"/>
      <c r="Q91" s="803"/>
      <c r="R91" s="797"/>
      <c r="S91" s="797"/>
      <c r="T91" s="797"/>
      <c r="U91" s="797"/>
      <c r="V91" s="797"/>
      <c r="W91" s="797"/>
      <c r="X91" s="989"/>
      <c r="Y91" s="797"/>
    </row>
    <row r="92" spans="1:27" s="806" customFormat="1" x14ac:dyDescent="0.3">
      <c r="A92" s="801"/>
      <c r="B92" s="801"/>
      <c r="C92" s="801"/>
      <c r="D92" s="802"/>
      <c r="E92" s="801"/>
      <c r="F92" s="801"/>
      <c r="G92" s="801"/>
      <c r="H92" s="801"/>
      <c r="I92" s="801"/>
      <c r="J92" s="801"/>
      <c r="K92" s="801"/>
      <c r="L92" s="801"/>
      <c r="M92" s="797"/>
      <c r="N92" s="801"/>
      <c r="O92" s="801"/>
      <c r="P92" s="801"/>
      <c r="Q92" s="827"/>
      <c r="R92" s="801"/>
      <c r="S92" s="801"/>
      <c r="T92" s="801"/>
      <c r="U92" s="801"/>
      <c r="V92" s="801"/>
      <c r="W92" s="801"/>
      <c r="X92" s="805"/>
      <c r="Y92" s="801"/>
    </row>
    <row r="93" spans="1:27" x14ac:dyDescent="0.3">
      <c r="A93" s="4"/>
      <c r="B93" s="4"/>
      <c r="C93" s="4"/>
      <c r="D93" s="3"/>
      <c r="E93" s="4"/>
      <c r="F93" s="4"/>
      <c r="G93" s="4"/>
      <c r="H93" s="4"/>
      <c r="I93" s="4"/>
      <c r="J93" s="4"/>
      <c r="K93" s="4"/>
      <c r="L93" s="4"/>
      <c r="M93" s="369"/>
      <c r="N93" s="4"/>
      <c r="O93" s="4"/>
      <c r="P93" s="4"/>
      <c r="R93" s="20"/>
      <c r="S93" s="20"/>
      <c r="T93" s="20"/>
      <c r="U93" s="4"/>
      <c r="V93" s="4"/>
      <c r="W93" s="4"/>
      <c r="X93" s="14"/>
      <c r="Y93" s="4"/>
    </row>
    <row r="94" spans="1:27" x14ac:dyDescent="0.3">
      <c r="A94" s="4"/>
      <c r="B94" s="4"/>
      <c r="C94" s="4"/>
      <c r="D94" s="3"/>
      <c r="E94" s="4"/>
      <c r="F94" s="4"/>
      <c r="G94" s="4"/>
      <c r="H94" s="4"/>
      <c r="I94" s="4"/>
      <c r="J94" s="4"/>
      <c r="K94" s="4"/>
      <c r="L94" s="4"/>
      <c r="M94" s="369"/>
      <c r="N94" s="4"/>
      <c r="O94" s="4"/>
      <c r="P94" s="4"/>
      <c r="R94" s="20"/>
      <c r="S94" s="20"/>
      <c r="T94" s="20"/>
      <c r="U94" s="4"/>
      <c r="V94" s="4"/>
      <c r="W94" s="4"/>
      <c r="X94" s="14"/>
      <c r="Y94" s="4"/>
    </row>
  </sheetData>
  <autoFilter ref="Q9:Z82">
    <filterColumn colId="1" showButton="0"/>
    <filterColumn colId="2" showButton="0"/>
    <filterColumn colId="3" showButton="0"/>
  </autoFilter>
  <mergeCells count="19">
    <mergeCell ref="A9:A10"/>
    <mergeCell ref="D9:D10"/>
    <mergeCell ref="B9:C10"/>
    <mergeCell ref="R9:U9"/>
    <mergeCell ref="E9:E10"/>
    <mergeCell ref="F9:P9"/>
    <mergeCell ref="Q9:Q10"/>
    <mergeCell ref="Q89:Y89"/>
    <mergeCell ref="Q85:S85"/>
    <mergeCell ref="Q88:S88"/>
    <mergeCell ref="Q84:Y84"/>
    <mergeCell ref="E3:Y3"/>
    <mergeCell ref="E4:Y4"/>
    <mergeCell ref="E5:Y5"/>
    <mergeCell ref="W9:W10"/>
    <mergeCell ref="X9:X10"/>
    <mergeCell ref="E6:AI6"/>
    <mergeCell ref="V9:V10"/>
    <mergeCell ref="Y9:Y10"/>
  </mergeCells>
  <phoneticPr fontId="0" type="noConversion"/>
  <printOptions horizontalCentered="1"/>
  <pageMargins left="0.74" right="0.16" top="0.27" bottom="0.31" header="0.23" footer="0.27"/>
  <pageSetup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FF00"/>
  </sheetPr>
  <dimension ref="A1:AH69"/>
  <sheetViews>
    <sheetView topLeftCell="A5" zoomScale="120" zoomScaleNormal="120" workbookViewId="0">
      <selection activeCell="Z9" sqref="Z9:Z44"/>
    </sheetView>
  </sheetViews>
  <sheetFormatPr defaultRowHeight="18.75" x14ac:dyDescent="0.3"/>
  <cols>
    <col min="1" max="1" width="3.796875" style="1" customWidth="1"/>
    <col min="2" max="3" width="4.296875" style="1" customWidth="1"/>
    <col min="4" max="4" width="15.19921875" customWidth="1"/>
    <col min="5" max="5" width="8.19921875" style="1" customWidth="1"/>
    <col min="6" max="17" width="2.8984375" style="1" customWidth="1"/>
    <col min="18" max="18" width="3.59765625" style="44" customWidth="1"/>
    <col min="19" max="21" width="2.19921875" style="22" hidden="1" customWidth="1"/>
    <col min="22" max="23" width="3.3984375" style="1" hidden="1" customWidth="1"/>
    <col min="24" max="24" width="3.8984375" style="1" customWidth="1"/>
    <col min="25" max="25" width="4.19921875" style="15" hidden="1" customWidth="1"/>
    <col min="26" max="26" width="22" style="1" customWidth="1"/>
    <col min="27" max="27" width="2.296875" customWidth="1"/>
    <col min="28" max="28" width="5" style="461" customWidth="1"/>
  </cols>
  <sheetData>
    <row r="1" spans="1:34" s="806" customFormat="1" ht="7.5" customHeight="1" x14ac:dyDescent="0.3">
      <c r="A1" s="807"/>
      <c r="B1" s="807"/>
      <c r="C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07"/>
      <c r="P1" s="807"/>
      <c r="Q1" s="807"/>
      <c r="R1" s="818"/>
      <c r="S1" s="807"/>
      <c r="T1" s="807"/>
      <c r="U1" s="807"/>
      <c r="V1" s="807"/>
      <c r="W1" s="807"/>
      <c r="X1" s="807"/>
      <c r="Y1" s="808"/>
      <c r="Z1" s="807"/>
    </row>
    <row r="2" spans="1:34" s="761" customFormat="1" ht="20.25" customHeight="1" x14ac:dyDescent="0.25">
      <c r="B2" s="763"/>
      <c r="C2" s="763"/>
      <c r="D2" s="763"/>
      <c r="E2" s="1046" t="s">
        <v>2237</v>
      </c>
      <c r="F2" s="1046"/>
      <c r="G2" s="1046"/>
      <c r="H2" s="1046"/>
      <c r="I2" s="1046"/>
      <c r="J2" s="1046"/>
      <c r="K2" s="1046"/>
      <c r="L2" s="1046"/>
      <c r="M2" s="1046"/>
      <c r="N2" s="1046"/>
      <c r="O2" s="1046"/>
      <c r="P2" s="1046"/>
      <c r="Q2" s="1046"/>
      <c r="R2" s="1046"/>
      <c r="S2" s="1046"/>
      <c r="T2" s="1046"/>
      <c r="U2" s="1046"/>
      <c r="V2" s="1046"/>
      <c r="W2" s="1046"/>
      <c r="X2" s="1046"/>
      <c r="Y2" s="1046"/>
      <c r="Z2" s="1046"/>
      <c r="AA2" s="763"/>
      <c r="AB2" s="763"/>
    </row>
    <row r="3" spans="1:34" s="761" customFormat="1" ht="15.75" x14ac:dyDescent="0.25">
      <c r="B3" s="763"/>
      <c r="C3" s="763"/>
      <c r="D3" s="763"/>
      <c r="E3" s="1046" t="s">
        <v>2325</v>
      </c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1046"/>
      <c r="W3" s="1046"/>
      <c r="X3" s="1046"/>
      <c r="Y3" s="1046"/>
      <c r="Z3" s="1046"/>
    </row>
    <row r="4" spans="1:34" s="761" customFormat="1" ht="15.75" hidden="1" x14ac:dyDescent="0.25">
      <c r="B4" s="762"/>
      <c r="C4" s="762"/>
      <c r="D4" s="762"/>
      <c r="E4" s="1047" t="s">
        <v>34</v>
      </c>
      <c r="F4" s="1047"/>
      <c r="G4" s="1047"/>
      <c r="H4" s="1047"/>
      <c r="I4" s="1047"/>
      <c r="J4" s="1047"/>
      <c r="K4" s="1047"/>
      <c r="L4" s="1047"/>
      <c r="M4" s="1047"/>
      <c r="N4" s="1047"/>
      <c r="O4" s="1047"/>
      <c r="P4" s="1047"/>
      <c r="Q4" s="1047"/>
      <c r="R4" s="1047"/>
      <c r="S4" s="1047"/>
      <c r="T4" s="1047"/>
      <c r="U4" s="1047"/>
      <c r="V4" s="1047"/>
      <c r="W4" s="1047"/>
      <c r="X4" s="1047"/>
      <c r="Y4" s="1047"/>
      <c r="Z4" s="1047"/>
    </row>
    <row r="5" spans="1:34" s="761" customFormat="1" ht="15.75" customHeight="1" x14ac:dyDescent="0.25">
      <c r="B5" s="763"/>
      <c r="C5" s="763"/>
      <c r="D5" s="763"/>
      <c r="E5" s="1052" t="s">
        <v>2326</v>
      </c>
      <c r="F5" s="1052"/>
      <c r="G5" s="1052"/>
      <c r="H5" s="1052"/>
      <c r="I5" s="1052"/>
      <c r="J5" s="1052"/>
      <c r="K5" s="1052"/>
      <c r="L5" s="1052"/>
      <c r="M5" s="1052"/>
      <c r="N5" s="1052"/>
      <c r="O5" s="1052"/>
      <c r="P5" s="1052"/>
      <c r="Q5" s="1052"/>
      <c r="R5" s="1052"/>
      <c r="S5" s="1052"/>
      <c r="T5" s="1052"/>
      <c r="U5" s="1052"/>
      <c r="V5" s="1052"/>
      <c r="W5" s="1052"/>
      <c r="X5" s="1052"/>
      <c r="Y5" s="1052"/>
      <c r="Z5" s="1052"/>
      <c r="AA5" s="1052"/>
      <c r="AB5" s="1052"/>
      <c r="AC5" s="1052"/>
      <c r="AD5" s="1052"/>
      <c r="AE5" s="1052"/>
      <c r="AF5" s="1052"/>
      <c r="AG5" s="1052"/>
      <c r="AH5" s="1052"/>
    </row>
    <row r="6" spans="1:34" s="806" customFormat="1" ht="12" customHeight="1" thickBot="1" x14ac:dyDescent="0.4">
      <c r="A6" s="809"/>
      <c r="B6" s="809"/>
      <c r="C6" s="809"/>
      <c r="D6" s="809"/>
      <c r="E6" s="809"/>
      <c r="F6" s="809"/>
      <c r="G6" s="809"/>
      <c r="H6" s="809"/>
      <c r="I6" s="809"/>
      <c r="J6" s="809"/>
      <c r="K6" s="809"/>
      <c r="L6" s="809"/>
      <c r="M6" s="809"/>
      <c r="N6" s="809"/>
      <c r="O6" s="809"/>
      <c r="P6" s="809"/>
      <c r="Q6" s="809"/>
      <c r="R6" s="811"/>
      <c r="S6" s="809"/>
      <c r="T6" s="809"/>
      <c r="U6" s="809"/>
      <c r="V6" s="809"/>
      <c r="W6" s="809"/>
      <c r="X6" s="809"/>
      <c r="Y6" s="809"/>
      <c r="Z6" s="809"/>
    </row>
    <row r="7" spans="1:34" s="761" customFormat="1" ht="18" customHeight="1" thickTop="1" x14ac:dyDescent="0.25">
      <c r="A7" s="1113" t="s">
        <v>2268</v>
      </c>
      <c r="B7" s="1060" t="s">
        <v>2118</v>
      </c>
      <c r="C7" s="1061"/>
      <c r="D7" s="1058" t="s">
        <v>2119</v>
      </c>
      <c r="E7" s="1058" t="s">
        <v>2120</v>
      </c>
      <c r="F7" s="1110" t="s">
        <v>2123</v>
      </c>
      <c r="G7" s="1111"/>
      <c r="H7" s="1111"/>
      <c r="I7" s="1111"/>
      <c r="J7" s="1111"/>
      <c r="K7" s="1111"/>
      <c r="L7" s="1111"/>
      <c r="M7" s="1111"/>
      <c r="N7" s="1111"/>
      <c r="O7" s="1111"/>
      <c r="P7" s="1111"/>
      <c r="Q7" s="1112"/>
      <c r="R7" s="1069" t="s">
        <v>2107</v>
      </c>
      <c r="S7" s="1053" t="s">
        <v>104</v>
      </c>
      <c r="T7" s="1054"/>
      <c r="U7" s="1054"/>
      <c r="V7" s="1055"/>
      <c r="W7" s="1048" t="s">
        <v>99</v>
      </c>
      <c r="X7" s="1048" t="s">
        <v>2108</v>
      </c>
      <c r="Y7" s="1048" t="s">
        <v>103</v>
      </c>
      <c r="Z7" s="1067" t="s">
        <v>2121</v>
      </c>
    </row>
    <row r="8" spans="1:34" s="761" customFormat="1" ht="155.25" customHeight="1" x14ac:dyDescent="0.25">
      <c r="A8" s="1114"/>
      <c r="B8" s="1062"/>
      <c r="C8" s="1063"/>
      <c r="D8" s="1059"/>
      <c r="E8" s="1059"/>
      <c r="F8" s="700" t="s">
        <v>2095</v>
      </c>
      <c r="G8" s="700" t="s">
        <v>2124</v>
      </c>
      <c r="H8" s="700" t="s">
        <v>2125</v>
      </c>
      <c r="I8" s="703" t="s">
        <v>2126</v>
      </c>
      <c r="J8" s="703" t="s">
        <v>2127</v>
      </c>
      <c r="K8" s="700" t="s">
        <v>2128</v>
      </c>
      <c r="L8" s="700" t="s">
        <v>2129</v>
      </c>
      <c r="M8" s="720" t="s">
        <v>2130</v>
      </c>
      <c r="N8" s="721" t="s">
        <v>2131</v>
      </c>
      <c r="O8" s="703" t="s">
        <v>2113</v>
      </c>
      <c r="P8" s="721" t="s">
        <v>2132</v>
      </c>
      <c r="Q8" s="703" t="s">
        <v>2117</v>
      </c>
      <c r="R8" s="1070"/>
      <c r="S8" s="718" t="s">
        <v>108</v>
      </c>
      <c r="T8" s="718" t="s">
        <v>97</v>
      </c>
      <c r="U8" s="718" t="s">
        <v>96</v>
      </c>
      <c r="V8" s="719" t="s">
        <v>98</v>
      </c>
      <c r="W8" s="1049"/>
      <c r="X8" s="1049"/>
      <c r="Y8" s="1049"/>
      <c r="Z8" s="1068"/>
      <c r="AA8" s="761" t="s">
        <v>94</v>
      </c>
    </row>
    <row r="9" spans="1:34" s="784" customFormat="1" ht="16.5" customHeight="1" x14ac:dyDescent="0.25">
      <c r="A9" s="741">
        <v>1</v>
      </c>
      <c r="B9" s="742" t="s">
        <v>1808</v>
      </c>
      <c r="C9" s="743">
        <v>2026</v>
      </c>
      <c r="D9" s="690" t="s">
        <v>4507</v>
      </c>
      <c r="E9" s="687" t="s">
        <v>4508</v>
      </c>
      <c r="F9" s="705"/>
      <c r="G9" s="705"/>
      <c r="H9" s="705"/>
      <c r="I9" s="705"/>
      <c r="J9" s="705"/>
      <c r="K9" s="705"/>
      <c r="L9" s="705"/>
      <c r="M9" s="705"/>
      <c r="N9" s="705"/>
      <c r="O9" s="705"/>
      <c r="P9" s="705"/>
      <c r="Q9" s="705"/>
      <c r="R9" s="776">
        <f>SUM(F9:Q9)/12</f>
        <v>0</v>
      </c>
      <c r="S9" s="705"/>
      <c r="T9" s="705"/>
      <c r="U9" s="705"/>
      <c r="V9" s="776">
        <f>SUM(S9:U9)/3</f>
        <v>0</v>
      </c>
      <c r="W9" s="776">
        <f>SUM(R9+V9)/2</f>
        <v>0</v>
      </c>
      <c r="X9" s="819"/>
      <c r="Y9" s="813"/>
      <c r="Z9" s="694" t="s">
        <v>4559</v>
      </c>
      <c r="AB9" s="781" t="e">
        <f t="shared" ref="AB9:AB44" si="0">AVERAGE(F9:Q9)</f>
        <v>#DIV/0!</v>
      </c>
    </row>
    <row r="10" spans="1:34" s="784" customFormat="1" ht="16.5" customHeight="1" x14ac:dyDescent="0.25">
      <c r="A10" s="744">
        <v>2</v>
      </c>
      <c r="B10" s="745"/>
      <c r="C10" s="746">
        <v>2026</v>
      </c>
      <c r="D10" s="685" t="s">
        <v>4509</v>
      </c>
      <c r="E10" s="689" t="s">
        <v>1297</v>
      </c>
      <c r="F10" s="707"/>
      <c r="G10" s="707"/>
      <c r="H10" s="707"/>
      <c r="I10" s="707"/>
      <c r="J10" s="707"/>
      <c r="K10" s="707"/>
      <c r="L10" s="707"/>
      <c r="M10" s="707"/>
      <c r="N10" s="707"/>
      <c r="O10" s="707"/>
      <c r="P10" s="707"/>
      <c r="Q10" s="707"/>
      <c r="R10" s="782">
        <f>SUM(F10:Q10)/12</f>
        <v>0</v>
      </c>
      <c r="S10" s="707"/>
      <c r="T10" s="707"/>
      <c r="U10" s="707"/>
      <c r="V10" s="782">
        <f t="shared" ref="V10:V34" si="1">SUM(S10:U10)/3</f>
        <v>0</v>
      </c>
      <c r="W10" s="782">
        <f t="shared" ref="W10:W34" si="2">SUM(R10+V10)/2</f>
        <v>0</v>
      </c>
      <c r="X10" s="778"/>
      <c r="Y10" s="814"/>
      <c r="Z10" s="695" t="s">
        <v>4560</v>
      </c>
      <c r="AB10" s="781" t="e">
        <f t="shared" si="0"/>
        <v>#DIV/0!</v>
      </c>
    </row>
    <row r="11" spans="1:34" s="784" customFormat="1" ht="16.5" customHeight="1" x14ac:dyDescent="0.25">
      <c r="A11" s="744">
        <v>3</v>
      </c>
      <c r="B11" s="745"/>
      <c r="C11" s="746">
        <v>2026</v>
      </c>
      <c r="D11" s="685" t="s">
        <v>3687</v>
      </c>
      <c r="E11" s="689" t="s">
        <v>4510</v>
      </c>
      <c r="F11" s="707"/>
      <c r="G11" s="707"/>
      <c r="H11" s="707"/>
      <c r="I11" s="707"/>
      <c r="J11" s="707"/>
      <c r="K11" s="707"/>
      <c r="L11" s="707"/>
      <c r="M11" s="707"/>
      <c r="N11" s="707"/>
      <c r="O11" s="707"/>
      <c r="P11" s="707"/>
      <c r="Q11" s="707"/>
      <c r="R11" s="782">
        <f t="shared" ref="R11:R44" si="3">SUM(F11:Q11)/12</f>
        <v>0</v>
      </c>
      <c r="S11" s="707"/>
      <c r="T11" s="707"/>
      <c r="U11" s="707"/>
      <c r="V11" s="782">
        <f t="shared" si="1"/>
        <v>0</v>
      </c>
      <c r="W11" s="782">
        <f t="shared" si="2"/>
        <v>0</v>
      </c>
      <c r="X11" s="778"/>
      <c r="Y11" s="814"/>
      <c r="Z11" s="695" t="s">
        <v>4561</v>
      </c>
      <c r="AB11" s="781" t="e">
        <f t="shared" si="0"/>
        <v>#DIV/0!</v>
      </c>
    </row>
    <row r="12" spans="1:34" s="784" customFormat="1" ht="16.5" customHeight="1" x14ac:dyDescent="0.25">
      <c r="A12" s="744">
        <v>4</v>
      </c>
      <c r="B12" s="745"/>
      <c r="C12" s="746">
        <v>2026</v>
      </c>
      <c r="D12" s="685" t="s">
        <v>4511</v>
      </c>
      <c r="E12" s="689" t="s">
        <v>3272</v>
      </c>
      <c r="F12" s="707"/>
      <c r="G12" s="707"/>
      <c r="H12" s="707"/>
      <c r="I12" s="707"/>
      <c r="J12" s="707"/>
      <c r="K12" s="707"/>
      <c r="L12" s="707"/>
      <c r="M12" s="707"/>
      <c r="N12" s="707"/>
      <c r="O12" s="707"/>
      <c r="P12" s="707"/>
      <c r="Q12" s="707"/>
      <c r="R12" s="782">
        <f t="shared" si="3"/>
        <v>0</v>
      </c>
      <c r="S12" s="707"/>
      <c r="T12" s="707"/>
      <c r="U12" s="707"/>
      <c r="V12" s="782">
        <f t="shared" si="1"/>
        <v>0</v>
      </c>
      <c r="W12" s="782">
        <f t="shared" si="2"/>
        <v>0</v>
      </c>
      <c r="X12" s="778"/>
      <c r="Y12" s="814"/>
      <c r="Z12" s="695" t="s">
        <v>4562</v>
      </c>
      <c r="AB12" s="781" t="e">
        <f t="shared" si="0"/>
        <v>#DIV/0!</v>
      </c>
    </row>
    <row r="13" spans="1:34" s="784" customFormat="1" ht="16.5" customHeight="1" x14ac:dyDescent="0.25">
      <c r="A13" s="744">
        <v>5</v>
      </c>
      <c r="B13" s="745"/>
      <c r="C13" s="746">
        <v>2026</v>
      </c>
      <c r="D13" s="685" t="s">
        <v>4512</v>
      </c>
      <c r="E13" s="689" t="s">
        <v>4513</v>
      </c>
      <c r="F13" s="707"/>
      <c r="G13" s="707"/>
      <c r="H13" s="707"/>
      <c r="I13" s="707"/>
      <c r="J13" s="707"/>
      <c r="K13" s="707"/>
      <c r="L13" s="707"/>
      <c r="M13" s="707"/>
      <c r="N13" s="707"/>
      <c r="O13" s="707"/>
      <c r="P13" s="707"/>
      <c r="Q13" s="707"/>
      <c r="R13" s="782">
        <f t="shared" si="3"/>
        <v>0</v>
      </c>
      <c r="S13" s="707"/>
      <c r="T13" s="707"/>
      <c r="U13" s="707"/>
      <c r="V13" s="782">
        <f t="shared" si="1"/>
        <v>0</v>
      </c>
      <c r="W13" s="782">
        <f t="shared" si="2"/>
        <v>0</v>
      </c>
      <c r="X13" s="778"/>
      <c r="Y13" s="814"/>
      <c r="Z13" s="695" t="s">
        <v>2478</v>
      </c>
      <c r="AB13" s="781" t="e">
        <f t="shared" si="0"/>
        <v>#DIV/0!</v>
      </c>
    </row>
    <row r="14" spans="1:34" s="784" customFormat="1" ht="16.5" customHeight="1" x14ac:dyDescent="0.25">
      <c r="A14" s="744">
        <v>6</v>
      </c>
      <c r="B14" s="745"/>
      <c r="C14" s="746">
        <v>2026</v>
      </c>
      <c r="D14" s="685" t="s">
        <v>4514</v>
      </c>
      <c r="E14" s="689" t="s">
        <v>4515</v>
      </c>
      <c r="F14" s="707"/>
      <c r="G14" s="707"/>
      <c r="H14" s="707"/>
      <c r="I14" s="707"/>
      <c r="J14" s="707"/>
      <c r="K14" s="707"/>
      <c r="L14" s="707"/>
      <c r="M14" s="707"/>
      <c r="N14" s="707"/>
      <c r="O14" s="707"/>
      <c r="P14" s="707"/>
      <c r="Q14" s="707"/>
      <c r="R14" s="782">
        <f t="shared" si="3"/>
        <v>0</v>
      </c>
      <c r="S14" s="707"/>
      <c r="T14" s="707"/>
      <c r="U14" s="707"/>
      <c r="V14" s="782"/>
      <c r="W14" s="782"/>
      <c r="X14" s="778"/>
      <c r="Y14" s="814"/>
      <c r="Z14" s="695" t="s">
        <v>4563</v>
      </c>
      <c r="AB14" s="781" t="e">
        <f t="shared" si="0"/>
        <v>#DIV/0!</v>
      </c>
    </row>
    <row r="15" spans="1:34" s="784" customFormat="1" ht="16.5" customHeight="1" x14ac:dyDescent="0.25">
      <c r="A15" s="744">
        <v>7</v>
      </c>
      <c r="B15" s="745"/>
      <c r="C15" s="746">
        <v>2026</v>
      </c>
      <c r="D15" s="685" t="s">
        <v>4516</v>
      </c>
      <c r="E15" s="689" t="s">
        <v>4517</v>
      </c>
      <c r="F15" s="707"/>
      <c r="G15" s="707"/>
      <c r="H15" s="707"/>
      <c r="I15" s="707"/>
      <c r="J15" s="707"/>
      <c r="K15" s="707"/>
      <c r="L15" s="707"/>
      <c r="M15" s="707"/>
      <c r="N15" s="707"/>
      <c r="O15" s="707"/>
      <c r="P15" s="707"/>
      <c r="Q15" s="707"/>
      <c r="R15" s="782">
        <f t="shared" si="3"/>
        <v>0</v>
      </c>
      <c r="S15" s="707"/>
      <c r="T15" s="707"/>
      <c r="U15" s="707"/>
      <c r="V15" s="782"/>
      <c r="W15" s="782"/>
      <c r="X15" s="778"/>
      <c r="Y15" s="814"/>
      <c r="Z15" s="695" t="s">
        <v>4564</v>
      </c>
      <c r="AB15" s="781" t="e">
        <f t="shared" si="0"/>
        <v>#DIV/0!</v>
      </c>
    </row>
    <row r="16" spans="1:34" s="784" customFormat="1" ht="16.5" customHeight="1" x14ac:dyDescent="0.25">
      <c r="A16" s="744">
        <v>8</v>
      </c>
      <c r="B16" s="745"/>
      <c r="C16" s="746">
        <v>2026</v>
      </c>
      <c r="D16" s="685" t="s">
        <v>4207</v>
      </c>
      <c r="E16" s="689" t="s">
        <v>4518</v>
      </c>
      <c r="F16" s="707"/>
      <c r="G16" s="707"/>
      <c r="H16" s="707"/>
      <c r="I16" s="707"/>
      <c r="J16" s="707"/>
      <c r="K16" s="707"/>
      <c r="L16" s="707"/>
      <c r="M16" s="707"/>
      <c r="N16" s="707"/>
      <c r="O16" s="707"/>
      <c r="P16" s="707"/>
      <c r="Q16" s="707"/>
      <c r="R16" s="782">
        <f t="shared" si="3"/>
        <v>0</v>
      </c>
      <c r="S16" s="707"/>
      <c r="T16" s="707"/>
      <c r="U16" s="707"/>
      <c r="V16" s="782"/>
      <c r="W16" s="782"/>
      <c r="X16" s="778"/>
      <c r="Y16" s="814"/>
      <c r="Z16" s="695" t="s">
        <v>2720</v>
      </c>
      <c r="AB16" s="781" t="e">
        <f t="shared" si="0"/>
        <v>#DIV/0!</v>
      </c>
    </row>
    <row r="17" spans="1:28" s="784" customFormat="1" ht="16.5" customHeight="1" x14ac:dyDescent="0.25">
      <c r="A17" s="744">
        <v>9</v>
      </c>
      <c r="B17" s="745"/>
      <c r="C17" s="746">
        <v>2026</v>
      </c>
      <c r="D17" s="685" t="s">
        <v>4519</v>
      </c>
      <c r="E17" s="689" t="s">
        <v>3145</v>
      </c>
      <c r="F17" s="707"/>
      <c r="G17" s="707"/>
      <c r="H17" s="707"/>
      <c r="I17" s="707"/>
      <c r="J17" s="707"/>
      <c r="K17" s="707"/>
      <c r="L17" s="707"/>
      <c r="M17" s="707"/>
      <c r="N17" s="707"/>
      <c r="O17" s="707"/>
      <c r="P17" s="707"/>
      <c r="Q17" s="707"/>
      <c r="R17" s="782">
        <f t="shared" si="3"/>
        <v>0</v>
      </c>
      <c r="S17" s="707"/>
      <c r="T17" s="707"/>
      <c r="U17" s="707"/>
      <c r="V17" s="782"/>
      <c r="W17" s="782"/>
      <c r="X17" s="778"/>
      <c r="Y17" s="814"/>
      <c r="Z17" s="695" t="s">
        <v>4565</v>
      </c>
      <c r="AB17" s="781" t="e">
        <f t="shared" si="0"/>
        <v>#DIV/0!</v>
      </c>
    </row>
    <row r="18" spans="1:28" s="784" customFormat="1" ht="16.5" customHeight="1" x14ac:dyDescent="0.25">
      <c r="A18" s="744">
        <v>10</v>
      </c>
      <c r="B18" s="745"/>
      <c r="C18" s="746">
        <v>2026</v>
      </c>
      <c r="D18" s="685" t="s">
        <v>3703</v>
      </c>
      <c r="E18" s="689" t="s">
        <v>4520</v>
      </c>
      <c r="F18" s="707"/>
      <c r="G18" s="707"/>
      <c r="H18" s="707"/>
      <c r="I18" s="707"/>
      <c r="J18" s="707"/>
      <c r="K18" s="707"/>
      <c r="L18" s="707"/>
      <c r="M18" s="707"/>
      <c r="N18" s="707"/>
      <c r="O18" s="707"/>
      <c r="P18" s="707"/>
      <c r="Q18" s="707"/>
      <c r="R18" s="782">
        <f t="shared" si="3"/>
        <v>0</v>
      </c>
      <c r="S18" s="707"/>
      <c r="T18" s="707"/>
      <c r="U18" s="707"/>
      <c r="V18" s="782"/>
      <c r="W18" s="782"/>
      <c r="X18" s="778"/>
      <c r="Y18" s="814"/>
      <c r="Z18" s="695" t="s">
        <v>4566</v>
      </c>
      <c r="AB18" s="781" t="e">
        <f t="shared" si="0"/>
        <v>#DIV/0!</v>
      </c>
    </row>
    <row r="19" spans="1:28" s="784" customFormat="1" ht="16.5" customHeight="1" x14ac:dyDescent="0.25">
      <c r="A19" s="744">
        <v>11</v>
      </c>
      <c r="B19" s="745"/>
      <c r="C19" s="746">
        <v>2026</v>
      </c>
      <c r="D19" s="685" t="s">
        <v>4521</v>
      </c>
      <c r="E19" s="689" t="s">
        <v>4522</v>
      </c>
      <c r="F19" s="707"/>
      <c r="G19" s="707"/>
      <c r="H19" s="707"/>
      <c r="I19" s="707"/>
      <c r="J19" s="707"/>
      <c r="K19" s="707"/>
      <c r="L19" s="707"/>
      <c r="M19" s="707"/>
      <c r="N19" s="707"/>
      <c r="O19" s="707"/>
      <c r="P19" s="707"/>
      <c r="Q19" s="707"/>
      <c r="R19" s="782">
        <f t="shared" si="3"/>
        <v>0</v>
      </c>
      <c r="S19" s="707"/>
      <c r="T19" s="707"/>
      <c r="U19" s="707"/>
      <c r="V19" s="782"/>
      <c r="W19" s="782"/>
      <c r="X19" s="778"/>
      <c r="Y19" s="814"/>
      <c r="Z19" s="695" t="s">
        <v>4567</v>
      </c>
      <c r="AB19" s="781" t="e">
        <f t="shared" si="0"/>
        <v>#DIV/0!</v>
      </c>
    </row>
    <row r="20" spans="1:28" s="784" customFormat="1" ht="16.5" customHeight="1" x14ac:dyDescent="0.25">
      <c r="A20" s="744">
        <v>12</v>
      </c>
      <c r="B20" s="745"/>
      <c r="C20" s="746">
        <v>2026</v>
      </c>
      <c r="D20" s="685" t="s">
        <v>4523</v>
      </c>
      <c r="E20" s="689" t="s">
        <v>2378</v>
      </c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82">
        <f t="shared" si="3"/>
        <v>0</v>
      </c>
      <c r="S20" s="707"/>
      <c r="T20" s="707"/>
      <c r="U20" s="707"/>
      <c r="V20" s="782"/>
      <c r="W20" s="782"/>
      <c r="X20" s="778"/>
      <c r="Y20" s="814"/>
      <c r="Z20" s="695" t="s">
        <v>4568</v>
      </c>
      <c r="AB20" s="781" t="e">
        <f t="shared" si="0"/>
        <v>#DIV/0!</v>
      </c>
    </row>
    <row r="21" spans="1:28" s="784" customFormat="1" ht="16.5" customHeight="1" x14ac:dyDescent="0.25">
      <c r="A21" s="744">
        <v>13</v>
      </c>
      <c r="B21" s="745"/>
      <c r="C21" s="746">
        <v>2026</v>
      </c>
      <c r="D21" s="685" t="s">
        <v>4524</v>
      </c>
      <c r="E21" s="689" t="s">
        <v>4525</v>
      </c>
      <c r="F21" s="707"/>
      <c r="G21" s="707"/>
      <c r="H21" s="707"/>
      <c r="I21" s="707"/>
      <c r="J21" s="707"/>
      <c r="K21" s="707"/>
      <c r="L21" s="707"/>
      <c r="M21" s="707"/>
      <c r="N21" s="707"/>
      <c r="O21" s="707"/>
      <c r="P21" s="707"/>
      <c r="Q21" s="707"/>
      <c r="R21" s="782">
        <f t="shared" si="3"/>
        <v>0</v>
      </c>
      <c r="S21" s="707"/>
      <c r="T21" s="707"/>
      <c r="U21" s="707"/>
      <c r="V21" s="782"/>
      <c r="W21" s="782"/>
      <c r="X21" s="778"/>
      <c r="Y21" s="814"/>
      <c r="Z21" s="695" t="s">
        <v>4569</v>
      </c>
      <c r="AB21" s="781" t="e">
        <f t="shared" si="0"/>
        <v>#DIV/0!</v>
      </c>
    </row>
    <row r="22" spans="1:28" s="784" customFormat="1" ht="16.5" customHeight="1" x14ac:dyDescent="0.25">
      <c r="A22" s="744">
        <v>14</v>
      </c>
      <c r="B22" s="745"/>
      <c r="C22" s="746">
        <v>2026</v>
      </c>
      <c r="D22" s="685" t="s">
        <v>4526</v>
      </c>
      <c r="E22" s="689" t="s">
        <v>4527</v>
      </c>
      <c r="F22" s="707"/>
      <c r="G22" s="707"/>
      <c r="H22" s="707"/>
      <c r="I22" s="707"/>
      <c r="J22" s="707"/>
      <c r="K22" s="707"/>
      <c r="L22" s="707"/>
      <c r="M22" s="707"/>
      <c r="N22" s="707"/>
      <c r="O22" s="707"/>
      <c r="P22" s="707"/>
      <c r="Q22" s="707"/>
      <c r="R22" s="782">
        <f t="shared" si="3"/>
        <v>0</v>
      </c>
      <c r="S22" s="707"/>
      <c r="T22" s="707"/>
      <c r="U22" s="707"/>
      <c r="V22" s="782"/>
      <c r="W22" s="782"/>
      <c r="X22" s="778"/>
      <c r="Y22" s="814"/>
      <c r="Z22" s="695" t="s">
        <v>4570</v>
      </c>
      <c r="AB22" s="781" t="e">
        <f t="shared" si="0"/>
        <v>#DIV/0!</v>
      </c>
    </row>
    <row r="23" spans="1:28" s="784" customFormat="1" ht="16.5" customHeight="1" x14ac:dyDescent="0.25">
      <c r="A23" s="744">
        <v>15</v>
      </c>
      <c r="B23" s="745"/>
      <c r="C23" s="746">
        <v>2026</v>
      </c>
      <c r="D23" s="685" t="s">
        <v>4528</v>
      </c>
      <c r="E23" s="689" t="s">
        <v>4529</v>
      </c>
      <c r="F23" s="707"/>
      <c r="G23" s="707"/>
      <c r="H23" s="707"/>
      <c r="I23" s="707"/>
      <c r="J23" s="707"/>
      <c r="K23" s="707"/>
      <c r="L23" s="707"/>
      <c r="M23" s="707"/>
      <c r="N23" s="707"/>
      <c r="O23" s="707"/>
      <c r="P23" s="707"/>
      <c r="Q23" s="707"/>
      <c r="R23" s="782">
        <f t="shared" si="3"/>
        <v>0</v>
      </c>
      <c r="S23" s="707"/>
      <c r="T23" s="707"/>
      <c r="U23" s="707"/>
      <c r="V23" s="782"/>
      <c r="W23" s="782"/>
      <c r="X23" s="778"/>
      <c r="Y23" s="814"/>
      <c r="Z23" s="695" t="s">
        <v>4571</v>
      </c>
      <c r="AB23" s="781" t="e">
        <f t="shared" si="0"/>
        <v>#DIV/0!</v>
      </c>
    </row>
    <row r="24" spans="1:28" s="784" customFormat="1" ht="16.5" customHeight="1" x14ac:dyDescent="0.25">
      <c r="A24" s="744">
        <v>16</v>
      </c>
      <c r="B24" s="745"/>
      <c r="C24" s="746">
        <v>2026</v>
      </c>
      <c r="D24" s="685" t="s">
        <v>4530</v>
      </c>
      <c r="E24" s="689" t="s">
        <v>3491</v>
      </c>
      <c r="F24" s="707"/>
      <c r="G24" s="707"/>
      <c r="H24" s="707"/>
      <c r="I24" s="707"/>
      <c r="J24" s="707"/>
      <c r="K24" s="707"/>
      <c r="L24" s="707"/>
      <c r="M24" s="707"/>
      <c r="N24" s="707"/>
      <c r="O24" s="707"/>
      <c r="P24" s="707"/>
      <c r="Q24" s="707"/>
      <c r="R24" s="782">
        <f t="shared" si="3"/>
        <v>0</v>
      </c>
      <c r="S24" s="707"/>
      <c r="T24" s="707"/>
      <c r="U24" s="707"/>
      <c r="V24" s="782"/>
      <c r="W24" s="782"/>
      <c r="X24" s="778"/>
      <c r="Y24" s="814"/>
      <c r="Z24" s="695" t="s">
        <v>4561</v>
      </c>
      <c r="AB24" s="781" t="e">
        <f t="shared" si="0"/>
        <v>#DIV/0!</v>
      </c>
    </row>
    <row r="25" spans="1:28" s="784" customFormat="1" ht="16.5" customHeight="1" x14ac:dyDescent="0.25">
      <c r="A25" s="744">
        <v>17</v>
      </c>
      <c r="B25" s="745"/>
      <c r="C25" s="746">
        <v>2026</v>
      </c>
      <c r="D25" s="685" t="s">
        <v>4531</v>
      </c>
      <c r="E25" s="689" t="s">
        <v>3090</v>
      </c>
      <c r="F25" s="707"/>
      <c r="G25" s="707"/>
      <c r="H25" s="707"/>
      <c r="I25" s="707"/>
      <c r="J25" s="707"/>
      <c r="K25" s="707"/>
      <c r="L25" s="707"/>
      <c r="M25" s="707"/>
      <c r="N25" s="707"/>
      <c r="O25" s="707"/>
      <c r="P25" s="707"/>
      <c r="Q25" s="707"/>
      <c r="R25" s="782">
        <f t="shared" si="3"/>
        <v>0</v>
      </c>
      <c r="S25" s="707"/>
      <c r="T25" s="707"/>
      <c r="U25" s="707"/>
      <c r="V25" s="782"/>
      <c r="W25" s="782"/>
      <c r="X25" s="778"/>
      <c r="Y25" s="814"/>
      <c r="Z25" s="695" t="s">
        <v>3016</v>
      </c>
      <c r="AB25" s="781" t="e">
        <f t="shared" si="0"/>
        <v>#DIV/0!</v>
      </c>
    </row>
    <row r="26" spans="1:28" s="784" customFormat="1" ht="16.5" customHeight="1" x14ac:dyDescent="0.25">
      <c r="A26" s="744">
        <v>18</v>
      </c>
      <c r="B26" s="745"/>
      <c r="C26" s="746">
        <v>2026</v>
      </c>
      <c r="D26" s="685" t="s">
        <v>4532</v>
      </c>
      <c r="E26" s="689" t="s">
        <v>2819</v>
      </c>
      <c r="F26" s="707"/>
      <c r="G26" s="707"/>
      <c r="H26" s="707"/>
      <c r="I26" s="707"/>
      <c r="J26" s="707"/>
      <c r="K26" s="707"/>
      <c r="L26" s="707"/>
      <c r="M26" s="707"/>
      <c r="N26" s="707"/>
      <c r="O26" s="707"/>
      <c r="P26" s="707"/>
      <c r="Q26" s="707"/>
      <c r="R26" s="782">
        <f t="shared" si="3"/>
        <v>0</v>
      </c>
      <c r="S26" s="707"/>
      <c r="T26" s="707"/>
      <c r="U26" s="707"/>
      <c r="V26" s="782"/>
      <c r="W26" s="782"/>
      <c r="X26" s="778"/>
      <c r="Y26" s="814"/>
      <c r="Z26" s="695" t="s">
        <v>4562</v>
      </c>
      <c r="AB26" s="781" t="e">
        <f t="shared" si="0"/>
        <v>#DIV/0!</v>
      </c>
    </row>
    <row r="27" spans="1:28" s="784" customFormat="1" ht="16.5" customHeight="1" x14ac:dyDescent="0.25">
      <c r="A27" s="744">
        <v>19</v>
      </c>
      <c r="B27" s="745"/>
      <c r="C27" s="746">
        <v>2026</v>
      </c>
      <c r="D27" s="685" t="s">
        <v>4533</v>
      </c>
      <c r="E27" s="689" t="s">
        <v>4534</v>
      </c>
      <c r="F27" s="707"/>
      <c r="G27" s="707"/>
      <c r="H27" s="707"/>
      <c r="I27" s="707"/>
      <c r="J27" s="707"/>
      <c r="K27" s="707"/>
      <c r="L27" s="707"/>
      <c r="M27" s="707"/>
      <c r="N27" s="707"/>
      <c r="O27" s="707"/>
      <c r="P27" s="707"/>
      <c r="Q27" s="707"/>
      <c r="R27" s="782">
        <f t="shared" si="3"/>
        <v>0</v>
      </c>
      <c r="S27" s="707"/>
      <c r="T27" s="707"/>
      <c r="U27" s="707"/>
      <c r="V27" s="782"/>
      <c r="W27" s="782"/>
      <c r="X27" s="778"/>
      <c r="Y27" s="814"/>
      <c r="Z27" s="695" t="s">
        <v>4572</v>
      </c>
      <c r="AB27" s="781" t="e">
        <f t="shared" si="0"/>
        <v>#DIV/0!</v>
      </c>
    </row>
    <row r="28" spans="1:28" s="784" customFormat="1" ht="16.5" customHeight="1" x14ac:dyDescent="0.25">
      <c r="A28" s="744">
        <v>20</v>
      </c>
      <c r="B28" s="745"/>
      <c r="C28" s="746">
        <v>2026</v>
      </c>
      <c r="D28" s="685" t="s">
        <v>4535</v>
      </c>
      <c r="E28" s="689" t="s">
        <v>2785</v>
      </c>
      <c r="F28" s="707"/>
      <c r="G28" s="707"/>
      <c r="H28" s="707"/>
      <c r="I28" s="707"/>
      <c r="J28" s="707"/>
      <c r="K28" s="707"/>
      <c r="L28" s="707"/>
      <c r="M28" s="707"/>
      <c r="N28" s="707"/>
      <c r="O28" s="707"/>
      <c r="P28" s="707"/>
      <c r="Q28" s="707"/>
      <c r="R28" s="782">
        <f t="shared" si="3"/>
        <v>0</v>
      </c>
      <c r="S28" s="707"/>
      <c r="T28" s="707"/>
      <c r="U28" s="707"/>
      <c r="V28" s="782"/>
      <c r="W28" s="782"/>
      <c r="X28" s="778"/>
      <c r="Y28" s="814"/>
      <c r="Z28" s="695" t="s">
        <v>4573</v>
      </c>
      <c r="AB28" s="781" t="e">
        <f t="shared" si="0"/>
        <v>#DIV/0!</v>
      </c>
    </row>
    <row r="29" spans="1:28" s="784" customFormat="1" ht="16.5" customHeight="1" x14ac:dyDescent="0.25">
      <c r="A29" s="744">
        <v>21</v>
      </c>
      <c r="B29" s="745"/>
      <c r="C29" s="746">
        <v>2026</v>
      </c>
      <c r="D29" s="685" t="s">
        <v>4536</v>
      </c>
      <c r="E29" s="689" t="s">
        <v>2345</v>
      </c>
      <c r="F29" s="707"/>
      <c r="G29" s="707"/>
      <c r="H29" s="707"/>
      <c r="I29" s="707"/>
      <c r="J29" s="707"/>
      <c r="K29" s="707"/>
      <c r="L29" s="707"/>
      <c r="M29" s="707"/>
      <c r="N29" s="707"/>
      <c r="O29" s="707"/>
      <c r="P29" s="707"/>
      <c r="Q29" s="707"/>
      <c r="R29" s="782">
        <f t="shared" si="3"/>
        <v>0</v>
      </c>
      <c r="S29" s="707"/>
      <c r="T29" s="707"/>
      <c r="U29" s="707"/>
      <c r="V29" s="782"/>
      <c r="W29" s="782"/>
      <c r="X29" s="778"/>
      <c r="Y29" s="814"/>
      <c r="Z29" s="695" t="s">
        <v>4574</v>
      </c>
      <c r="AB29" s="781" t="e">
        <f t="shared" si="0"/>
        <v>#DIV/0!</v>
      </c>
    </row>
    <row r="30" spans="1:28" s="784" customFormat="1" ht="16.5" customHeight="1" x14ac:dyDescent="0.25">
      <c r="A30" s="744">
        <v>22</v>
      </c>
      <c r="B30" s="745"/>
      <c r="C30" s="746">
        <v>2026</v>
      </c>
      <c r="D30" s="685" t="s">
        <v>4537</v>
      </c>
      <c r="E30" s="689" t="s">
        <v>2426</v>
      </c>
      <c r="F30" s="707"/>
      <c r="G30" s="707"/>
      <c r="H30" s="707"/>
      <c r="I30" s="707"/>
      <c r="J30" s="707"/>
      <c r="K30" s="707"/>
      <c r="L30" s="707"/>
      <c r="M30" s="707"/>
      <c r="N30" s="707"/>
      <c r="O30" s="707"/>
      <c r="P30" s="707"/>
      <c r="Q30" s="707"/>
      <c r="R30" s="782">
        <f t="shared" si="3"/>
        <v>0</v>
      </c>
      <c r="S30" s="707"/>
      <c r="T30" s="707"/>
      <c r="U30" s="707"/>
      <c r="V30" s="782">
        <f t="shared" si="1"/>
        <v>0</v>
      </c>
      <c r="W30" s="782">
        <f t="shared" si="2"/>
        <v>0</v>
      </c>
      <c r="X30" s="778"/>
      <c r="Y30" s="814"/>
      <c r="Z30" s="695" t="s">
        <v>4575</v>
      </c>
      <c r="AB30" s="781" t="e">
        <f t="shared" si="0"/>
        <v>#DIV/0!</v>
      </c>
    </row>
    <row r="31" spans="1:28" s="784" customFormat="1" ht="16.5" customHeight="1" x14ac:dyDescent="0.25">
      <c r="A31" s="744">
        <v>23</v>
      </c>
      <c r="B31" s="745"/>
      <c r="C31" s="746">
        <v>2026</v>
      </c>
      <c r="D31" s="685" t="s">
        <v>4538</v>
      </c>
      <c r="E31" s="689" t="s">
        <v>630</v>
      </c>
      <c r="F31" s="707"/>
      <c r="G31" s="707"/>
      <c r="H31" s="707"/>
      <c r="I31" s="707"/>
      <c r="J31" s="707"/>
      <c r="K31" s="707"/>
      <c r="L31" s="707"/>
      <c r="M31" s="707"/>
      <c r="N31" s="707"/>
      <c r="O31" s="707"/>
      <c r="P31" s="707"/>
      <c r="Q31" s="707"/>
      <c r="R31" s="782">
        <f t="shared" si="3"/>
        <v>0</v>
      </c>
      <c r="S31" s="707"/>
      <c r="T31" s="707"/>
      <c r="U31" s="707"/>
      <c r="V31" s="782">
        <f t="shared" si="1"/>
        <v>0</v>
      </c>
      <c r="W31" s="782">
        <f t="shared" si="2"/>
        <v>0</v>
      </c>
      <c r="X31" s="778"/>
      <c r="Y31" s="814"/>
      <c r="Z31" s="695" t="s">
        <v>4575</v>
      </c>
      <c r="AB31" s="781" t="e">
        <f t="shared" si="0"/>
        <v>#DIV/0!</v>
      </c>
    </row>
    <row r="32" spans="1:28" s="784" customFormat="1" ht="16.5" customHeight="1" x14ac:dyDescent="0.25">
      <c r="A32" s="744">
        <v>24</v>
      </c>
      <c r="B32" s="745"/>
      <c r="C32" s="746">
        <v>2026</v>
      </c>
      <c r="D32" s="685" t="s">
        <v>4539</v>
      </c>
      <c r="E32" s="689" t="s">
        <v>4540</v>
      </c>
      <c r="F32" s="707"/>
      <c r="G32" s="707"/>
      <c r="H32" s="707"/>
      <c r="I32" s="707"/>
      <c r="J32" s="707"/>
      <c r="K32" s="707"/>
      <c r="L32" s="707"/>
      <c r="M32" s="707"/>
      <c r="N32" s="707"/>
      <c r="O32" s="707"/>
      <c r="P32" s="707"/>
      <c r="Q32" s="707"/>
      <c r="R32" s="782">
        <f t="shared" si="3"/>
        <v>0</v>
      </c>
      <c r="S32" s="707"/>
      <c r="T32" s="707"/>
      <c r="U32" s="707"/>
      <c r="V32" s="782">
        <f t="shared" si="1"/>
        <v>0</v>
      </c>
      <c r="W32" s="782">
        <f t="shared" si="2"/>
        <v>0</v>
      </c>
      <c r="X32" s="778"/>
      <c r="Y32" s="814"/>
      <c r="Z32" s="695" t="s">
        <v>4576</v>
      </c>
      <c r="AB32" s="781" t="e">
        <f t="shared" si="0"/>
        <v>#DIV/0!</v>
      </c>
    </row>
    <row r="33" spans="1:28" s="784" customFormat="1" ht="16.5" customHeight="1" x14ac:dyDescent="0.25">
      <c r="A33" s="744">
        <v>25</v>
      </c>
      <c r="B33" s="745"/>
      <c r="C33" s="746">
        <v>2026</v>
      </c>
      <c r="D33" s="685" t="s">
        <v>4541</v>
      </c>
      <c r="E33" s="689" t="s">
        <v>4542</v>
      </c>
      <c r="F33" s="707"/>
      <c r="G33" s="707"/>
      <c r="H33" s="707"/>
      <c r="I33" s="707"/>
      <c r="J33" s="707"/>
      <c r="K33" s="707"/>
      <c r="L33" s="707"/>
      <c r="M33" s="707"/>
      <c r="N33" s="707"/>
      <c r="O33" s="707"/>
      <c r="P33" s="707"/>
      <c r="Q33" s="707"/>
      <c r="R33" s="782">
        <f t="shared" si="3"/>
        <v>0</v>
      </c>
      <c r="S33" s="707"/>
      <c r="T33" s="707"/>
      <c r="U33" s="707"/>
      <c r="V33" s="782">
        <f t="shared" si="1"/>
        <v>0</v>
      </c>
      <c r="W33" s="782">
        <f t="shared" si="2"/>
        <v>0</v>
      </c>
      <c r="X33" s="778"/>
      <c r="Y33" s="814"/>
      <c r="Z33" s="695" t="s">
        <v>4577</v>
      </c>
      <c r="AB33" s="781" t="e">
        <f t="shared" si="0"/>
        <v>#DIV/0!</v>
      </c>
    </row>
    <row r="34" spans="1:28" s="784" customFormat="1" ht="16.5" customHeight="1" x14ac:dyDescent="0.25">
      <c r="A34" s="744">
        <v>26</v>
      </c>
      <c r="B34" s="745"/>
      <c r="C34" s="746">
        <v>2026</v>
      </c>
      <c r="D34" s="685" t="s">
        <v>4543</v>
      </c>
      <c r="E34" s="689" t="s">
        <v>4544</v>
      </c>
      <c r="F34" s="707"/>
      <c r="G34" s="707"/>
      <c r="H34" s="707"/>
      <c r="I34" s="707"/>
      <c r="J34" s="707"/>
      <c r="K34" s="707"/>
      <c r="L34" s="707"/>
      <c r="M34" s="707"/>
      <c r="N34" s="707"/>
      <c r="O34" s="707"/>
      <c r="P34" s="707"/>
      <c r="Q34" s="707"/>
      <c r="R34" s="782">
        <f t="shared" si="3"/>
        <v>0</v>
      </c>
      <c r="S34" s="707"/>
      <c r="T34" s="707"/>
      <c r="U34" s="707"/>
      <c r="V34" s="782">
        <f t="shared" si="1"/>
        <v>0</v>
      </c>
      <c r="W34" s="782">
        <f t="shared" si="2"/>
        <v>0</v>
      </c>
      <c r="X34" s="778"/>
      <c r="Y34" s="814"/>
      <c r="Z34" s="695" t="s">
        <v>4578</v>
      </c>
      <c r="AB34" s="781" t="e">
        <f t="shared" si="0"/>
        <v>#DIV/0!</v>
      </c>
    </row>
    <row r="35" spans="1:28" s="784" customFormat="1" ht="16.5" customHeight="1" x14ac:dyDescent="0.25">
      <c r="A35" s="744">
        <v>27</v>
      </c>
      <c r="B35" s="745"/>
      <c r="C35" s="746">
        <v>2026</v>
      </c>
      <c r="D35" s="685" t="s">
        <v>4545</v>
      </c>
      <c r="E35" s="689" t="s">
        <v>3509</v>
      </c>
      <c r="F35" s="707"/>
      <c r="G35" s="707"/>
      <c r="H35" s="707"/>
      <c r="I35" s="707"/>
      <c r="J35" s="707"/>
      <c r="K35" s="707"/>
      <c r="L35" s="707"/>
      <c r="M35" s="707"/>
      <c r="N35" s="707"/>
      <c r="O35" s="707"/>
      <c r="P35" s="707"/>
      <c r="Q35" s="707"/>
      <c r="R35" s="782">
        <f t="shared" si="3"/>
        <v>0</v>
      </c>
      <c r="S35" s="707"/>
      <c r="T35" s="707"/>
      <c r="U35" s="707"/>
      <c r="V35" s="782">
        <f>SUM(S35:U35)/3</f>
        <v>0</v>
      </c>
      <c r="W35" s="782">
        <f>SUM(R35+V35)/2</f>
        <v>0</v>
      </c>
      <c r="X35" s="778"/>
      <c r="Y35" s="814"/>
      <c r="Z35" s="695" t="s">
        <v>4579</v>
      </c>
      <c r="AB35" s="781" t="e">
        <f t="shared" si="0"/>
        <v>#DIV/0!</v>
      </c>
    </row>
    <row r="36" spans="1:28" s="784" customFormat="1" ht="16.5" customHeight="1" x14ac:dyDescent="0.25">
      <c r="A36" s="744">
        <v>28</v>
      </c>
      <c r="B36" s="745"/>
      <c r="C36" s="746">
        <v>2026</v>
      </c>
      <c r="D36" s="685" t="s">
        <v>4546</v>
      </c>
      <c r="E36" s="689" t="s">
        <v>4547</v>
      </c>
      <c r="F36" s="707"/>
      <c r="G36" s="707"/>
      <c r="H36" s="707"/>
      <c r="I36" s="707"/>
      <c r="J36" s="707"/>
      <c r="K36" s="707"/>
      <c r="L36" s="707"/>
      <c r="M36" s="707"/>
      <c r="N36" s="707"/>
      <c r="O36" s="707"/>
      <c r="P36" s="707"/>
      <c r="Q36" s="707"/>
      <c r="R36" s="782">
        <f t="shared" si="3"/>
        <v>0</v>
      </c>
      <c r="S36" s="707"/>
      <c r="T36" s="707"/>
      <c r="U36" s="707"/>
      <c r="V36" s="782">
        <f>SUM(S36:U36)/3</f>
        <v>0</v>
      </c>
      <c r="W36" s="782">
        <f>SUM(R36+V36)/2</f>
        <v>0</v>
      </c>
      <c r="X36" s="778"/>
      <c r="Y36" s="814"/>
      <c r="Z36" s="695" t="s">
        <v>4580</v>
      </c>
      <c r="AB36" s="781" t="e">
        <f t="shared" si="0"/>
        <v>#DIV/0!</v>
      </c>
    </row>
    <row r="37" spans="1:28" s="784" customFormat="1" ht="16.5" customHeight="1" x14ac:dyDescent="0.25">
      <c r="A37" s="744">
        <v>29</v>
      </c>
      <c r="B37" s="745"/>
      <c r="C37" s="746">
        <v>2026</v>
      </c>
      <c r="D37" s="685" t="s">
        <v>4548</v>
      </c>
      <c r="E37" s="689" t="s">
        <v>4549</v>
      </c>
      <c r="F37" s="707"/>
      <c r="G37" s="707"/>
      <c r="H37" s="707"/>
      <c r="I37" s="707"/>
      <c r="J37" s="707"/>
      <c r="K37" s="707"/>
      <c r="L37" s="707"/>
      <c r="M37" s="707"/>
      <c r="N37" s="707"/>
      <c r="O37" s="707"/>
      <c r="P37" s="707"/>
      <c r="Q37" s="707"/>
      <c r="R37" s="782">
        <f t="shared" si="3"/>
        <v>0</v>
      </c>
      <c r="S37" s="707"/>
      <c r="T37" s="707"/>
      <c r="U37" s="707"/>
      <c r="V37" s="782">
        <f>SUM(S37:U37)/3</f>
        <v>0</v>
      </c>
      <c r="W37" s="782">
        <f>SUM(R37+V37)/2</f>
        <v>0</v>
      </c>
      <c r="X37" s="778"/>
      <c r="Y37" s="814"/>
      <c r="Z37" s="695" t="s">
        <v>4581</v>
      </c>
      <c r="AB37" s="781" t="e">
        <f t="shared" si="0"/>
        <v>#DIV/0!</v>
      </c>
    </row>
    <row r="38" spans="1:28" s="784" customFormat="1" ht="16.5" customHeight="1" x14ac:dyDescent="0.25">
      <c r="A38" s="744">
        <v>30</v>
      </c>
      <c r="B38" s="745"/>
      <c r="C38" s="746">
        <v>2026</v>
      </c>
      <c r="D38" s="685" t="s">
        <v>4550</v>
      </c>
      <c r="E38" s="689" t="s">
        <v>3406</v>
      </c>
      <c r="F38" s="707"/>
      <c r="G38" s="707"/>
      <c r="H38" s="707"/>
      <c r="I38" s="707"/>
      <c r="J38" s="707"/>
      <c r="K38" s="707"/>
      <c r="L38" s="707"/>
      <c r="M38" s="707"/>
      <c r="N38" s="707"/>
      <c r="O38" s="707"/>
      <c r="P38" s="707"/>
      <c r="Q38" s="707"/>
      <c r="R38" s="782">
        <f t="shared" si="3"/>
        <v>0</v>
      </c>
      <c r="S38" s="707"/>
      <c r="T38" s="707"/>
      <c r="U38" s="707"/>
      <c r="V38" s="782"/>
      <c r="W38" s="782"/>
      <c r="X38" s="778"/>
      <c r="Y38" s="814"/>
      <c r="Z38" s="695" t="s">
        <v>4582</v>
      </c>
      <c r="AB38" s="781" t="e">
        <f t="shared" si="0"/>
        <v>#DIV/0!</v>
      </c>
    </row>
    <row r="39" spans="1:28" s="784" customFormat="1" ht="16.5" customHeight="1" x14ac:dyDescent="0.25">
      <c r="A39" s="744">
        <v>31</v>
      </c>
      <c r="B39" s="745"/>
      <c r="C39" s="746">
        <v>2026</v>
      </c>
      <c r="D39" s="685" t="s">
        <v>4551</v>
      </c>
      <c r="E39" s="689" t="s">
        <v>4552</v>
      </c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82">
        <f t="shared" si="3"/>
        <v>0</v>
      </c>
      <c r="S39" s="707"/>
      <c r="T39" s="707"/>
      <c r="U39" s="707"/>
      <c r="V39" s="782"/>
      <c r="W39" s="782"/>
      <c r="X39" s="778"/>
      <c r="Y39" s="814"/>
      <c r="Z39" s="695" t="s">
        <v>4573</v>
      </c>
      <c r="AB39" s="781" t="e">
        <f t="shared" si="0"/>
        <v>#DIV/0!</v>
      </c>
    </row>
    <row r="40" spans="1:28" s="784" customFormat="1" ht="16.5" customHeight="1" x14ac:dyDescent="0.25">
      <c r="A40" s="744">
        <v>32</v>
      </c>
      <c r="B40" s="745"/>
      <c r="C40" s="746">
        <v>2026</v>
      </c>
      <c r="D40" s="685" t="s">
        <v>4553</v>
      </c>
      <c r="E40" s="689" t="s">
        <v>2551</v>
      </c>
      <c r="F40" s="707"/>
      <c r="G40" s="707"/>
      <c r="H40" s="707"/>
      <c r="I40" s="707"/>
      <c r="J40" s="707"/>
      <c r="K40" s="707"/>
      <c r="L40" s="707"/>
      <c r="M40" s="707"/>
      <c r="N40" s="707"/>
      <c r="O40" s="707"/>
      <c r="P40" s="707"/>
      <c r="Q40" s="707"/>
      <c r="R40" s="782">
        <f t="shared" si="3"/>
        <v>0</v>
      </c>
      <c r="S40" s="707"/>
      <c r="T40" s="707"/>
      <c r="U40" s="707"/>
      <c r="V40" s="782"/>
      <c r="W40" s="782"/>
      <c r="X40" s="778"/>
      <c r="Y40" s="814"/>
      <c r="Z40" s="695" t="s">
        <v>4583</v>
      </c>
      <c r="AB40" s="781" t="e">
        <f t="shared" si="0"/>
        <v>#DIV/0!</v>
      </c>
    </row>
    <row r="41" spans="1:28" s="784" customFormat="1" ht="16.5" customHeight="1" x14ac:dyDescent="0.25">
      <c r="A41" s="744">
        <v>33</v>
      </c>
      <c r="B41" s="745"/>
      <c r="C41" s="746">
        <v>2026</v>
      </c>
      <c r="D41" s="685" t="s">
        <v>4554</v>
      </c>
      <c r="E41" s="689" t="s">
        <v>4555</v>
      </c>
      <c r="F41" s="707"/>
      <c r="G41" s="707"/>
      <c r="H41" s="707"/>
      <c r="I41" s="707"/>
      <c r="J41" s="707"/>
      <c r="K41" s="707"/>
      <c r="L41" s="707"/>
      <c r="M41" s="707"/>
      <c r="N41" s="707"/>
      <c r="O41" s="707"/>
      <c r="P41" s="707"/>
      <c r="Q41" s="707"/>
      <c r="R41" s="782">
        <f t="shared" si="3"/>
        <v>0</v>
      </c>
      <c r="S41" s="707"/>
      <c r="T41" s="707"/>
      <c r="U41" s="707"/>
      <c r="V41" s="782"/>
      <c r="W41" s="782"/>
      <c r="X41" s="778"/>
      <c r="Y41" s="814"/>
      <c r="Z41" s="695" t="s">
        <v>4584</v>
      </c>
      <c r="AB41" s="781" t="e">
        <f t="shared" si="0"/>
        <v>#DIV/0!</v>
      </c>
    </row>
    <row r="42" spans="1:28" s="784" customFormat="1" ht="16.5" customHeight="1" x14ac:dyDescent="0.25">
      <c r="A42" s="744">
        <v>34</v>
      </c>
      <c r="B42" s="745"/>
      <c r="C42" s="746">
        <v>2026</v>
      </c>
      <c r="D42" s="685" t="s">
        <v>4556</v>
      </c>
      <c r="E42" s="689" t="s">
        <v>4557</v>
      </c>
      <c r="F42" s="707"/>
      <c r="G42" s="707"/>
      <c r="H42" s="707"/>
      <c r="I42" s="707"/>
      <c r="J42" s="707"/>
      <c r="K42" s="707"/>
      <c r="L42" s="707"/>
      <c r="M42" s="707"/>
      <c r="N42" s="707"/>
      <c r="O42" s="707"/>
      <c r="P42" s="707"/>
      <c r="Q42" s="707"/>
      <c r="R42" s="782">
        <f t="shared" si="3"/>
        <v>0</v>
      </c>
      <c r="S42" s="707"/>
      <c r="T42" s="707"/>
      <c r="U42" s="707"/>
      <c r="V42" s="782"/>
      <c r="W42" s="782"/>
      <c r="X42" s="778"/>
      <c r="Y42" s="814"/>
      <c r="Z42" s="695" t="s">
        <v>4585</v>
      </c>
      <c r="AB42" s="781" t="e">
        <f t="shared" si="0"/>
        <v>#DIV/0!</v>
      </c>
    </row>
    <row r="43" spans="1:28" s="784" customFormat="1" ht="16.5" customHeight="1" x14ac:dyDescent="0.25">
      <c r="A43" s="744">
        <v>35</v>
      </c>
      <c r="B43" s="745"/>
      <c r="C43" s="746">
        <v>2026</v>
      </c>
      <c r="D43" s="685" t="s">
        <v>4558</v>
      </c>
      <c r="E43" s="689" t="s">
        <v>4032</v>
      </c>
      <c r="F43" s="707"/>
      <c r="G43" s="707"/>
      <c r="H43" s="707"/>
      <c r="I43" s="707"/>
      <c r="J43" s="707"/>
      <c r="K43" s="707"/>
      <c r="L43" s="707"/>
      <c r="M43" s="707"/>
      <c r="N43" s="707"/>
      <c r="O43" s="707"/>
      <c r="P43" s="707"/>
      <c r="Q43" s="707"/>
      <c r="R43" s="782">
        <f t="shared" si="3"/>
        <v>0</v>
      </c>
      <c r="S43" s="707"/>
      <c r="T43" s="707"/>
      <c r="U43" s="707"/>
      <c r="V43" s="782"/>
      <c r="W43" s="782"/>
      <c r="X43" s="778"/>
      <c r="Y43" s="814"/>
      <c r="Z43" s="695" t="s">
        <v>4574</v>
      </c>
      <c r="AB43" s="781" t="e">
        <f t="shared" si="0"/>
        <v>#DIV/0!</v>
      </c>
    </row>
    <row r="44" spans="1:28" s="784" customFormat="1" ht="16.5" customHeight="1" x14ac:dyDescent="0.25">
      <c r="A44" s="744">
        <v>36</v>
      </c>
      <c r="B44" s="745"/>
      <c r="C44" s="746">
        <v>2026</v>
      </c>
      <c r="D44" s="685" t="s">
        <v>3446</v>
      </c>
      <c r="E44" s="689" t="s">
        <v>3666</v>
      </c>
      <c r="F44" s="707"/>
      <c r="G44" s="707"/>
      <c r="H44" s="707"/>
      <c r="I44" s="707"/>
      <c r="J44" s="707"/>
      <c r="K44" s="707"/>
      <c r="L44" s="707"/>
      <c r="M44" s="707"/>
      <c r="N44" s="707"/>
      <c r="O44" s="707"/>
      <c r="P44" s="707"/>
      <c r="Q44" s="707"/>
      <c r="R44" s="782">
        <f t="shared" si="3"/>
        <v>0</v>
      </c>
      <c r="S44" s="707"/>
      <c r="T44" s="707"/>
      <c r="U44" s="707"/>
      <c r="V44" s="782"/>
      <c r="W44" s="782"/>
      <c r="X44" s="778"/>
      <c r="Y44" s="814"/>
      <c r="Z44" s="695" t="s">
        <v>4586</v>
      </c>
      <c r="AB44" s="781" t="e">
        <f t="shared" si="0"/>
        <v>#DIV/0!</v>
      </c>
    </row>
    <row r="45" spans="1:28" s="796" customFormat="1" ht="16.5" customHeight="1" thickBot="1" x14ac:dyDescent="0.35">
      <c r="A45" s="820"/>
      <c r="B45" s="821"/>
      <c r="C45" s="822"/>
      <c r="D45" s="823"/>
      <c r="E45" s="824"/>
      <c r="F45" s="824"/>
      <c r="G45" s="824"/>
      <c r="H45" s="824"/>
      <c r="I45" s="824"/>
      <c r="J45" s="824"/>
      <c r="K45" s="824"/>
      <c r="L45" s="824"/>
      <c r="M45" s="824"/>
      <c r="N45" s="824"/>
      <c r="O45" s="824"/>
      <c r="P45" s="824"/>
      <c r="Q45" s="825"/>
      <c r="R45" s="825"/>
      <c r="S45" s="825"/>
      <c r="T45" s="825"/>
      <c r="U45" s="825"/>
      <c r="V45" s="825"/>
      <c r="W45" s="825"/>
      <c r="X45" s="825"/>
      <c r="Y45" s="825"/>
      <c r="Z45" s="826"/>
      <c r="AB45" s="781" t="s">
        <v>2259</v>
      </c>
    </row>
    <row r="46" spans="1:28" s="796" customFormat="1" ht="19.5" thickTop="1" x14ac:dyDescent="0.3">
      <c r="A46" s="797"/>
      <c r="B46" s="797"/>
      <c r="C46" s="797"/>
      <c r="E46" s="797"/>
      <c r="F46" s="797"/>
      <c r="G46" s="797"/>
      <c r="H46" s="797"/>
      <c r="I46" s="797"/>
      <c r="J46" s="797"/>
      <c r="K46" s="797"/>
      <c r="L46" s="797"/>
      <c r="M46" s="797"/>
      <c r="N46" s="797"/>
      <c r="O46" s="797"/>
      <c r="P46" s="797"/>
      <c r="Q46" s="798"/>
      <c r="R46" s="1071"/>
      <c r="S46" s="1071"/>
      <c r="T46" s="1071"/>
      <c r="U46" s="797"/>
      <c r="V46" s="797"/>
      <c r="W46" s="797"/>
      <c r="X46" s="797"/>
      <c r="Y46" s="989"/>
      <c r="Z46" s="797"/>
      <c r="AB46" s="781"/>
    </row>
    <row r="47" spans="1:28" s="796" customFormat="1" x14ac:dyDescent="0.3">
      <c r="A47" s="797"/>
      <c r="B47" s="797"/>
      <c r="C47" s="797"/>
      <c r="E47" s="797"/>
      <c r="F47" s="797"/>
      <c r="G47" s="797"/>
      <c r="H47" s="797"/>
      <c r="I47" s="797"/>
      <c r="J47" s="797"/>
      <c r="K47" s="797"/>
      <c r="L47" s="797"/>
      <c r="M47" s="797"/>
      <c r="N47" s="797"/>
      <c r="O47" s="797"/>
      <c r="P47" s="797"/>
      <c r="Q47" s="780"/>
      <c r="R47" s="800"/>
      <c r="S47" s="780"/>
      <c r="T47" s="780"/>
      <c r="U47" s="797"/>
      <c r="V47" s="797"/>
      <c r="W47" s="797"/>
      <c r="X47" s="797"/>
      <c r="Y47" s="989"/>
      <c r="Z47" s="797"/>
      <c r="AB47" s="781"/>
    </row>
    <row r="48" spans="1:28" s="796" customFormat="1" x14ac:dyDescent="0.3">
      <c r="A48" s="797"/>
      <c r="B48" s="797"/>
      <c r="C48" s="797"/>
      <c r="E48" s="797"/>
      <c r="F48" s="797"/>
      <c r="G48" s="797"/>
      <c r="H48" s="797"/>
      <c r="I48" s="797"/>
      <c r="J48" s="797"/>
      <c r="K48" s="797"/>
      <c r="L48" s="797"/>
      <c r="M48" s="797"/>
      <c r="N48" s="797"/>
      <c r="O48" s="797"/>
      <c r="P48" s="797"/>
      <c r="Q48" s="780"/>
      <c r="R48" s="800"/>
      <c r="S48" s="780"/>
      <c r="T48" s="780"/>
      <c r="U48" s="797"/>
      <c r="V48" s="797"/>
      <c r="W48" s="797"/>
      <c r="X48" s="797"/>
      <c r="Y48" s="989"/>
      <c r="Z48" s="797"/>
      <c r="AB48" s="781"/>
    </row>
    <row r="49" spans="1:28" s="796" customFormat="1" x14ac:dyDescent="0.3">
      <c r="A49" s="797"/>
      <c r="B49" s="797"/>
      <c r="C49" s="797"/>
      <c r="E49" s="797"/>
      <c r="F49" s="797"/>
      <c r="G49" s="797"/>
      <c r="H49" s="797"/>
      <c r="I49" s="797"/>
      <c r="J49" s="797"/>
      <c r="K49" s="797"/>
      <c r="L49" s="797"/>
      <c r="M49" s="797"/>
      <c r="N49" s="797"/>
      <c r="O49" s="797"/>
      <c r="P49" s="797"/>
      <c r="Q49" s="1072"/>
      <c r="R49" s="1072"/>
      <c r="S49" s="1072"/>
      <c r="T49" s="1072"/>
      <c r="U49" s="797"/>
      <c r="V49" s="797"/>
      <c r="W49" s="797"/>
      <c r="X49" s="797"/>
      <c r="Y49" s="989"/>
      <c r="Z49" s="797"/>
      <c r="AB49" s="781"/>
    </row>
    <row r="50" spans="1:28" s="796" customFormat="1" x14ac:dyDescent="0.3">
      <c r="A50" s="797"/>
      <c r="B50" s="797"/>
      <c r="C50" s="797"/>
      <c r="E50" s="797"/>
      <c r="F50" s="797"/>
      <c r="G50" s="797"/>
      <c r="H50" s="797"/>
      <c r="I50" s="797"/>
      <c r="J50" s="797"/>
      <c r="K50" s="797"/>
      <c r="L50" s="797"/>
      <c r="M50" s="797"/>
      <c r="N50" s="797"/>
      <c r="O50" s="797"/>
      <c r="P50" s="797"/>
      <c r="Q50" s="1071"/>
      <c r="R50" s="1071"/>
      <c r="S50" s="1071"/>
      <c r="T50" s="1071"/>
      <c r="U50" s="1071"/>
      <c r="V50" s="1071"/>
      <c r="W50" s="1071"/>
      <c r="X50" s="1071"/>
      <c r="Y50" s="1071"/>
      <c r="Z50" s="1071"/>
      <c r="AB50" s="781"/>
    </row>
    <row r="51" spans="1:28" s="796" customFormat="1" x14ac:dyDescent="0.3">
      <c r="A51" s="797"/>
      <c r="B51" s="797"/>
      <c r="C51" s="797"/>
      <c r="E51" s="797"/>
      <c r="F51" s="797"/>
      <c r="G51" s="797"/>
      <c r="H51" s="797"/>
      <c r="I51" s="797"/>
      <c r="J51" s="797"/>
      <c r="K51" s="797"/>
      <c r="L51" s="797"/>
      <c r="M51" s="797"/>
      <c r="N51" s="797"/>
      <c r="O51" s="797"/>
      <c r="P51" s="797"/>
      <c r="Q51" s="797"/>
      <c r="R51" s="803"/>
      <c r="S51" s="797"/>
      <c r="T51" s="797"/>
      <c r="U51" s="797"/>
      <c r="V51" s="797"/>
      <c r="W51" s="797"/>
      <c r="X51" s="797"/>
      <c r="Y51" s="989"/>
      <c r="Z51" s="797"/>
      <c r="AB51" s="781"/>
    </row>
    <row r="52" spans="1:28" s="796" customFormat="1" x14ac:dyDescent="0.3">
      <c r="A52" s="797"/>
      <c r="B52" s="797"/>
      <c r="C52" s="797"/>
      <c r="E52" s="797"/>
      <c r="F52" s="797"/>
      <c r="G52" s="797"/>
      <c r="H52" s="797"/>
      <c r="I52" s="797"/>
      <c r="J52" s="797"/>
      <c r="K52" s="797"/>
      <c r="L52" s="797"/>
      <c r="M52" s="797"/>
      <c r="N52" s="797"/>
      <c r="O52" s="797"/>
      <c r="P52" s="797"/>
      <c r="Q52" s="797"/>
      <c r="R52" s="803"/>
      <c r="S52" s="797"/>
      <c r="T52" s="797"/>
      <c r="U52" s="797"/>
      <c r="V52" s="797"/>
      <c r="W52" s="797"/>
      <c r="X52" s="797"/>
      <c r="Y52" s="989"/>
      <c r="Z52" s="797"/>
      <c r="AB52" s="781"/>
    </row>
    <row r="53" spans="1:28" s="796" customFormat="1" x14ac:dyDescent="0.3">
      <c r="A53" s="797"/>
      <c r="B53" s="797"/>
      <c r="C53" s="797"/>
      <c r="E53" s="797"/>
      <c r="F53" s="797"/>
      <c r="G53" s="797"/>
      <c r="H53" s="797"/>
      <c r="I53" s="797"/>
      <c r="J53" s="797"/>
      <c r="K53" s="797"/>
      <c r="L53" s="797"/>
      <c r="M53" s="797"/>
      <c r="N53" s="797"/>
      <c r="O53" s="797"/>
      <c r="P53" s="797"/>
      <c r="Q53" s="797"/>
      <c r="R53" s="803"/>
      <c r="S53" s="797"/>
      <c r="T53" s="797"/>
      <c r="U53" s="797"/>
      <c r="V53" s="797"/>
      <c r="W53" s="797"/>
      <c r="X53" s="797"/>
      <c r="Y53" s="989"/>
      <c r="Z53" s="797"/>
      <c r="AB53" s="781"/>
    </row>
    <row r="54" spans="1:28" s="796" customFormat="1" x14ac:dyDescent="0.3">
      <c r="A54" s="797"/>
      <c r="B54" s="797"/>
      <c r="C54" s="797"/>
      <c r="E54" s="797"/>
      <c r="F54" s="797"/>
      <c r="G54" s="797"/>
      <c r="H54" s="797"/>
      <c r="I54" s="797"/>
      <c r="J54" s="797"/>
      <c r="K54" s="797"/>
      <c r="L54" s="797"/>
      <c r="M54" s="797"/>
      <c r="N54" s="797"/>
      <c r="O54" s="797"/>
      <c r="P54" s="797"/>
      <c r="Q54" s="797"/>
      <c r="R54" s="803"/>
      <c r="S54" s="797"/>
      <c r="T54" s="797"/>
      <c r="U54" s="797"/>
      <c r="V54" s="797"/>
      <c r="W54" s="797"/>
      <c r="X54" s="797"/>
      <c r="Y54" s="989"/>
      <c r="Z54" s="797"/>
      <c r="AB54" s="781"/>
    </row>
    <row r="55" spans="1:28" s="796" customFormat="1" x14ac:dyDescent="0.3">
      <c r="A55" s="797"/>
      <c r="B55" s="797"/>
      <c r="C55" s="797"/>
      <c r="E55" s="797"/>
      <c r="F55" s="797"/>
      <c r="G55" s="797"/>
      <c r="H55" s="797"/>
      <c r="I55" s="797"/>
      <c r="J55" s="797"/>
      <c r="K55" s="797"/>
      <c r="L55" s="797"/>
      <c r="M55" s="797"/>
      <c r="N55" s="797"/>
      <c r="O55" s="797"/>
      <c r="P55" s="797"/>
      <c r="Q55" s="797"/>
      <c r="R55" s="803"/>
      <c r="S55" s="797"/>
      <c r="T55" s="797"/>
      <c r="U55" s="797"/>
      <c r="V55" s="797"/>
      <c r="W55" s="797"/>
      <c r="X55" s="797"/>
      <c r="Y55" s="989"/>
      <c r="Z55" s="797"/>
      <c r="AB55" s="781"/>
    </row>
    <row r="56" spans="1:28" s="796" customFormat="1" x14ac:dyDescent="0.3">
      <c r="A56" s="797"/>
      <c r="B56" s="797"/>
      <c r="C56" s="797"/>
      <c r="E56" s="797"/>
      <c r="F56" s="797"/>
      <c r="G56" s="797"/>
      <c r="H56" s="797"/>
      <c r="I56" s="797"/>
      <c r="J56" s="797"/>
      <c r="K56" s="797"/>
      <c r="L56" s="797"/>
      <c r="M56" s="797"/>
      <c r="N56" s="797"/>
      <c r="O56" s="797"/>
      <c r="P56" s="797"/>
      <c r="Q56" s="797"/>
      <c r="R56" s="803"/>
      <c r="S56" s="797"/>
      <c r="T56" s="797"/>
      <c r="U56" s="797"/>
      <c r="V56" s="797"/>
      <c r="W56" s="797"/>
      <c r="X56" s="797"/>
      <c r="Y56" s="989"/>
      <c r="Z56" s="797"/>
      <c r="AB56" s="781"/>
    </row>
    <row r="57" spans="1:28" s="796" customFormat="1" x14ac:dyDescent="0.3">
      <c r="A57" s="797"/>
      <c r="B57" s="797"/>
      <c r="C57" s="797"/>
      <c r="E57" s="797"/>
      <c r="F57" s="797"/>
      <c r="G57" s="797"/>
      <c r="H57" s="797"/>
      <c r="I57" s="797"/>
      <c r="J57" s="797"/>
      <c r="K57" s="797"/>
      <c r="L57" s="797"/>
      <c r="M57" s="797"/>
      <c r="N57" s="797"/>
      <c r="O57" s="797"/>
      <c r="P57" s="797"/>
      <c r="Q57" s="797"/>
      <c r="R57" s="803"/>
      <c r="S57" s="797"/>
      <c r="T57" s="797"/>
      <c r="U57" s="797"/>
      <c r="V57" s="797"/>
      <c r="W57" s="797"/>
      <c r="X57" s="797"/>
      <c r="Y57" s="989"/>
      <c r="Z57" s="797"/>
      <c r="AB57" s="781"/>
    </row>
    <row r="58" spans="1:28" s="796" customFormat="1" x14ac:dyDescent="0.3">
      <c r="A58" s="797"/>
      <c r="B58" s="797"/>
      <c r="C58" s="797"/>
      <c r="E58" s="797"/>
      <c r="F58" s="797"/>
      <c r="G58" s="797"/>
      <c r="H58" s="797"/>
      <c r="I58" s="797"/>
      <c r="J58" s="797"/>
      <c r="K58" s="797"/>
      <c r="L58" s="797"/>
      <c r="M58" s="797"/>
      <c r="N58" s="797"/>
      <c r="O58" s="797"/>
      <c r="P58" s="797"/>
      <c r="Q58" s="797"/>
      <c r="R58" s="803"/>
      <c r="S58" s="797"/>
      <c r="T58" s="797"/>
      <c r="U58" s="797"/>
      <c r="V58" s="797"/>
      <c r="W58" s="797"/>
      <c r="X58" s="797"/>
      <c r="Y58" s="989"/>
      <c r="Z58" s="797"/>
      <c r="AB58" s="781"/>
    </row>
    <row r="59" spans="1:28" s="796" customFormat="1" x14ac:dyDescent="0.3">
      <c r="A59" s="797"/>
      <c r="B59" s="797"/>
      <c r="C59" s="797"/>
      <c r="E59" s="797"/>
      <c r="F59" s="797"/>
      <c r="G59" s="797"/>
      <c r="H59" s="797"/>
      <c r="I59" s="797"/>
      <c r="J59" s="797"/>
      <c r="K59" s="797"/>
      <c r="L59" s="797"/>
      <c r="M59" s="797"/>
      <c r="N59" s="797"/>
      <c r="O59" s="797"/>
      <c r="P59" s="797"/>
      <c r="Q59" s="797"/>
      <c r="R59" s="803"/>
      <c r="S59" s="797"/>
      <c r="T59" s="797"/>
      <c r="U59" s="797"/>
      <c r="V59" s="797"/>
      <c r="W59" s="797"/>
      <c r="X59" s="797"/>
      <c r="Y59" s="989"/>
      <c r="Z59" s="797"/>
      <c r="AB59" s="781"/>
    </row>
    <row r="60" spans="1:28" s="796" customFormat="1" x14ac:dyDescent="0.3">
      <c r="A60" s="797"/>
      <c r="B60" s="797"/>
      <c r="C60" s="797"/>
      <c r="E60" s="797"/>
      <c r="F60" s="797"/>
      <c r="G60" s="797"/>
      <c r="H60" s="797"/>
      <c r="I60" s="797"/>
      <c r="J60" s="797"/>
      <c r="K60" s="797"/>
      <c r="L60" s="797"/>
      <c r="M60" s="797"/>
      <c r="N60" s="797"/>
      <c r="O60" s="797"/>
      <c r="P60" s="797"/>
      <c r="Q60" s="797"/>
      <c r="R60" s="803"/>
      <c r="S60" s="797"/>
      <c r="T60" s="797"/>
      <c r="U60" s="797"/>
      <c r="V60" s="797"/>
      <c r="W60" s="797"/>
      <c r="X60" s="797"/>
      <c r="Y60" s="989"/>
      <c r="Z60" s="797"/>
      <c r="AB60" s="781"/>
    </row>
    <row r="61" spans="1:28" s="796" customFormat="1" x14ac:dyDescent="0.3">
      <c r="A61" s="797"/>
      <c r="B61" s="797"/>
      <c r="C61" s="797"/>
      <c r="E61" s="797"/>
      <c r="F61" s="797"/>
      <c r="G61" s="797"/>
      <c r="H61" s="797"/>
      <c r="I61" s="797"/>
      <c r="J61" s="797"/>
      <c r="K61" s="797"/>
      <c r="L61" s="797"/>
      <c r="M61" s="797"/>
      <c r="N61" s="797"/>
      <c r="O61" s="797"/>
      <c r="P61" s="797"/>
      <c r="Q61" s="797"/>
      <c r="R61" s="803"/>
      <c r="S61" s="797"/>
      <c r="T61" s="797"/>
      <c r="U61" s="797"/>
      <c r="V61" s="797"/>
      <c r="W61" s="797"/>
      <c r="X61" s="797"/>
      <c r="Y61" s="989"/>
      <c r="Z61" s="797"/>
      <c r="AB61" s="781"/>
    </row>
    <row r="62" spans="1:28" s="796" customFormat="1" x14ac:dyDescent="0.3">
      <c r="A62" s="797"/>
      <c r="B62" s="797"/>
      <c r="C62" s="797"/>
      <c r="E62" s="797"/>
      <c r="F62" s="797"/>
      <c r="G62" s="797"/>
      <c r="H62" s="797"/>
      <c r="I62" s="797"/>
      <c r="J62" s="797"/>
      <c r="K62" s="797"/>
      <c r="L62" s="797"/>
      <c r="M62" s="797"/>
      <c r="N62" s="797"/>
      <c r="O62" s="797"/>
      <c r="P62" s="797"/>
      <c r="Q62" s="797"/>
      <c r="R62" s="803"/>
      <c r="S62" s="797"/>
      <c r="T62" s="797"/>
      <c r="U62" s="797"/>
      <c r="V62" s="797"/>
      <c r="W62" s="797"/>
      <c r="X62" s="797"/>
      <c r="Y62" s="989"/>
      <c r="Z62" s="797"/>
      <c r="AB62" s="781"/>
    </row>
    <row r="63" spans="1:28" s="796" customFormat="1" x14ac:dyDescent="0.3">
      <c r="A63" s="797"/>
      <c r="B63" s="797"/>
      <c r="C63" s="797"/>
      <c r="E63" s="797"/>
      <c r="F63" s="797"/>
      <c r="G63" s="797"/>
      <c r="H63" s="797"/>
      <c r="I63" s="797"/>
      <c r="J63" s="797"/>
      <c r="K63" s="797"/>
      <c r="L63" s="797"/>
      <c r="M63" s="797"/>
      <c r="N63" s="797"/>
      <c r="O63" s="797"/>
      <c r="P63" s="797"/>
      <c r="Q63" s="797"/>
      <c r="R63" s="803"/>
      <c r="S63" s="797"/>
      <c r="T63" s="797"/>
      <c r="U63" s="797"/>
      <c r="V63" s="797"/>
      <c r="W63" s="797"/>
      <c r="X63" s="797"/>
      <c r="Y63" s="989"/>
      <c r="Z63" s="797"/>
      <c r="AB63" s="781"/>
    </row>
    <row r="64" spans="1:28" s="368" customFormat="1" x14ac:dyDescent="0.3">
      <c r="A64" s="369"/>
      <c r="B64" s="369"/>
      <c r="C64" s="369"/>
      <c r="E64" s="369"/>
      <c r="F64" s="369"/>
      <c r="G64" s="369"/>
      <c r="H64" s="369"/>
      <c r="I64" s="369"/>
      <c r="J64" s="369"/>
      <c r="K64" s="369"/>
      <c r="L64" s="369"/>
      <c r="M64" s="369"/>
      <c r="N64" s="369"/>
      <c r="O64" s="369"/>
      <c r="P64" s="369"/>
      <c r="Q64" s="369"/>
      <c r="R64" s="370"/>
      <c r="S64" s="371"/>
      <c r="T64" s="371"/>
      <c r="U64" s="371"/>
      <c r="V64" s="369"/>
      <c r="W64" s="369"/>
      <c r="X64" s="369"/>
      <c r="Y64" s="372"/>
      <c r="Z64" s="369"/>
      <c r="AB64" s="357"/>
    </row>
    <row r="65" spans="28:28" x14ac:dyDescent="0.3">
      <c r="AB65" s="219"/>
    </row>
    <row r="66" spans="28:28" x14ac:dyDescent="0.3">
      <c r="AB66" s="219"/>
    </row>
    <row r="67" spans="28:28" x14ac:dyDescent="0.3">
      <c r="AB67" s="219"/>
    </row>
    <row r="68" spans="28:28" x14ac:dyDescent="0.3">
      <c r="AB68" s="219"/>
    </row>
    <row r="69" spans="28:28" x14ac:dyDescent="0.3">
      <c r="AB69" s="219"/>
    </row>
  </sheetData>
  <autoFilter ref="R7:AA44">
    <filterColumn colId="1" showButton="0"/>
    <filterColumn colId="2" showButton="0"/>
    <filterColumn colId="3" showButton="0"/>
  </autoFilter>
  <mergeCells count="18">
    <mergeCell ref="A7:A8"/>
    <mergeCell ref="D7:D8"/>
    <mergeCell ref="B7:C8"/>
    <mergeCell ref="S7:V7"/>
    <mergeCell ref="E7:E8"/>
    <mergeCell ref="E2:Z2"/>
    <mergeCell ref="E3:Z3"/>
    <mergeCell ref="E4:Z4"/>
    <mergeCell ref="X7:X8"/>
    <mergeCell ref="Y7:Y8"/>
    <mergeCell ref="E5:AH5"/>
    <mergeCell ref="Q50:Z50"/>
    <mergeCell ref="R46:T46"/>
    <mergeCell ref="Q49:T49"/>
    <mergeCell ref="W7:W8"/>
    <mergeCell ref="Z7:Z8"/>
    <mergeCell ref="R7:R8"/>
    <mergeCell ref="F7:Q7"/>
  </mergeCells>
  <phoneticPr fontId="0" type="noConversion"/>
  <printOptions horizontalCentered="1"/>
  <pageMargins left="0.89" right="0.16" top="0.27" bottom="0.31" header="0.26" footer="0.27"/>
  <pageSetup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G37"/>
  <sheetViews>
    <sheetView zoomScale="120" zoomScaleNormal="120" workbookViewId="0">
      <selection activeCell="W10" sqref="W10:W17"/>
    </sheetView>
  </sheetViews>
  <sheetFormatPr defaultRowHeight="18.75" x14ac:dyDescent="0.3"/>
  <cols>
    <col min="1" max="1" width="3.09765625" style="1" customWidth="1"/>
    <col min="2" max="2" width="4.59765625" style="1" customWidth="1"/>
    <col min="3" max="3" width="4.796875" style="1" customWidth="1"/>
    <col min="4" max="4" width="16.796875" customWidth="1"/>
    <col min="5" max="5" width="7.8984375" style="1" customWidth="1"/>
    <col min="6" max="14" width="3.3984375" style="1" customWidth="1"/>
    <col min="15" max="15" width="4" style="25" customWidth="1"/>
    <col min="16" max="18" width="2.19921875" style="20" hidden="1" customWidth="1"/>
    <col min="19" max="20" width="3.3984375" style="235" hidden="1" customWidth="1"/>
    <col min="21" max="21" width="4.09765625" style="235" customWidth="1"/>
    <col min="22" max="22" width="4.3984375" style="14" hidden="1" customWidth="1"/>
    <col min="23" max="23" width="22.8984375" style="235" customWidth="1"/>
    <col min="24" max="24" width="2.09765625" customWidth="1"/>
    <col min="25" max="25" width="4.69921875" customWidth="1"/>
  </cols>
  <sheetData>
    <row r="1" spans="1:33" s="806" customFormat="1" x14ac:dyDescent="0.3">
      <c r="A1" s="807"/>
      <c r="B1" s="807"/>
      <c r="C1" s="807"/>
      <c r="E1" s="807"/>
      <c r="F1" s="807"/>
      <c r="G1" s="807"/>
      <c r="H1" s="807"/>
      <c r="I1" s="807"/>
      <c r="J1" s="807"/>
      <c r="K1" s="807"/>
      <c r="L1" s="807"/>
      <c r="M1" s="807"/>
      <c r="N1" s="807"/>
      <c r="O1" s="827"/>
      <c r="P1" s="801"/>
      <c r="Q1" s="801"/>
      <c r="R1" s="801"/>
      <c r="S1" s="801"/>
      <c r="T1" s="801"/>
      <c r="U1" s="801"/>
      <c r="V1" s="805"/>
      <c r="W1" s="801"/>
    </row>
    <row r="2" spans="1:33" s="806" customFormat="1" x14ac:dyDescent="0.3">
      <c r="A2" s="807"/>
      <c r="B2" s="807"/>
      <c r="C2" s="807"/>
      <c r="E2" s="807"/>
      <c r="F2" s="807"/>
      <c r="G2" s="807"/>
      <c r="H2" s="807"/>
      <c r="I2" s="807"/>
      <c r="J2" s="807"/>
      <c r="K2" s="807"/>
      <c r="L2" s="807"/>
      <c r="M2" s="807"/>
      <c r="N2" s="807"/>
      <c r="O2" s="827"/>
      <c r="P2" s="801"/>
      <c r="Q2" s="801"/>
      <c r="R2" s="801"/>
      <c r="S2" s="801"/>
      <c r="T2" s="801"/>
      <c r="U2" s="801"/>
      <c r="V2" s="805"/>
      <c r="W2" s="801"/>
    </row>
    <row r="3" spans="1:33" s="761" customFormat="1" ht="15.75" x14ac:dyDescent="0.25">
      <c r="B3" s="763"/>
      <c r="C3" s="763"/>
      <c r="D3" s="763"/>
      <c r="E3" s="1046" t="s">
        <v>2237</v>
      </c>
      <c r="F3" s="1046"/>
      <c r="G3" s="1046"/>
      <c r="H3" s="1046"/>
      <c r="I3" s="1046"/>
      <c r="J3" s="1046"/>
      <c r="K3" s="1046"/>
      <c r="L3" s="1046"/>
      <c r="M3" s="1046"/>
      <c r="N3" s="1046"/>
      <c r="O3" s="1046"/>
      <c r="P3" s="1046"/>
      <c r="Q3" s="1046"/>
      <c r="R3" s="1046"/>
      <c r="S3" s="1046"/>
      <c r="T3" s="1046"/>
      <c r="U3" s="1046"/>
      <c r="V3" s="1046"/>
      <c r="W3" s="1046"/>
    </row>
    <row r="4" spans="1:33" s="761" customFormat="1" ht="15.75" x14ac:dyDescent="0.25">
      <c r="B4" s="763"/>
      <c r="C4" s="763"/>
      <c r="D4" s="763"/>
      <c r="E4" s="1046" t="s">
        <v>2327</v>
      </c>
      <c r="F4" s="1046"/>
      <c r="G4" s="1046"/>
      <c r="H4" s="1046"/>
      <c r="I4" s="1046"/>
      <c r="J4" s="1046"/>
      <c r="K4" s="1046"/>
      <c r="L4" s="1046"/>
      <c r="M4" s="1046"/>
      <c r="N4" s="1046"/>
      <c r="O4" s="1046"/>
      <c r="P4" s="1046"/>
      <c r="Q4" s="1046"/>
      <c r="R4" s="1046"/>
      <c r="S4" s="1046"/>
      <c r="T4" s="1046"/>
      <c r="U4" s="1046"/>
      <c r="V4" s="1046"/>
      <c r="W4" s="1046"/>
    </row>
    <row r="5" spans="1:33" s="761" customFormat="1" ht="15.75" hidden="1" x14ac:dyDescent="0.25">
      <c r="B5" s="762"/>
      <c r="C5" s="762"/>
      <c r="D5" s="762"/>
      <c r="E5" s="1047" t="s">
        <v>34</v>
      </c>
      <c r="F5" s="1047"/>
      <c r="G5" s="1047"/>
      <c r="H5" s="1047"/>
      <c r="I5" s="1047"/>
      <c r="J5" s="1047"/>
      <c r="K5" s="1047"/>
      <c r="L5" s="1047"/>
      <c r="M5" s="1047"/>
      <c r="N5" s="1047"/>
      <c r="O5" s="1047"/>
      <c r="P5" s="1047"/>
      <c r="Q5" s="1047"/>
      <c r="R5" s="1047"/>
      <c r="S5" s="1047"/>
      <c r="T5" s="1047"/>
      <c r="U5" s="1047"/>
      <c r="V5" s="1047"/>
      <c r="W5" s="1047"/>
      <c r="X5" s="762"/>
    </row>
    <row r="6" spans="1:33" s="761" customFormat="1" ht="15.75" customHeight="1" x14ac:dyDescent="0.25">
      <c r="B6" s="763"/>
      <c r="C6" s="763"/>
      <c r="D6" s="763"/>
      <c r="E6" s="1052" t="s">
        <v>2328</v>
      </c>
      <c r="F6" s="1052"/>
      <c r="G6" s="1052"/>
      <c r="H6" s="1052"/>
      <c r="I6" s="1052"/>
      <c r="J6" s="1052"/>
      <c r="K6" s="1052"/>
      <c r="L6" s="1052"/>
      <c r="M6" s="1052"/>
      <c r="N6" s="1052"/>
      <c r="O6" s="1052"/>
      <c r="P6" s="1052"/>
      <c r="Q6" s="1052"/>
      <c r="R6" s="1052"/>
      <c r="S6" s="1052"/>
      <c r="T6" s="1052"/>
      <c r="U6" s="1052"/>
      <c r="V6" s="1052"/>
      <c r="W6" s="1052"/>
      <c r="X6" s="1052"/>
      <c r="Y6" s="1052"/>
      <c r="Z6" s="1052"/>
      <c r="AA6" s="1052"/>
      <c r="AB6" s="1052"/>
      <c r="AC6" s="1052"/>
      <c r="AD6" s="1052"/>
      <c r="AE6" s="1052"/>
      <c r="AF6" s="1052"/>
      <c r="AG6" s="1052"/>
    </row>
    <row r="7" spans="1:33" s="761" customFormat="1" ht="16.5" thickBot="1" x14ac:dyDescent="0.3">
      <c r="A7" s="775"/>
      <c r="B7" s="775"/>
      <c r="C7" s="775"/>
      <c r="D7" s="775"/>
      <c r="E7" s="775"/>
      <c r="F7" s="775"/>
      <c r="G7" s="775"/>
      <c r="H7" s="775"/>
      <c r="I7" s="775"/>
      <c r="J7" s="775"/>
      <c r="K7" s="775"/>
      <c r="L7" s="775"/>
      <c r="M7" s="775"/>
      <c r="N7" s="775"/>
      <c r="O7" s="775"/>
      <c r="P7" s="775"/>
      <c r="Q7" s="775"/>
      <c r="R7" s="775"/>
      <c r="S7" s="775"/>
      <c r="T7" s="775"/>
      <c r="U7" s="775"/>
      <c r="V7" s="775"/>
      <c r="W7" s="775"/>
    </row>
    <row r="8" spans="1:33" s="761" customFormat="1" ht="23.25" customHeight="1" thickTop="1" x14ac:dyDescent="0.25">
      <c r="A8" s="1056" t="s">
        <v>91</v>
      </c>
      <c r="B8" s="1060" t="s">
        <v>2118</v>
      </c>
      <c r="C8" s="1061"/>
      <c r="D8" s="1058" t="s">
        <v>2119</v>
      </c>
      <c r="E8" s="1058" t="s">
        <v>2120</v>
      </c>
      <c r="F8" s="1053" t="s">
        <v>2236</v>
      </c>
      <c r="G8" s="1054"/>
      <c r="H8" s="1054"/>
      <c r="I8" s="1054"/>
      <c r="J8" s="1054"/>
      <c r="K8" s="1054"/>
      <c r="L8" s="1054"/>
      <c r="M8" s="1054"/>
      <c r="N8" s="1055"/>
      <c r="O8" s="1069" t="s">
        <v>2107</v>
      </c>
      <c r="P8" s="1053" t="s">
        <v>104</v>
      </c>
      <c r="Q8" s="1054"/>
      <c r="R8" s="1054"/>
      <c r="S8" s="1055"/>
      <c r="T8" s="1048" t="s">
        <v>99</v>
      </c>
      <c r="U8" s="1048" t="s">
        <v>2108</v>
      </c>
      <c r="V8" s="1048" t="s">
        <v>103</v>
      </c>
      <c r="W8" s="1067" t="s">
        <v>2121</v>
      </c>
    </row>
    <row r="9" spans="1:33" s="761" customFormat="1" ht="159.75" customHeight="1" x14ac:dyDescent="0.25">
      <c r="A9" s="1057"/>
      <c r="B9" s="1062"/>
      <c r="C9" s="1063"/>
      <c r="D9" s="1059"/>
      <c r="E9" s="1059"/>
      <c r="F9" s="700" t="s">
        <v>2128</v>
      </c>
      <c r="G9" s="714" t="s">
        <v>2109</v>
      </c>
      <c r="H9" s="714" t="s">
        <v>2234</v>
      </c>
      <c r="I9" s="725" t="s">
        <v>2095</v>
      </c>
      <c r="J9" s="724" t="s">
        <v>2097</v>
      </c>
      <c r="K9" s="714" t="s">
        <v>2255</v>
      </c>
      <c r="L9" s="714" t="s">
        <v>2113</v>
      </c>
      <c r="M9" s="714" t="s">
        <v>2235</v>
      </c>
      <c r="N9" s="714" t="s">
        <v>2165</v>
      </c>
      <c r="O9" s="1070"/>
      <c r="P9" s="718" t="s">
        <v>108</v>
      </c>
      <c r="Q9" s="718" t="s">
        <v>97</v>
      </c>
      <c r="R9" s="718" t="s">
        <v>96</v>
      </c>
      <c r="S9" s="719" t="s">
        <v>98</v>
      </c>
      <c r="T9" s="1049"/>
      <c r="U9" s="1049"/>
      <c r="V9" s="1049"/>
      <c r="W9" s="1068"/>
      <c r="X9" s="761" t="s">
        <v>94</v>
      </c>
    </row>
    <row r="10" spans="1:33" s="1007" customFormat="1" ht="18" customHeight="1" x14ac:dyDescent="0.25">
      <c r="A10" s="998">
        <v>1</v>
      </c>
      <c r="B10" s="1037"/>
      <c r="C10" s="999">
        <v>2026</v>
      </c>
      <c r="D10" s="1000" t="s">
        <v>3070</v>
      </c>
      <c r="E10" s="1001" t="s">
        <v>4587</v>
      </c>
      <c r="F10" s="1002"/>
      <c r="G10" s="1002"/>
      <c r="H10" s="1002"/>
      <c r="I10" s="1002"/>
      <c r="J10" s="1002"/>
      <c r="K10" s="1002"/>
      <c r="L10" s="1002"/>
      <c r="M10" s="1002"/>
      <c r="N10" s="1002"/>
      <c r="O10" s="1038">
        <f>SUM(F10:N10)/9</f>
        <v>0</v>
      </c>
      <c r="P10" s="1002"/>
      <c r="Q10" s="1002"/>
      <c r="R10" s="1002"/>
      <c r="S10" s="1003">
        <f>SUM(P10:R10)/3</f>
        <v>0</v>
      </c>
      <c r="T10" s="1003">
        <f>SUM(O10+S10)/2</f>
        <v>0</v>
      </c>
      <c r="U10" s="1004"/>
      <c r="V10" s="1005"/>
      <c r="W10" s="1006" t="s">
        <v>4577</v>
      </c>
      <c r="Y10" s="1008" t="e">
        <f t="shared" ref="Y10:Y17" si="0">AVERAGE(F10:N10)</f>
        <v>#DIV/0!</v>
      </c>
    </row>
    <row r="11" spans="1:33" s="1007" customFormat="1" ht="16.5" customHeight="1" x14ac:dyDescent="0.25">
      <c r="A11" s="1009">
        <v>2</v>
      </c>
      <c r="B11" s="1010"/>
      <c r="C11" s="1011">
        <v>2026</v>
      </c>
      <c r="D11" s="1012" t="s">
        <v>4588</v>
      </c>
      <c r="E11" s="1013" t="s">
        <v>4589</v>
      </c>
      <c r="F11" s="1014"/>
      <c r="G11" s="1014"/>
      <c r="H11" s="1014"/>
      <c r="I11" s="1014"/>
      <c r="J11" s="1014"/>
      <c r="K11" s="1014"/>
      <c r="L11" s="1014"/>
      <c r="M11" s="1014"/>
      <c r="N11" s="1014"/>
      <c r="O11" s="1015">
        <f>SUM(F11:N11)/9</f>
        <v>0</v>
      </c>
      <c r="P11" s="1014"/>
      <c r="Q11" s="1014"/>
      <c r="R11" s="1014"/>
      <c r="S11" s="1015">
        <f>SUM(P11:R11)/3</f>
        <v>0</v>
      </c>
      <c r="T11" s="1015">
        <f>SUM(O11+S11)/2</f>
        <v>0</v>
      </c>
      <c r="U11" s="1016"/>
      <c r="V11" s="1017"/>
      <c r="W11" s="1018" t="s">
        <v>4597</v>
      </c>
      <c r="Y11" s="1008" t="e">
        <f t="shared" si="0"/>
        <v>#DIV/0!</v>
      </c>
    </row>
    <row r="12" spans="1:33" s="1007" customFormat="1" ht="18" customHeight="1" x14ac:dyDescent="0.25">
      <c r="A12" s="1009">
        <v>3</v>
      </c>
      <c r="B12" s="1010"/>
      <c r="C12" s="1011">
        <v>2026</v>
      </c>
      <c r="D12" s="1012" t="s">
        <v>2837</v>
      </c>
      <c r="E12" s="1013" t="s">
        <v>4590</v>
      </c>
      <c r="F12" s="1014"/>
      <c r="G12" s="1014"/>
      <c r="H12" s="1014"/>
      <c r="I12" s="1014"/>
      <c r="J12" s="1014"/>
      <c r="K12" s="1014"/>
      <c r="L12" s="1014"/>
      <c r="M12" s="1014"/>
      <c r="N12" s="1014"/>
      <c r="O12" s="1015">
        <f t="shared" ref="O12:O17" si="1">SUM(F12:N12)/9</f>
        <v>0</v>
      </c>
      <c r="P12" s="1014"/>
      <c r="Q12" s="1014"/>
      <c r="R12" s="1014"/>
      <c r="S12" s="1015">
        <f>SUM(P12:R12)/3</f>
        <v>0</v>
      </c>
      <c r="T12" s="1015">
        <f>SUM(O12+S12)/2</f>
        <v>0</v>
      </c>
      <c r="U12" s="1016"/>
      <c r="V12" s="1017"/>
      <c r="W12" s="1018" t="s">
        <v>4598</v>
      </c>
      <c r="Y12" s="1008" t="e">
        <f t="shared" si="0"/>
        <v>#DIV/0!</v>
      </c>
    </row>
    <row r="13" spans="1:33" s="1007" customFormat="1" ht="18" customHeight="1" x14ac:dyDescent="0.25">
      <c r="A13" s="1009">
        <v>4</v>
      </c>
      <c r="B13" s="1010"/>
      <c r="C13" s="1011">
        <v>2026</v>
      </c>
      <c r="D13" s="1012" t="s">
        <v>4591</v>
      </c>
      <c r="E13" s="1013" t="s">
        <v>2439</v>
      </c>
      <c r="F13" s="1014"/>
      <c r="G13" s="1014"/>
      <c r="H13" s="1014"/>
      <c r="I13" s="1014"/>
      <c r="J13" s="1014"/>
      <c r="K13" s="1014"/>
      <c r="L13" s="1014"/>
      <c r="M13" s="1014"/>
      <c r="N13" s="1014"/>
      <c r="O13" s="1015">
        <f t="shared" si="1"/>
        <v>0</v>
      </c>
      <c r="P13" s="1014"/>
      <c r="Q13" s="1014"/>
      <c r="R13" s="1014"/>
      <c r="S13" s="1015">
        <f>SUM(P13:R13)/3</f>
        <v>0</v>
      </c>
      <c r="T13" s="1015">
        <f>SUM(O13+S13)/2</f>
        <v>0</v>
      </c>
      <c r="U13" s="1016"/>
      <c r="V13" s="1017"/>
      <c r="W13" s="1018" t="s">
        <v>4599</v>
      </c>
      <c r="Y13" s="1008" t="e">
        <f t="shared" si="0"/>
        <v>#DIV/0!</v>
      </c>
    </row>
    <row r="14" spans="1:33" s="1007" customFormat="1" ht="18" customHeight="1" x14ac:dyDescent="0.25">
      <c r="A14" s="1009">
        <v>5</v>
      </c>
      <c r="B14" s="1010"/>
      <c r="C14" s="1011">
        <v>2026</v>
      </c>
      <c r="D14" s="1012" t="s">
        <v>4592</v>
      </c>
      <c r="E14" s="1013" t="s">
        <v>2349</v>
      </c>
      <c r="F14" s="1014"/>
      <c r="G14" s="1014"/>
      <c r="H14" s="1014"/>
      <c r="I14" s="1014"/>
      <c r="J14" s="1014"/>
      <c r="K14" s="1014"/>
      <c r="L14" s="1014"/>
      <c r="M14" s="1014"/>
      <c r="N14" s="1014"/>
      <c r="O14" s="1015">
        <f t="shared" si="1"/>
        <v>0</v>
      </c>
      <c r="P14" s="1014"/>
      <c r="Q14" s="1014"/>
      <c r="R14" s="1014"/>
      <c r="S14" s="1015">
        <f>SUM(P14:R14)/3</f>
        <v>0</v>
      </c>
      <c r="T14" s="1015">
        <f>SUM(O14+S14)/2</f>
        <v>0</v>
      </c>
      <c r="U14" s="1016"/>
      <c r="V14" s="1017"/>
      <c r="W14" s="1018" t="s">
        <v>4600</v>
      </c>
      <c r="Y14" s="1008" t="e">
        <f t="shared" si="0"/>
        <v>#DIV/0!</v>
      </c>
    </row>
    <row r="15" spans="1:33" s="1007" customFormat="1" ht="18" customHeight="1" x14ac:dyDescent="0.25">
      <c r="A15" s="1009">
        <v>6</v>
      </c>
      <c r="B15" s="1010"/>
      <c r="C15" s="1011">
        <v>2026</v>
      </c>
      <c r="D15" s="1012" t="s">
        <v>4593</v>
      </c>
      <c r="E15" s="1013" t="s">
        <v>2473</v>
      </c>
      <c r="F15" s="1014"/>
      <c r="G15" s="1014"/>
      <c r="H15" s="1014"/>
      <c r="I15" s="1014"/>
      <c r="J15" s="1014"/>
      <c r="K15" s="1014"/>
      <c r="L15" s="1014"/>
      <c r="M15" s="1014"/>
      <c r="N15" s="1014"/>
      <c r="O15" s="1015">
        <f t="shared" si="1"/>
        <v>0</v>
      </c>
      <c r="P15" s="1014"/>
      <c r="Q15" s="1014"/>
      <c r="R15" s="1014"/>
      <c r="S15" s="1015"/>
      <c r="T15" s="1015"/>
      <c r="U15" s="1016"/>
      <c r="V15" s="1017"/>
      <c r="W15" s="1018" t="s">
        <v>3645</v>
      </c>
      <c r="Y15" s="1008" t="e">
        <f t="shared" si="0"/>
        <v>#DIV/0!</v>
      </c>
    </row>
    <row r="16" spans="1:33" s="1007" customFormat="1" ht="18" customHeight="1" x14ac:dyDescent="0.25">
      <c r="A16" s="1009">
        <v>7</v>
      </c>
      <c r="B16" s="1010"/>
      <c r="C16" s="1011">
        <v>2026</v>
      </c>
      <c r="D16" s="1012" t="s">
        <v>4594</v>
      </c>
      <c r="E16" s="1013" t="s">
        <v>2357</v>
      </c>
      <c r="F16" s="1014"/>
      <c r="G16" s="1014"/>
      <c r="H16" s="1014"/>
      <c r="I16" s="1014"/>
      <c r="J16" s="1014"/>
      <c r="K16" s="1014"/>
      <c r="L16" s="1014"/>
      <c r="M16" s="1014"/>
      <c r="N16" s="1014"/>
      <c r="O16" s="1015">
        <f t="shared" si="1"/>
        <v>0</v>
      </c>
      <c r="P16" s="1014"/>
      <c r="Q16" s="1014"/>
      <c r="R16" s="1014"/>
      <c r="S16" s="1015"/>
      <c r="T16" s="1015"/>
      <c r="U16" s="1016"/>
      <c r="V16" s="1017"/>
      <c r="W16" s="1018" t="s">
        <v>4601</v>
      </c>
      <c r="Y16" s="1008" t="e">
        <f t="shared" si="0"/>
        <v>#DIV/0!</v>
      </c>
    </row>
    <row r="17" spans="1:25" s="1007" customFormat="1" ht="18" customHeight="1" x14ac:dyDescent="0.25">
      <c r="A17" s="1009">
        <v>8</v>
      </c>
      <c r="B17" s="1010"/>
      <c r="C17" s="1011">
        <v>2026</v>
      </c>
      <c r="D17" s="1012" t="s">
        <v>4595</v>
      </c>
      <c r="E17" s="1013" t="s">
        <v>4596</v>
      </c>
      <c r="F17" s="1014"/>
      <c r="G17" s="1014"/>
      <c r="H17" s="1014"/>
      <c r="I17" s="1014"/>
      <c r="J17" s="1014"/>
      <c r="K17" s="1014"/>
      <c r="L17" s="1014"/>
      <c r="M17" s="1014"/>
      <c r="N17" s="1014"/>
      <c r="O17" s="1015">
        <f t="shared" si="1"/>
        <v>0</v>
      </c>
      <c r="P17" s="1014"/>
      <c r="Q17" s="1014"/>
      <c r="R17" s="1014"/>
      <c r="S17" s="1015"/>
      <c r="T17" s="1015"/>
      <c r="U17" s="1016"/>
      <c r="V17" s="1017"/>
      <c r="W17" s="1018" t="s">
        <v>4602</v>
      </c>
      <c r="Y17" s="1008" t="e">
        <f t="shared" si="0"/>
        <v>#DIV/0!</v>
      </c>
    </row>
    <row r="18" spans="1:25" s="1024" customFormat="1" ht="18" customHeight="1" thickBot="1" x14ac:dyDescent="0.35">
      <c r="A18" s="1039"/>
      <c r="B18" s="1040"/>
      <c r="C18" s="1040"/>
      <c r="D18" s="1041"/>
      <c r="E18" s="1040"/>
      <c r="F18" s="1042"/>
      <c r="G18" s="1042"/>
      <c r="H18" s="1042"/>
      <c r="I18" s="1042"/>
      <c r="J18" s="1042"/>
      <c r="K18" s="1042"/>
      <c r="L18" s="1042"/>
      <c r="M18" s="1042"/>
      <c r="N18" s="1042"/>
      <c r="O18" s="1043"/>
      <c r="P18" s="1040"/>
      <c r="Q18" s="1040"/>
      <c r="R18" s="1040"/>
      <c r="S18" s="1040"/>
      <c r="T18" s="1040"/>
      <c r="U18" s="1040"/>
      <c r="V18" s="1044"/>
      <c r="W18" s="1045"/>
      <c r="Y18" s="1008" t="s">
        <v>2258</v>
      </c>
    </row>
    <row r="19" spans="1:25" s="1024" customFormat="1" ht="19.5" thickTop="1" x14ac:dyDescent="0.3">
      <c r="A19" s="1025"/>
      <c r="B19" s="1025"/>
      <c r="C19" s="1025"/>
      <c r="E19" s="1025"/>
      <c r="F19" s="1025"/>
      <c r="G19" s="1025"/>
      <c r="H19" s="1025"/>
      <c r="I19" s="1025"/>
      <c r="J19" s="1025"/>
      <c r="K19" s="1025"/>
      <c r="L19" s="1025"/>
      <c r="M19" s="1025"/>
      <c r="N19" s="1025"/>
      <c r="O19" s="1032"/>
      <c r="P19" s="1025"/>
      <c r="Q19" s="1025"/>
      <c r="R19" s="1025"/>
      <c r="S19" s="1025"/>
      <c r="T19" s="1025"/>
      <c r="U19" s="1025"/>
      <c r="V19" s="1031"/>
      <c r="W19" s="1027"/>
      <c r="Y19" s="1008"/>
    </row>
    <row r="20" spans="1:25" s="1024" customFormat="1" x14ac:dyDescent="0.3">
      <c r="A20" s="1025"/>
      <c r="B20" s="1025"/>
      <c r="C20" s="1025"/>
      <c r="E20" s="1025"/>
      <c r="F20" s="1025"/>
      <c r="G20" s="1025"/>
      <c r="H20" s="1025"/>
      <c r="I20" s="1025"/>
      <c r="J20" s="1025"/>
      <c r="K20" s="1025"/>
      <c r="L20" s="1025"/>
      <c r="M20" s="1025"/>
      <c r="N20" s="1025"/>
      <c r="O20" s="1032"/>
      <c r="P20" s="1025"/>
      <c r="Q20" s="1025"/>
      <c r="R20" s="1025"/>
      <c r="S20" s="1025"/>
      <c r="T20" s="1025"/>
      <c r="U20" s="1025"/>
      <c r="V20" s="1031"/>
      <c r="W20" s="1025"/>
      <c r="Y20" s="1008"/>
    </row>
    <row r="21" spans="1:25" s="1024" customFormat="1" x14ac:dyDescent="0.3">
      <c r="A21" s="1025"/>
      <c r="B21" s="1025"/>
      <c r="C21" s="1025"/>
      <c r="E21" s="1025"/>
      <c r="F21" s="1025"/>
      <c r="G21" s="1025"/>
      <c r="H21" s="1025"/>
      <c r="I21" s="1025"/>
      <c r="J21" s="1025"/>
      <c r="K21" s="1025"/>
      <c r="L21" s="1025"/>
      <c r="M21" s="1025"/>
      <c r="N21" s="1025"/>
      <c r="O21" s="1032"/>
      <c r="P21" s="1025"/>
      <c r="Q21" s="1025"/>
      <c r="R21" s="1025"/>
      <c r="S21" s="1025"/>
      <c r="T21" s="1025"/>
      <c r="U21" s="1025"/>
      <c r="V21" s="1031"/>
      <c r="W21" s="1025"/>
      <c r="Y21" s="1008"/>
    </row>
    <row r="22" spans="1:25" s="1024" customFormat="1" x14ac:dyDescent="0.3">
      <c r="A22" s="1025"/>
      <c r="B22" s="1025"/>
      <c r="C22" s="1025"/>
      <c r="E22" s="1025"/>
      <c r="F22" s="1025"/>
      <c r="G22" s="1025"/>
      <c r="H22" s="1025"/>
      <c r="I22" s="1025"/>
      <c r="J22" s="1025"/>
      <c r="K22" s="1025"/>
      <c r="L22" s="1025"/>
      <c r="M22" s="1025"/>
      <c r="N22" s="1025"/>
      <c r="O22" s="1032"/>
      <c r="P22" s="1025"/>
      <c r="Q22" s="1025"/>
      <c r="R22" s="1025"/>
      <c r="S22" s="1025"/>
      <c r="T22" s="1025"/>
      <c r="U22" s="1025"/>
      <c r="V22" s="1031"/>
      <c r="W22" s="1025"/>
      <c r="Y22" s="1008"/>
    </row>
    <row r="23" spans="1:25" s="1024" customFormat="1" x14ac:dyDescent="0.3">
      <c r="A23" s="1025"/>
      <c r="B23" s="1025"/>
      <c r="C23" s="1025"/>
      <c r="E23" s="1025"/>
      <c r="F23" s="1025"/>
      <c r="G23" s="1025"/>
      <c r="H23" s="1025"/>
      <c r="I23" s="1025"/>
      <c r="J23" s="1025"/>
      <c r="K23" s="1025"/>
      <c r="L23" s="1025"/>
      <c r="M23" s="1025"/>
      <c r="N23" s="1025"/>
      <c r="O23" s="1032"/>
      <c r="P23" s="1025"/>
      <c r="Q23" s="1025"/>
      <c r="R23" s="1025"/>
      <c r="S23" s="1025"/>
      <c r="T23" s="1025"/>
      <c r="U23" s="1025"/>
      <c r="V23" s="1031"/>
      <c r="W23" s="1025"/>
      <c r="Y23" s="1008"/>
    </row>
    <row r="24" spans="1:25" s="1024" customFormat="1" x14ac:dyDescent="0.3">
      <c r="A24" s="1025"/>
      <c r="B24" s="1025"/>
      <c r="C24" s="1025"/>
      <c r="E24" s="1025"/>
      <c r="F24" s="1025"/>
      <c r="G24" s="1025"/>
      <c r="H24" s="1025"/>
      <c r="I24" s="1025"/>
      <c r="J24" s="1025"/>
      <c r="K24" s="1025"/>
      <c r="L24" s="1025"/>
      <c r="M24" s="1025"/>
      <c r="N24" s="1025"/>
      <c r="O24" s="1032"/>
      <c r="P24" s="1025"/>
      <c r="Q24" s="1025"/>
      <c r="R24" s="1025"/>
      <c r="S24" s="1025"/>
      <c r="T24" s="1025"/>
      <c r="U24" s="1025"/>
      <c r="V24" s="1031"/>
      <c r="W24" s="1027"/>
      <c r="Y24" s="1008"/>
    </row>
    <row r="25" spans="1:25" s="1024" customFormat="1" x14ac:dyDescent="0.3">
      <c r="A25" s="1025"/>
      <c r="B25" s="1025"/>
      <c r="C25" s="1025"/>
      <c r="E25" s="1025"/>
      <c r="F25" s="1025"/>
      <c r="G25" s="1025"/>
      <c r="H25" s="1025"/>
      <c r="I25" s="1025"/>
      <c r="J25" s="1025"/>
      <c r="K25" s="1025"/>
      <c r="L25" s="1025"/>
      <c r="M25" s="1025"/>
      <c r="N25" s="1025"/>
      <c r="O25" s="1032"/>
      <c r="P25" s="1025"/>
      <c r="Q25" s="1025"/>
      <c r="R25" s="1025"/>
      <c r="S25" s="1025"/>
      <c r="T25" s="1025"/>
      <c r="U25" s="1025"/>
      <c r="V25" s="1031"/>
      <c r="W25" s="1025"/>
      <c r="Y25" s="1008"/>
    </row>
    <row r="26" spans="1:25" s="1024" customFormat="1" x14ac:dyDescent="0.3">
      <c r="A26" s="1025"/>
      <c r="B26" s="1025"/>
      <c r="C26" s="1025"/>
      <c r="E26" s="1025"/>
      <c r="F26" s="1025"/>
      <c r="G26" s="1025"/>
      <c r="H26" s="1025"/>
      <c r="I26" s="1025"/>
      <c r="J26" s="1025"/>
      <c r="K26" s="1025"/>
      <c r="L26" s="1025"/>
      <c r="M26" s="1025"/>
      <c r="N26" s="1025"/>
      <c r="O26" s="1032"/>
      <c r="P26" s="1025"/>
      <c r="Q26" s="1025"/>
      <c r="R26" s="1025"/>
      <c r="S26" s="1025"/>
      <c r="T26" s="1025"/>
      <c r="U26" s="1025"/>
      <c r="V26" s="1031"/>
      <c r="W26" s="1025"/>
      <c r="Y26" s="1008"/>
    </row>
    <row r="27" spans="1:25" s="796" customFormat="1" x14ac:dyDescent="0.3">
      <c r="A27" s="797"/>
      <c r="B27" s="797"/>
      <c r="C27" s="797"/>
      <c r="E27" s="797"/>
      <c r="F27" s="797"/>
      <c r="G27" s="797"/>
      <c r="H27" s="797"/>
      <c r="I27" s="797"/>
      <c r="J27" s="797"/>
      <c r="K27" s="797"/>
      <c r="L27" s="797"/>
      <c r="M27" s="797"/>
      <c r="N27" s="797"/>
      <c r="O27" s="803"/>
      <c r="P27" s="797"/>
      <c r="Q27" s="797"/>
      <c r="R27" s="797"/>
      <c r="S27" s="797"/>
      <c r="T27" s="797"/>
      <c r="U27" s="797"/>
      <c r="V27" s="799"/>
      <c r="W27" s="797"/>
      <c r="Y27" s="781"/>
    </row>
    <row r="28" spans="1:25" s="796" customFormat="1" x14ac:dyDescent="0.3">
      <c r="A28" s="797"/>
      <c r="B28" s="797"/>
      <c r="C28" s="797"/>
      <c r="E28" s="797"/>
      <c r="F28" s="797"/>
      <c r="G28" s="797"/>
      <c r="H28" s="797"/>
      <c r="I28" s="797"/>
      <c r="J28" s="797"/>
      <c r="K28" s="797"/>
      <c r="L28" s="797"/>
      <c r="M28" s="797"/>
      <c r="N28" s="797"/>
      <c r="O28" s="803"/>
      <c r="P28" s="797"/>
      <c r="Q28" s="797"/>
      <c r="R28" s="797"/>
      <c r="S28" s="797"/>
      <c r="T28" s="797"/>
      <c r="U28" s="797"/>
      <c r="V28" s="799"/>
      <c r="W28" s="797"/>
      <c r="Y28" s="781"/>
    </row>
    <row r="29" spans="1:25" s="806" customFormat="1" x14ac:dyDescent="0.3">
      <c r="A29" s="807"/>
      <c r="B29" s="807"/>
      <c r="C29" s="807"/>
      <c r="E29" s="807"/>
      <c r="F29" s="807"/>
      <c r="G29" s="807"/>
      <c r="H29" s="807"/>
      <c r="I29" s="807"/>
      <c r="J29" s="807"/>
      <c r="K29" s="807"/>
      <c r="L29" s="807"/>
      <c r="M29" s="807"/>
      <c r="N29" s="807"/>
      <c r="O29" s="827"/>
      <c r="P29" s="801"/>
      <c r="Q29" s="801"/>
      <c r="R29" s="801"/>
      <c r="S29" s="801"/>
      <c r="T29" s="801"/>
      <c r="U29" s="801"/>
      <c r="V29" s="805"/>
      <c r="W29" s="801"/>
      <c r="Y29" s="853"/>
    </row>
    <row r="30" spans="1:25" s="806" customFormat="1" x14ac:dyDescent="0.3">
      <c r="A30" s="807"/>
      <c r="B30" s="807"/>
      <c r="C30" s="807"/>
      <c r="E30" s="807"/>
      <c r="F30" s="807"/>
      <c r="G30" s="807"/>
      <c r="H30" s="807"/>
      <c r="I30" s="807"/>
      <c r="J30" s="807"/>
      <c r="K30" s="807"/>
      <c r="L30" s="807"/>
      <c r="M30" s="807"/>
      <c r="N30" s="807"/>
      <c r="O30" s="827"/>
      <c r="P30" s="801"/>
      <c r="Q30" s="801"/>
      <c r="R30" s="801"/>
      <c r="S30" s="801"/>
      <c r="T30" s="801"/>
      <c r="U30" s="801"/>
      <c r="V30" s="805"/>
      <c r="W30" s="801"/>
      <c r="Y30" s="853"/>
    </row>
    <row r="31" spans="1:25" s="806" customFormat="1" x14ac:dyDescent="0.3">
      <c r="A31" s="807"/>
      <c r="B31" s="807"/>
      <c r="C31" s="807"/>
      <c r="E31" s="807"/>
      <c r="F31" s="807"/>
      <c r="G31" s="807"/>
      <c r="H31" s="807"/>
      <c r="I31" s="807"/>
      <c r="J31" s="807"/>
      <c r="K31" s="807"/>
      <c r="L31" s="807"/>
      <c r="M31" s="807"/>
      <c r="N31" s="807"/>
      <c r="O31" s="827"/>
      <c r="P31" s="801"/>
      <c r="Q31" s="801"/>
      <c r="R31" s="801"/>
      <c r="S31" s="801"/>
      <c r="T31" s="801"/>
      <c r="U31" s="801"/>
      <c r="V31" s="805"/>
      <c r="W31" s="801"/>
      <c r="Y31" s="853"/>
    </row>
    <row r="32" spans="1:25" s="806" customFormat="1" x14ac:dyDescent="0.3">
      <c r="A32" s="807"/>
      <c r="B32" s="807"/>
      <c r="C32" s="807"/>
      <c r="E32" s="807"/>
      <c r="F32" s="807"/>
      <c r="G32" s="807"/>
      <c r="H32" s="807"/>
      <c r="I32" s="807"/>
      <c r="J32" s="807"/>
      <c r="K32" s="807"/>
      <c r="L32" s="807"/>
      <c r="M32" s="807"/>
      <c r="N32" s="807"/>
      <c r="O32" s="827"/>
      <c r="P32" s="801"/>
      <c r="Q32" s="801"/>
      <c r="R32" s="801"/>
      <c r="S32" s="801"/>
      <c r="T32" s="801"/>
      <c r="U32" s="801"/>
      <c r="V32" s="805"/>
      <c r="W32" s="801"/>
      <c r="Y32" s="853"/>
    </row>
    <row r="33" spans="1:25" s="806" customFormat="1" x14ac:dyDescent="0.3">
      <c r="A33" s="807"/>
      <c r="B33" s="807"/>
      <c r="C33" s="807"/>
      <c r="E33" s="807"/>
      <c r="F33" s="807"/>
      <c r="G33" s="807"/>
      <c r="H33" s="807"/>
      <c r="I33" s="807"/>
      <c r="J33" s="807"/>
      <c r="K33" s="807"/>
      <c r="L33" s="807"/>
      <c r="M33" s="807"/>
      <c r="N33" s="807"/>
      <c r="O33" s="827"/>
      <c r="P33" s="801"/>
      <c r="Q33" s="801"/>
      <c r="R33" s="801"/>
      <c r="S33" s="801"/>
      <c r="T33" s="801"/>
      <c r="U33" s="801"/>
      <c r="V33" s="805"/>
      <c r="W33" s="801"/>
      <c r="Y33" s="853"/>
    </row>
    <row r="34" spans="1:25" s="806" customFormat="1" x14ac:dyDescent="0.3">
      <c r="A34" s="807"/>
      <c r="B34" s="807"/>
      <c r="C34" s="807"/>
      <c r="E34" s="807"/>
      <c r="F34" s="807"/>
      <c r="G34" s="807"/>
      <c r="H34" s="807"/>
      <c r="I34" s="807"/>
      <c r="J34" s="807"/>
      <c r="K34" s="807"/>
      <c r="L34" s="807"/>
      <c r="M34" s="807"/>
      <c r="N34" s="807"/>
      <c r="O34" s="827"/>
      <c r="P34" s="801"/>
      <c r="Q34" s="801"/>
      <c r="R34" s="801"/>
      <c r="S34" s="801"/>
      <c r="T34" s="801"/>
      <c r="U34" s="801"/>
      <c r="V34" s="805"/>
      <c r="W34" s="801"/>
      <c r="Y34" s="853"/>
    </row>
    <row r="35" spans="1:25" s="806" customFormat="1" x14ac:dyDescent="0.3">
      <c r="A35" s="807"/>
      <c r="B35" s="807"/>
      <c r="C35" s="807"/>
      <c r="E35" s="807"/>
      <c r="F35" s="807"/>
      <c r="G35" s="807"/>
      <c r="H35" s="807"/>
      <c r="I35" s="807"/>
      <c r="J35" s="807"/>
      <c r="K35" s="807"/>
      <c r="L35" s="807"/>
      <c r="M35" s="807"/>
      <c r="N35" s="807"/>
      <c r="O35" s="827"/>
      <c r="P35" s="801"/>
      <c r="Q35" s="801"/>
      <c r="R35" s="801"/>
      <c r="S35" s="801"/>
      <c r="T35" s="801"/>
      <c r="U35" s="801"/>
      <c r="V35" s="805"/>
      <c r="W35" s="801"/>
      <c r="Y35" s="853"/>
    </row>
    <row r="36" spans="1:25" x14ac:dyDescent="0.3">
      <c r="Y36" s="161"/>
    </row>
    <row r="37" spans="1:25" x14ac:dyDescent="0.3">
      <c r="Y37" s="161"/>
    </row>
  </sheetData>
  <autoFilter ref="O8:X37">
    <filterColumn colId="1" showButton="0"/>
    <filterColumn colId="2" showButton="0"/>
    <filterColumn colId="3" showButton="0"/>
  </autoFilter>
  <mergeCells count="15">
    <mergeCell ref="E3:W3"/>
    <mergeCell ref="E4:W4"/>
    <mergeCell ref="E5:W5"/>
    <mergeCell ref="E6:AG6"/>
    <mergeCell ref="A8:A9"/>
    <mergeCell ref="B8:C9"/>
    <mergeCell ref="D8:D9"/>
    <mergeCell ref="E8:E9"/>
    <mergeCell ref="F8:N8"/>
    <mergeCell ref="O8:O9"/>
    <mergeCell ref="P8:S8"/>
    <mergeCell ref="T8:T9"/>
    <mergeCell ref="U8:U9"/>
    <mergeCell ref="V8:V9"/>
    <mergeCell ref="W8:W9"/>
  </mergeCells>
  <printOptions horizontalCentered="1"/>
  <pageMargins left="0.82" right="0.16" top="0.27" bottom="0.31" header="0.23" footer="0.27"/>
  <pageSetup scale="98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B0F0"/>
  </sheetPr>
  <dimension ref="A1:AE217"/>
  <sheetViews>
    <sheetView showZeros="0" zoomScale="110" workbookViewId="0">
      <selection activeCell="B15" sqref="B15"/>
    </sheetView>
  </sheetViews>
  <sheetFormatPr defaultRowHeight="18.75" x14ac:dyDescent="0.3"/>
  <cols>
    <col min="1" max="1" width="4.3984375" style="1" customWidth="1"/>
    <col min="2" max="2" width="12.8984375" style="1" customWidth="1"/>
    <col min="3" max="3" width="3.3984375" style="1" customWidth="1"/>
    <col min="4" max="4" width="3.796875" customWidth="1"/>
    <col min="5" max="5" width="3.59765625" style="1" customWidth="1"/>
    <col min="6" max="6" width="3.69921875" style="36" customWidth="1"/>
    <col min="7" max="7" width="5.69921875" style="36" customWidth="1"/>
    <col min="8" max="8" width="3.69921875" style="36" customWidth="1"/>
    <col min="9" max="9" width="6.19921875" style="36" customWidth="1"/>
    <col min="10" max="10" width="3.69921875" style="36" customWidth="1"/>
    <col min="11" max="11" width="4.59765625" style="36" customWidth="1"/>
    <col min="12" max="12" width="5.8984375" style="36" customWidth="1"/>
    <col min="13" max="13" width="5.296875" style="36" customWidth="1"/>
    <col min="14" max="14" width="3.69921875" style="36" customWidth="1"/>
    <col min="15" max="15" width="5.69921875" style="36" customWidth="1"/>
    <col min="16" max="16" width="3.69921875" style="36" customWidth="1"/>
    <col min="17" max="17" width="5.19921875" style="36" customWidth="1"/>
    <col min="18" max="18" width="3.69921875" style="36" customWidth="1"/>
    <col min="19" max="19" width="4.5" style="36" customWidth="1"/>
    <col min="20" max="20" width="3.296875" style="36" customWidth="1"/>
    <col min="21" max="21" width="3.69921875" style="36" customWidth="1"/>
    <col min="22" max="22" width="8.69921875" style="36" customWidth="1"/>
    <col min="23" max="23" width="3.69921875" style="5" customWidth="1"/>
    <col min="24" max="26" width="2.19921875" style="22" customWidth="1"/>
    <col min="27" max="29" width="3.3984375" style="1" customWidth="1"/>
    <col min="30" max="30" width="4.3984375" style="15" customWidth="1"/>
    <col min="31" max="31" width="22.296875" style="1" customWidth="1"/>
    <col min="32" max="32" width="9.296875" customWidth="1"/>
    <col min="33" max="33" width="10.19921875" customWidth="1"/>
  </cols>
  <sheetData>
    <row r="1" spans="1:22" s="806" customFormat="1" ht="24.75" customHeight="1" x14ac:dyDescent="0.3">
      <c r="A1" s="1136" t="s">
        <v>2269</v>
      </c>
      <c r="B1" s="1136"/>
      <c r="C1" s="1136"/>
      <c r="D1" s="1136"/>
      <c r="E1" s="1136"/>
      <c r="F1" s="1136"/>
      <c r="G1" s="1136"/>
      <c r="H1" s="1136"/>
      <c r="I1" s="1136"/>
      <c r="J1" s="1136"/>
      <c r="K1" s="1136"/>
      <c r="L1" s="1136"/>
      <c r="M1" s="1136"/>
      <c r="N1" s="1136"/>
      <c r="O1" s="1136"/>
      <c r="P1" s="1136"/>
      <c r="Q1" s="1136"/>
      <c r="R1" s="1136"/>
      <c r="S1" s="1136"/>
      <c r="T1" s="1136"/>
      <c r="U1" s="1136"/>
      <c r="V1" s="893"/>
    </row>
    <row r="2" spans="1:22" s="806" customFormat="1" ht="24.75" customHeight="1" x14ac:dyDescent="0.3">
      <c r="A2" s="1144" t="s">
        <v>2270</v>
      </c>
      <c r="B2" s="1136"/>
      <c r="C2" s="1136"/>
      <c r="D2" s="1136"/>
      <c r="E2" s="1136"/>
      <c r="F2" s="1136"/>
      <c r="G2" s="1136"/>
      <c r="H2" s="1136"/>
      <c r="I2" s="1136"/>
      <c r="J2" s="1136"/>
      <c r="K2" s="1136"/>
      <c r="L2" s="1136"/>
      <c r="M2" s="1136"/>
      <c r="N2" s="1136"/>
      <c r="O2" s="1136"/>
      <c r="P2" s="1136"/>
      <c r="Q2" s="1136"/>
      <c r="R2" s="1136"/>
      <c r="S2" s="1136"/>
      <c r="T2" s="1136"/>
      <c r="U2" s="1136"/>
      <c r="V2" s="1136"/>
    </row>
    <row r="3" spans="1:22" s="806" customFormat="1" ht="6.75" customHeight="1" thickBot="1" x14ac:dyDescent="0.35">
      <c r="A3" s="894"/>
      <c r="B3" s="895"/>
      <c r="C3" s="895"/>
      <c r="D3" s="895"/>
      <c r="E3" s="895"/>
      <c r="F3" s="895"/>
      <c r="G3" s="895"/>
      <c r="H3" s="895"/>
      <c r="I3" s="895"/>
      <c r="J3" s="895"/>
      <c r="K3" s="895"/>
      <c r="L3" s="895"/>
      <c r="M3" s="895"/>
      <c r="N3" s="895"/>
      <c r="O3" s="895"/>
      <c r="P3" s="895"/>
      <c r="Q3" s="895"/>
      <c r="R3" s="895"/>
      <c r="S3" s="895"/>
      <c r="T3" s="895"/>
      <c r="U3" s="895"/>
      <c r="V3" s="895"/>
    </row>
    <row r="4" spans="1:22" s="806" customFormat="1" ht="9" hidden="1" customHeight="1" thickBot="1" x14ac:dyDescent="0.35">
      <c r="A4" s="896"/>
      <c r="B4" s="896"/>
      <c r="C4" s="896"/>
      <c r="D4" s="896"/>
      <c r="E4" s="896"/>
      <c r="F4" s="893"/>
      <c r="G4" s="893"/>
      <c r="H4" s="893"/>
      <c r="I4" s="893"/>
      <c r="J4" s="893"/>
      <c r="K4" s="893"/>
      <c r="L4" s="893"/>
      <c r="M4" s="893"/>
      <c r="N4" s="893"/>
      <c r="O4" s="893"/>
      <c r="P4" s="893"/>
      <c r="Q4" s="893"/>
      <c r="R4" s="893"/>
      <c r="S4" s="893"/>
      <c r="T4" s="893"/>
      <c r="U4" s="893"/>
      <c r="V4" s="893"/>
    </row>
    <row r="5" spans="1:22" s="806" customFormat="1" ht="18.75" customHeight="1" thickTop="1" x14ac:dyDescent="0.3">
      <c r="A5" s="1137" t="s">
        <v>2287</v>
      </c>
      <c r="B5" s="1140" t="s">
        <v>46</v>
      </c>
      <c r="C5" s="1140" t="s">
        <v>2282</v>
      </c>
      <c r="D5" s="1143" t="s">
        <v>2271</v>
      </c>
      <c r="E5" s="1143"/>
      <c r="F5" s="1129" t="s">
        <v>2279</v>
      </c>
      <c r="G5" s="1130"/>
      <c r="H5" s="1130"/>
      <c r="I5" s="1130"/>
      <c r="J5" s="1130"/>
      <c r="K5" s="1130"/>
      <c r="L5" s="1130"/>
      <c r="M5" s="1131"/>
      <c r="N5" s="1130" t="s">
        <v>2274</v>
      </c>
      <c r="O5" s="1130"/>
      <c r="P5" s="1130"/>
      <c r="Q5" s="1130"/>
      <c r="R5" s="1130"/>
      <c r="S5" s="1130"/>
      <c r="T5" s="1130"/>
      <c r="U5" s="1132"/>
      <c r="V5" s="897" t="s">
        <v>2271</v>
      </c>
    </row>
    <row r="6" spans="1:22" s="806" customFormat="1" ht="18.75" customHeight="1" x14ac:dyDescent="0.3">
      <c r="A6" s="1138"/>
      <c r="B6" s="1141"/>
      <c r="C6" s="1141"/>
      <c r="D6" s="898" t="s">
        <v>2283</v>
      </c>
      <c r="E6" s="898" t="s">
        <v>2286</v>
      </c>
      <c r="F6" s="1133" t="s">
        <v>2280</v>
      </c>
      <c r="G6" s="1133"/>
      <c r="H6" s="1133" t="s">
        <v>2276</v>
      </c>
      <c r="I6" s="1133"/>
      <c r="J6" s="1133" t="s">
        <v>2277</v>
      </c>
      <c r="K6" s="1133"/>
      <c r="L6" s="899" t="s">
        <v>2281</v>
      </c>
      <c r="M6" s="900" t="s">
        <v>2281</v>
      </c>
      <c r="N6" s="1134" t="s">
        <v>2275</v>
      </c>
      <c r="O6" s="1135"/>
      <c r="P6" s="1135" t="s">
        <v>2276</v>
      </c>
      <c r="Q6" s="1135"/>
      <c r="R6" s="1135" t="s">
        <v>2277</v>
      </c>
      <c r="S6" s="1135"/>
      <c r="T6" s="1135" t="s">
        <v>2278</v>
      </c>
      <c r="U6" s="1135"/>
      <c r="V6" s="901" t="s">
        <v>2272</v>
      </c>
    </row>
    <row r="7" spans="1:22" s="806" customFormat="1" ht="18.75" customHeight="1" x14ac:dyDescent="0.3">
      <c r="A7" s="1139"/>
      <c r="B7" s="1142"/>
      <c r="C7" s="1142"/>
      <c r="D7" s="902" t="s">
        <v>2284</v>
      </c>
      <c r="E7" s="902" t="s">
        <v>2285</v>
      </c>
      <c r="F7" s="903" t="s">
        <v>61</v>
      </c>
      <c r="G7" s="903" t="s">
        <v>62</v>
      </c>
      <c r="H7" s="903" t="s">
        <v>61</v>
      </c>
      <c r="I7" s="903" t="s">
        <v>62</v>
      </c>
      <c r="J7" s="903" t="s">
        <v>61</v>
      </c>
      <c r="K7" s="903" t="s">
        <v>62</v>
      </c>
      <c r="L7" s="903" t="s">
        <v>63</v>
      </c>
      <c r="M7" s="904" t="s">
        <v>64</v>
      </c>
      <c r="N7" s="905" t="s">
        <v>61</v>
      </c>
      <c r="O7" s="903" t="s">
        <v>62</v>
      </c>
      <c r="P7" s="903" t="s">
        <v>61</v>
      </c>
      <c r="Q7" s="903" t="s">
        <v>62</v>
      </c>
      <c r="R7" s="903" t="s">
        <v>61</v>
      </c>
      <c r="S7" s="903" t="s">
        <v>62</v>
      </c>
      <c r="T7" s="903" t="s">
        <v>61</v>
      </c>
      <c r="U7" s="903" t="s">
        <v>62</v>
      </c>
      <c r="V7" s="901" t="s">
        <v>2273</v>
      </c>
    </row>
    <row r="8" spans="1:22" s="761" customFormat="1" ht="16.5" customHeight="1" x14ac:dyDescent="0.25">
      <c r="A8" s="906" t="s">
        <v>1804</v>
      </c>
      <c r="B8" s="907" t="s">
        <v>2288</v>
      </c>
      <c r="C8" s="908">
        <v>3</v>
      </c>
      <c r="D8" s="907">
        <v>113</v>
      </c>
      <c r="E8" s="907">
        <v>113</v>
      </c>
      <c r="F8" s="909">
        <v>6</v>
      </c>
      <c r="G8" s="910">
        <f t="shared" ref="G8:G34" si="0">F8/E8*100</f>
        <v>5.3097345132743365</v>
      </c>
      <c r="H8" s="907">
        <v>84</v>
      </c>
      <c r="I8" s="910">
        <f>H8/E8*100</f>
        <v>74.336283185840713</v>
      </c>
      <c r="J8" s="907">
        <v>23</v>
      </c>
      <c r="K8" s="910">
        <f t="shared" ref="K8:K16" si="1">J8/E8*100</f>
        <v>20.353982300884958</v>
      </c>
      <c r="L8" s="910">
        <f>G8+I8+K8</f>
        <v>100</v>
      </c>
      <c r="M8" s="911">
        <f t="shared" ref="M8:M34" si="2">G8+I8</f>
        <v>79.646017699115049</v>
      </c>
      <c r="N8" s="912"/>
      <c r="O8" s="910">
        <f t="shared" ref="O8:O13" si="3">N8/E8*100</f>
        <v>0</v>
      </c>
      <c r="P8" s="909"/>
      <c r="Q8" s="913">
        <f t="shared" ref="Q8:Q23" si="4">P8/E8*100</f>
        <v>0</v>
      </c>
      <c r="R8" s="909"/>
      <c r="S8" s="910">
        <f>R8/E8*100</f>
        <v>0</v>
      </c>
      <c r="T8" s="914"/>
      <c r="U8" s="914"/>
      <c r="V8" s="915">
        <v>65</v>
      </c>
    </row>
    <row r="9" spans="1:22" s="923" customFormat="1" ht="16.5" customHeight="1" x14ac:dyDescent="0.25">
      <c r="A9" s="916" t="s">
        <v>1805</v>
      </c>
      <c r="B9" s="917" t="s">
        <v>2288</v>
      </c>
      <c r="C9" s="918">
        <v>3</v>
      </c>
      <c r="D9" s="919">
        <v>113</v>
      </c>
      <c r="E9" s="919">
        <v>113</v>
      </c>
      <c r="F9" s="919">
        <v>5</v>
      </c>
      <c r="G9" s="910">
        <f t="shared" si="0"/>
        <v>4.4247787610619467</v>
      </c>
      <c r="H9" s="919">
        <v>86</v>
      </c>
      <c r="I9" s="910">
        <f>H9/E9*100</f>
        <v>76.106194690265482</v>
      </c>
      <c r="J9" s="919">
        <v>22</v>
      </c>
      <c r="K9" s="910">
        <f t="shared" si="1"/>
        <v>19.469026548672566</v>
      </c>
      <c r="L9" s="910">
        <f>G9+I9+K9</f>
        <v>100</v>
      </c>
      <c r="M9" s="911">
        <f>G9+I9</f>
        <v>80.530973451327426</v>
      </c>
      <c r="N9" s="920"/>
      <c r="O9" s="910">
        <f t="shared" si="3"/>
        <v>0</v>
      </c>
      <c r="P9" s="919"/>
      <c r="Q9" s="913">
        <f t="shared" si="4"/>
        <v>0</v>
      </c>
      <c r="R9" s="919"/>
      <c r="S9" s="910">
        <f>R9/E9*100</f>
        <v>0</v>
      </c>
      <c r="T9" s="921"/>
      <c r="U9" s="921"/>
      <c r="V9" s="922">
        <v>65</v>
      </c>
    </row>
    <row r="10" spans="1:22" s="930" customFormat="1" ht="16.5" customHeight="1" x14ac:dyDescent="0.25">
      <c r="A10" s="1117" t="s">
        <v>68</v>
      </c>
      <c r="B10" s="1118"/>
      <c r="C10" s="924"/>
      <c r="D10" s="925">
        <f>SUM(D8:D9)</f>
        <v>226</v>
      </c>
      <c r="E10" s="925">
        <f>SUM(E8:E9)</f>
        <v>226</v>
      </c>
      <c r="F10" s="925">
        <f>SUM(F8:F9)</f>
        <v>11</v>
      </c>
      <c r="G10" s="926">
        <f t="shared" si="0"/>
        <v>4.8672566371681416</v>
      </c>
      <c r="H10" s="925">
        <f>SUM(H8:H9)</f>
        <v>170</v>
      </c>
      <c r="I10" s="926">
        <f>H10/E10*100</f>
        <v>75.221238938053091</v>
      </c>
      <c r="J10" s="925">
        <f>SUM(J8:J9)</f>
        <v>45</v>
      </c>
      <c r="K10" s="926">
        <f t="shared" si="1"/>
        <v>19.911504424778762</v>
      </c>
      <c r="L10" s="926">
        <f>G10+I10+K10</f>
        <v>100</v>
      </c>
      <c r="M10" s="927">
        <f>G10+I10</f>
        <v>80.088495575221231</v>
      </c>
      <c r="N10" s="925">
        <f>SUM(N8:N9)</f>
        <v>0</v>
      </c>
      <c r="O10" s="926">
        <f t="shared" si="3"/>
        <v>0</v>
      </c>
      <c r="P10" s="925">
        <f>SUM(P8:P9)</f>
        <v>0</v>
      </c>
      <c r="Q10" s="928">
        <f t="shared" si="4"/>
        <v>0</v>
      </c>
      <c r="R10" s="925">
        <f>SUM(R8:R9)</f>
        <v>0</v>
      </c>
      <c r="S10" s="926">
        <f>R10/E10*100</f>
        <v>0</v>
      </c>
      <c r="T10" s="925">
        <f>SUM(T8:T9)</f>
        <v>0</v>
      </c>
      <c r="U10" s="926"/>
      <c r="V10" s="929">
        <f>SUM(V8:V9)</f>
        <v>130</v>
      </c>
    </row>
    <row r="11" spans="1:22" s="761" customFormat="1" ht="16.5" customHeight="1" x14ac:dyDescent="0.25">
      <c r="A11" s="1119" t="s">
        <v>1806</v>
      </c>
      <c r="B11" s="909" t="s">
        <v>2289</v>
      </c>
      <c r="C11" s="931">
        <v>42</v>
      </c>
      <c r="D11" s="909">
        <v>22</v>
      </c>
      <c r="E11" s="909">
        <v>22</v>
      </c>
      <c r="F11" s="909"/>
      <c r="G11" s="910">
        <f t="shared" si="0"/>
        <v>0</v>
      </c>
      <c r="H11" s="909"/>
      <c r="I11" s="910">
        <f t="shared" ref="I11:I34" si="5">H11/E11*100</f>
        <v>0</v>
      </c>
      <c r="J11" s="909"/>
      <c r="K11" s="910">
        <f t="shared" si="1"/>
        <v>0</v>
      </c>
      <c r="L11" s="910">
        <f t="shared" ref="L11:L34" si="6">G11+I11+K11</f>
        <v>0</v>
      </c>
      <c r="M11" s="911">
        <f t="shared" si="2"/>
        <v>0</v>
      </c>
      <c r="N11" s="932"/>
      <c r="O11" s="910">
        <f t="shared" si="3"/>
        <v>0</v>
      </c>
      <c r="P11" s="909"/>
      <c r="Q11" s="910">
        <f>P11/E11*100</f>
        <v>0</v>
      </c>
      <c r="R11" s="909"/>
      <c r="S11" s="910"/>
      <c r="T11" s="909"/>
      <c r="U11" s="910"/>
      <c r="V11" s="933">
        <v>26</v>
      </c>
    </row>
    <row r="12" spans="1:22" s="761" customFormat="1" ht="16.5" customHeight="1" x14ac:dyDescent="0.25">
      <c r="A12" s="1120"/>
      <c r="B12" s="907" t="s">
        <v>2290</v>
      </c>
      <c r="C12" s="908">
        <v>44</v>
      </c>
      <c r="D12" s="907">
        <v>47</v>
      </c>
      <c r="E12" s="907">
        <v>47</v>
      </c>
      <c r="F12" s="907"/>
      <c r="G12" s="910">
        <f t="shared" si="0"/>
        <v>0</v>
      </c>
      <c r="H12" s="907"/>
      <c r="I12" s="910">
        <f t="shared" si="5"/>
        <v>0</v>
      </c>
      <c r="J12" s="907"/>
      <c r="K12" s="910">
        <f t="shared" si="1"/>
        <v>0</v>
      </c>
      <c r="L12" s="910">
        <f t="shared" si="6"/>
        <v>0</v>
      </c>
      <c r="M12" s="911">
        <f t="shared" si="2"/>
        <v>0</v>
      </c>
      <c r="N12" s="912"/>
      <c r="O12" s="910">
        <f t="shared" si="3"/>
        <v>0</v>
      </c>
      <c r="P12" s="909"/>
      <c r="Q12" s="913">
        <f t="shared" si="4"/>
        <v>0</v>
      </c>
      <c r="R12" s="909"/>
      <c r="S12" s="934">
        <f t="shared" ref="S12:S18" si="7">R12/E12*100</f>
        <v>0</v>
      </c>
      <c r="T12" s="909"/>
      <c r="U12" s="910"/>
      <c r="V12" s="915">
        <v>47</v>
      </c>
    </row>
    <row r="13" spans="1:22" s="761" customFormat="1" ht="16.5" customHeight="1" x14ac:dyDescent="0.25">
      <c r="A13" s="1121"/>
      <c r="B13" s="935" t="s">
        <v>2291</v>
      </c>
      <c r="C13" s="936">
        <v>44</v>
      </c>
      <c r="D13" s="935">
        <v>47</v>
      </c>
      <c r="E13" s="935">
        <v>47</v>
      </c>
      <c r="F13" s="935"/>
      <c r="G13" s="937">
        <f t="shared" si="0"/>
        <v>0</v>
      </c>
      <c r="H13" s="935"/>
      <c r="I13" s="937">
        <f t="shared" si="5"/>
        <v>0</v>
      </c>
      <c r="J13" s="935"/>
      <c r="K13" s="937">
        <f t="shared" si="1"/>
        <v>0</v>
      </c>
      <c r="L13" s="937">
        <f t="shared" si="6"/>
        <v>0</v>
      </c>
      <c r="M13" s="938">
        <f t="shared" si="2"/>
        <v>0</v>
      </c>
      <c r="N13" s="939"/>
      <c r="O13" s="910">
        <f t="shared" si="3"/>
        <v>0</v>
      </c>
      <c r="P13" s="940"/>
      <c r="Q13" s="913">
        <f t="shared" si="4"/>
        <v>0</v>
      </c>
      <c r="R13" s="940"/>
      <c r="S13" s="934">
        <f t="shared" si="7"/>
        <v>0</v>
      </c>
      <c r="T13" s="940"/>
      <c r="U13" s="913"/>
      <c r="V13" s="941">
        <v>47</v>
      </c>
    </row>
    <row r="14" spans="1:22" s="930" customFormat="1" ht="16.5" customHeight="1" x14ac:dyDescent="0.25">
      <c r="A14" s="1117" t="s">
        <v>68</v>
      </c>
      <c r="B14" s="1118"/>
      <c r="C14" s="924"/>
      <c r="D14" s="925">
        <f>SUM(D11:D13)</f>
        <v>116</v>
      </c>
      <c r="E14" s="925">
        <f>SUM(E11:E13)</f>
        <v>116</v>
      </c>
      <c r="F14" s="925">
        <f>SUM(F11:F13)</f>
        <v>0</v>
      </c>
      <c r="G14" s="926">
        <f t="shared" si="0"/>
        <v>0</v>
      </c>
      <c r="H14" s="925">
        <f>SUM(H11:H13)</f>
        <v>0</v>
      </c>
      <c r="I14" s="926">
        <f>H14/E14*100</f>
        <v>0</v>
      </c>
      <c r="J14" s="925">
        <f>SUM(J11:J13)</f>
        <v>0</v>
      </c>
      <c r="K14" s="926">
        <f t="shared" si="1"/>
        <v>0</v>
      </c>
      <c r="L14" s="926">
        <f t="shared" si="6"/>
        <v>0</v>
      </c>
      <c r="M14" s="927">
        <f t="shared" si="2"/>
        <v>0</v>
      </c>
      <c r="N14" s="925">
        <f>SUM(N11:N13)</f>
        <v>0</v>
      </c>
      <c r="O14" s="926">
        <f t="shared" ref="O14:O24" si="8">N14/E14*100</f>
        <v>0</v>
      </c>
      <c r="P14" s="925">
        <f>SUM(P11:P13)</f>
        <v>0</v>
      </c>
      <c r="Q14" s="926">
        <f t="shared" si="4"/>
        <v>0</v>
      </c>
      <c r="R14" s="925">
        <f>SUM(R11:R13)</f>
        <v>0</v>
      </c>
      <c r="S14" s="926">
        <f t="shared" si="7"/>
        <v>0</v>
      </c>
      <c r="T14" s="925">
        <f>SUM(T11:T13)</f>
        <v>0</v>
      </c>
      <c r="U14" s="926"/>
      <c r="V14" s="929">
        <f>SUM(V11:V13)</f>
        <v>120</v>
      </c>
    </row>
    <row r="15" spans="1:22" s="761" customFormat="1" ht="16.5" customHeight="1" x14ac:dyDescent="0.25">
      <c r="A15" s="1119" t="s">
        <v>2087</v>
      </c>
      <c r="B15" s="909" t="s">
        <v>2292</v>
      </c>
      <c r="C15" s="931">
        <v>42</v>
      </c>
      <c r="D15" s="909">
        <v>72</v>
      </c>
      <c r="E15" s="909">
        <v>72</v>
      </c>
      <c r="F15" s="909"/>
      <c r="G15" s="910">
        <f t="shared" si="0"/>
        <v>0</v>
      </c>
      <c r="H15" s="909"/>
      <c r="I15" s="910">
        <f t="shared" si="5"/>
        <v>0</v>
      </c>
      <c r="J15" s="909"/>
      <c r="K15" s="910"/>
      <c r="L15" s="942">
        <f t="shared" si="6"/>
        <v>0</v>
      </c>
      <c r="M15" s="911">
        <f t="shared" si="2"/>
        <v>0</v>
      </c>
      <c r="N15" s="932"/>
      <c r="O15" s="910">
        <f t="shared" si="8"/>
        <v>0</v>
      </c>
      <c r="P15" s="909"/>
      <c r="Q15" s="910">
        <f t="shared" si="4"/>
        <v>0</v>
      </c>
      <c r="R15" s="909"/>
      <c r="S15" s="910">
        <f t="shared" si="7"/>
        <v>0</v>
      </c>
      <c r="T15" s="909"/>
      <c r="U15" s="910"/>
      <c r="V15" s="933">
        <v>84</v>
      </c>
    </row>
    <row r="16" spans="1:22" s="761" customFormat="1" ht="16.5" customHeight="1" x14ac:dyDescent="0.25">
      <c r="A16" s="1120"/>
      <c r="B16" s="943" t="s">
        <v>74</v>
      </c>
      <c r="C16" s="944">
        <v>42</v>
      </c>
      <c r="D16" s="943">
        <v>65</v>
      </c>
      <c r="E16" s="940">
        <v>65</v>
      </c>
      <c r="F16" s="940">
        <v>2</v>
      </c>
      <c r="G16" s="910">
        <f t="shared" si="0"/>
        <v>3.0769230769230771</v>
      </c>
      <c r="H16" s="909">
        <v>39</v>
      </c>
      <c r="I16" s="910">
        <f>H16/E16*100</f>
        <v>60</v>
      </c>
      <c r="J16" s="909">
        <v>24</v>
      </c>
      <c r="K16" s="910">
        <f t="shared" si="1"/>
        <v>36.923076923076927</v>
      </c>
      <c r="L16" s="942">
        <f>G16+I16+K16</f>
        <v>100</v>
      </c>
      <c r="M16" s="911">
        <f>G16+I16</f>
        <v>63.07692307692308</v>
      </c>
      <c r="N16" s="932"/>
      <c r="O16" s="910">
        <f>N16/E16*100</f>
        <v>0</v>
      </c>
      <c r="P16" s="909"/>
      <c r="Q16" s="910">
        <f>P16/E16*100</f>
        <v>0</v>
      </c>
      <c r="R16" s="909"/>
      <c r="S16" s="910">
        <f>R16/E16*100</f>
        <v>0</v>
      </c>
      <c r="T16" s="940"/>
      <c r="U16" s="913"/>
      <c r="V16" s="945">
        <v>58</v>
      </c>
    </row>
    <row r="17" spans="1:22" s="930" customFormat="1" ht="16.5" customHeight="1" x14ac:dyDescent="0.25">
      <c r="A17" s="1117" t="s">
        <v>68</v>
      </c>
      <c r="B17" s="1118"/>
      <c r="C17" s="924"/>
      <c r="D17" s="925">
        <f>SUM(D15:D16)</f>
        <v>137</v>
      </c>
      <c r="E17" s="925">
        <f>SUM(E15:E16)</f>
        <v>137</v>
      </c>
      <c r="F17" s="925">
        <f>SUM(F15:F16)</f>
        <v>2</v>
      </c>
      <c r="G17" s="926">
        <f t="shared" si="0"/>
        <v>1.4598540145985401</v>
      </c>
      <c r="H17" s="925">
        <f>SUM(H15:H16)</f>
        <v>39</v>
      </c>
      <c r="I17" s="926">
        <f t="shared" si="5"/>
        <v>28.467153284671532</v>
      </c>
      <c r="J17" s="925">
        <f>SUM(J15:J16)</f>
        <v>24</v>
      </c>
      <c r="K17" s="946">
        <f>J17/E17*100</f>
        <v>17.518248175182482</v>
      </c>
      <c r="L17" s="926">
        <f t="shared" si="6"/>
        <v>47.445255474452551</v>
      </c>
      <c r="M17" s="927">
        <f t="shared" si="2"/>
        <v>29.927007299270073</v>
      </c>
      <c r="N17" s="925">
        <f>SUM(N15:N16)</f>
        <v>0</v>
      </c>
      <c r="O17" s="926">
        <f t="shared" si="8"/>
        <v>0</v>
      </c>
      <c r="P17" s="925">
        <f>SUM(P15:P16)</f>
        <v>0</v>
      </c>
      <c r="Q17" s="926">
        <f t="shared" si="4"/>
        <v>0</v>
      </c>
      <c r="R17" s="925">
        <f>SUM(R15:R16)</f>
        <v>0</v>
      </c>
      <c r="S17" s="926">
        <f t="shared" si="7"/>
        <v>0</v>
      </c>
      <c r="T17" s="925">
        <f>SUM(T15:T16)</f>
        <v>0</v>
      </c>
      <c r="U17" s="926"/>
      <c r="V17" s="929">
        <f>SUM(V15:V16)</f>
        <v>142</v>
      </c>
    </row>
    <row r="18" spans="1:22" s="953" customFormat="1" ht="18" customHeight="1" thickBot="1" x14ac:dyDescent="0.3">
      <c r="A18" s="1126" t="s">
        <v>75</v>
      </c>
      <c r="B18" s="1127"/>
      <c r="C18" s="947"/>
      <c r="D18" s="948">
        <f>SUM(D10+D14+D17)</f>
        <v>479</v>
      </c>
      <c r="E18" s="948">
        <f>SUM(E10+E14+E17)</f>
        <v>479</v>
      </c>
      <c r="F18" s="948">
        <f>SUM(F10+F14+F17)</f>
        <v>13</v>
      </c>
      <c r="G18" s="949">
        <f t="shared" si="0"/>
        <v>2.7139874739039667</v>
      </c>
      <c r="H18" s="948">
        <f>SUM(H10+H14+H17)</f>
        <v>209</v>
      </c>
      <c r="I18" s="949">
        <f t="shared" si="5"/>
        <v>43.632567849686851</v>
      </c>
      <c r="J18" s="948">
        <f>SUM(J10+J14+J17)</f>
        <v>69</v>
      </c>
      <c r="K18" s="949">
        <f>J18/E18*100</f>
        <v>14.40501043841336</v>
      </c>
      <c r="L18" s="950">
        <f>G18+I18+K18</f>
        <v>60.751565762004176</v>
      </c>
      <c r="M18" s="951">
        <f t="shared" si="2"/>
        <v>46.34655532359082</v>
      </c>
      <c r="N18" s="948">
        <f>SUM(N10+N14+N17)</f>
        <v>0</v>
      </c>
      <c r="O18" s="949">
        <f t="shared" si="8"/>
        <v>0</v>
      </c>
      <c r="P18" s="948">
        <f>SUM(P10+P14+P17)</f>
        <v>0</v>
      </c>
      <c r="Q18" s="949">
        <f t="shared" si="4"/>
        <v>0</v>
      </c>
      <c r="R18" s="948">
        <f>SUM(R10+R14+R17)</f>
        <v>0</v>
      </c>
      <c r="S18" s="949">
        <f t="shared" si="7"/>
        <v>0</v>
      </c>
      <c r="T18" s="948">
        <f>SUM(T10+T14+T17)</f>
        <v>0</v>
      </c>
      <c r="U18" s="949"/>
      <c r="V18" s="952">
        <f>SUM(V10+V14+V17)</f>
        <v>392</v>
      </c>
    </row>
    <row r="19" spans="1:22" s="957" customFormat="1" ht="17.25" customHeight="1" x14ac:dyDescent="0.25">
      <c r="A19" s="1128" t="s">
        <v>2088</v>
      </c>
      <c r="B19" s="954" t="s">
        <v>77</v>
      </c>
      <c r="C19" s="908">
        <v>32</v>
      </c>
      <c r="D19" s="907">
        <v>10</v>
      </c>
      <c r="E19" s="907">
        <v>10</v>
      </c>
      <c r="F19" s="907"/>
      <c r="G19" s="955">
        <f t="shared" si="0"/>
        <v>0</v>
      </c>
      <c r="H19" s="907"/>
      <c r="I19" s="955">
        <f>H19/E19*100</f>
        <v>0</v>
      </c>
      <c r="J19" s="907"/>
      <c r="K19" s="955"/>
      <c r="L19" s="955">
        <f>G19+I19+K19</f>
        <v>0</v>
      </c>
      <c r="M19" s="956">
        <f>G19+I19</f>
        <v>0</v>
      </c>
      <c r="N19" s="912"/>
      <c r="O19" s="955">
        <f>N19/E19*100</f>
        <v>0</v>
      </c>
      <c r="P19" s="907"/>
      <c r="Q19" s="955">
        <f t="shared" si="4"/>
        <v>0</v>
      </c>
      <c r="R19" s="907"/>
      <c r="S19" s="955"/>
      <c r="T19" s="907"/>
      <c r="U19" s="910"/>
      <c r="V19" s="945">
        <v>18</v>
      </c>
    </row>
    <row r="20" spans="1:22" s="761" customFormat="1" ht="17.25" customHeight="1" x14ac:dyDescent="0.25">
      <c r="A20" s="1120"/>
      <c r="B20" s="907" t="s">
        <v>78</v>
      </c>
      <c r="C20" s="908">
        <v>35</v>
      </c>
      <c r="D20" s="907">
        <v>46</v>
      </c>
      <c r="E20" s="907">
        <v>46</v>
      </c>
      <c r="F20" s="907"/>
      <c r="G20" s="955">
        <f t="shared" si="0"/>
        <v>0</v>
      </c>
      <c r="H20" s="907"/>
      <c r="I20" s="955">
        <f t="shared" si="5"/>
        <v>0</v>
      </c>
      <c r="J20" s="907"/>
      <c r="K20" s="910">
        <f t="shared" ref="K20:K27" si="9">J20/E20*100</f>
        <v>0</v>
      </c>
      <c r="L20" s="955">
        <f t="shared" si="6"/>
        <v>0</v>
      </c>
      <c r="M20" s="956">
        <f t="shared" si="2"/>
        <v>0</v>
      </c>
      <c r="N20" s="912"/>
      <c r="O20" s="955">
        <f t="shared" si="8"/>
        <v>0</v>
      </c>
      <c r="P20" s="907"/>
      <c r="Q20" s="955">
        <f t="shared" si="4"/>
        <v>0</v>
      </c>
      <c r="R20" s="907"/>
      <c r="S20" s="955"/>
      <c r="T20" s="907"/>
      <c r="U20" s="955"/>
      <c r="V20" s="915">
        <v>46</v>
      </c>
    </row>
    <row r="21" spans="1:22" s="761" customFormat="1" ht="17.25" customHeight="1" x14ac:dyDescent="0.25">
      <c r="A21" s="1120"/>
      <c r="B21" s="909" t="s">
        <v>86</v>
      </c>
      <c r="C21" s="944">
        <v>42</v>
      </c>
      <c r="D21" s="943">
        <v>44</v>
      </c>
      <c r="E21" s="943">
        <v>44</v>
      </c>
      <c r="F21" s="909"/>
      <c r="G21" s="910"/>
      <c r="H21" s="909"/>
      <c r="I21" s="942"/>
      <c r="J21" s="909"/>
      <c r="K21" s="910"/>
      <c r="L21" s="913"/>
      <c r="M21" s="911"/>
      <c r="N21" s="932"/>
      <c r="O21" s="910"/>
      <c r="P21" s="943"/>
      <c r="Q21" s="942"/>
      <c r="R21" s="943"/>
      <c r="S21" s="942"/>
      <c r="T21" s="943"/>
      <c r="U21" s="942"/>
      <c r="V21" s="958"/>
    </row>
    <row r="22" spans="1:22" s="761" customFormat="1" ht="17.25" customHeight="1" x14ac:dyDescent="0.25">
      <c r="A22" s="1120"/>
      <c r="B22" s="907" t="s">
        <v>79</v>
      </c>
      <c r="C22" s="936">
        <v>40</v>
      </c>
      <c r="D22" s="935">
        <v>24</v>
      </c>
      <c r="E22" s="935">
        <v>24</v>
      </c>
      <c r="F22" s="909"/>
      <c r="G22" s="910">
        <f t="shared" si="0"/>
        <v>0</v>
      </c>
      <c r="H22" s="909"/>
      <c r="I22" s="937">
        <f t="shared" si="5"/>
        <v>0</v>
      </c>
      <c r="J22" s="909"/>
      <c r="K22" s="910">
        <f t="shared" si="9"/>
        <v>0</v>
      </c>
      <c r="L22" s="913">
        <f t="shared" si="6"/>
        <v>0</v>
      </c>
      <c r="M22" s="911">
        <f t="shared" si="2"/>
        <v>0</v>
      </c>
      <c r="N22" s="932"/>
      <c r="O22" s="910">
        <f t="shared" si="8"/>
        <v>0</v>
      </c>
      <c r="P22" s="935"/>
      <c r="Q22" s="937">
        <f t="shared" si="4"/>
        <v>0</v>
      </c>
      <c r="R22" s="935"/>
      <c r="S22" s="937"/>
      <c r="T22" s="935"/>
      <c r="U22" s="937"/>
      <c r="V22" s="941">
        <v>24</v>
      </c>
    </row>
    <row r="23" spans="1:22" s="930" customFormat="1" ht="17.25" customHeight="1" x14ac:dyDescent="0.25">
      <c r="A23" s="1117" t="s">
        <v>68</v>
      </c>
      <c r="B23" s="1118"/>
      <c r="C23" s="924"/>
      <c r="D23" s="925">
        <f>SUM(D19:D22)</f>
        <v>124</v>
      </c>
      <c r="E23" s="925">
        <f>SUM(E19:E22)</f>
        <v>124</v>
      </c>
      <c r="F23" s="925">
        <f>SUM(F19:F22)</f>
        <v>0</v>
      </c>
      <c r="G23" s="926">
        <f t="shared" si="0"/>
        <v>0</v>
      </c>
      <c r="H23" s="925">
        <f>SUM(H19:H22)</f>
        <v>0</v>
      </c>
      <c r="I23" s="959">
        <f t="shared" si="5"/>
        <v>0</v>
      </c>
      <c r="J23" s="925">
        <f>SUM(J19:J22)</f>
        <v>0</v>
      </c>
      <c r="K23" s="926">
        <f t="shared" si="9"/>
        <v>0</v>
      </c>
      <c r="L23" s="928">
        <f t="shared" si="6"/>
        <v>0</v>
      </c>
      <c r="M23" s="927">
        <f t="shared" si="2"/>
        <v>0</v>
      </c>
      <c r="N23" s="925">
        <f>SUM(N19:N22)</f>
        <v>0</v>
      </c>
      <c r="O23" s="926">
        <f t="shared" si="8"/>
        <v>0</v>
      </c>
      <c r="P23" s="925">
        <f>SUM(P19:P22)</f>
        <v>0</v>
      </c>
      <c r="Q23" s="926">
        <f t="shared" si="4"/>
        <v>0</v>
      </c>
      <c r="R23" s="925">
        <f>SUM(R19:R22)</f>
        <v>0</v>
      </c>
      <c r="S23" s="926"/>
      <c r="T23" s="925">
        <f>SUM(T19:T22)</f>
        <v>0</v>
      </c>
      <c r="U23" s="926"/>
      <c r="V23" s="929">
        <f>SUM(V19:V22)</f>
        <v>88</v>
      </c>
    </row>
    <row r="24" spans="1:22" s="761" customFormat="1" ht="17.25" customHeight="1" x14ac:dyDescent="0.25">
      <c r="A24" s="1124" t="s">
        <v>66</v>
      </c>
      <c r="B24" s="907" t="s">
        <v>80</v>
      </c>
      <c r="C24" s="908">
        <v>36</v>
      </c>
      <c r="D24" s="907">
        <v>32</v>
      </c>
      <c r="E24" s="907">
        <v>32</v>
      </c>
      <c r="F24" s="907"/>
      <c r="G24" s="955">
        <f t="shared" si="0"/>
        <v>0</v>
      </c>
      <c r="H24" s="907"/>
      <c r="I24" s="955">
        <f t="shared" si="5"/>
        <v>0</v>
      </c>
      <c r="J24" s="907"/>
      <c r="K24" s="910">
        <f t="shared" si="9"/>
        <v>0</v>
      </c>
      <c r="L24" s="955">
        <f t="shared" si="6"/>
        <v>0</v>
      </c>
      <c r="M24" s="956">
        <f t="shared" si="2"/>
        <v>0</v>
      </c>
      <c r="N24" s="960"/>
      <c r="O24" s="910">
        <f t="shared" si="8"/>
        <v>0</v>
      </c>
      <c r="P24" s="907"/>
      <c r="Q24" s="955">
        <f>P24/E24*100</f>
        <v>0</v>
      </c>
      <c r="R24" s="907"/>
      <c r="S24" s="910"/>
      <c r="T24" s="907"/>
      <c r="U24" s="955"/>
      <c r="V24" s="915">
        <v>32</v>
      </c>
    </row>
    <row r="25" spans="1:22" s="761" customFormat="1" ht="17.25" customHeight="1" x14ac:dyDescent="0.25">
      <c r="A25" s="1124"/>
      <c r="B25" s="907" t="s">
        <v>81</v>
      </c>
      <c r="C25" s="908">
        <v>34</v>
      </c>
      <c r="D25" s="907">
        <v>18</v>
      </c>
      <c r="E25" s="907">
        <v>18</v>
      </c>
      <c r="F25" s="907"/>
      <c r="G25" s="910">
        <f t="shared" si="0"/>
        <v>0</v>
      </c>
      <c r="H25" s="907"/>
      <c r="I25" s="955">
        <f>H25/E25*100</f>
        <v>0</v>
      </c>
      <c r="J25" s="907"/>
      <c r="K25" s="955">
        <f t="shared" si="9"/>
        <v>0</v>
      </c>
      <c r="L25" s="910">
        <f t="shared" si="6"/>
        <v>0</v>
      </c>
      <c r="M25" s="956">
        <f t="shared" si="2"/>
        <v>0</v>
      </c>
      <c r="N25" s="912"/>
      <c r="O25" s="910">
        <f t="shared" ref="O25:O33" si="10">N25/E25*100</f>
        <v>0</v>
      </c>
      <c r="P25" s="909"/>
      <c r="Q25" s="955">
        <f>P25/E25*100</f>
        <v>0</v>
      </c>
      <c r="R25" s="909"/>
      <c r="S25" s="910"/>
      <c r="T25" s="909"/>
      <c r="U25" s="910"/>
      <c r="V25" s="915">
        <v>18</v>
      </c>
    </row>
    <row r="26" spans="1:22" s="761" customFormat="1" ht="17.25" customHeight="1" x14ac:dyDescent="0.25">
      <c r="A26" s="1125"/>
      <c r="B26" s="935" t="s">
        <v>82</v>
      </c>
      <c r="C26" s="936">
        <v>42</v>
      </c>
      <c r="D26" s="935">
        <v>73</v>
      </c>
      <c r="E26" s="935">
        <v>73</v>
      </c>
      <c r="F26" s="935">
        <v>2</v>
      </c>
      <c r="G26" s="937">
        <f t="shared" si="0"/>
        <v>2.7397260273972601</v>
      </c>
      <c r="H26" s="935">
        <v>62</v>
      </c>
      <c r="I26" s="934">
        <f t="shared" si="5"/>
        <v>84.93150684931507</v>
      </c>
      <c r="J26" s="935">
        <v>9</v>
      </c>
      <c r="K26" s="955">
        <f t="shared" si="9"/>
        <v>12.328767123287671</v>
      </c>
      <c r="L26" s="937">
        <f t="shared" si="6"/>
        <v>100</v>
      </c>
      <c r="M26" s="961">
        <f t="shared" si="2"/>
        <v>87.671232876712324</v>
      </c>
      <c r="N26" s="939">
        <v>64</v>
      </c>
      <c r="O26" s="913">
        <f t="shared" si="10"/>
        <v>87.671232876712324</v>
      </c>
      <c r="P26" s="935">
        <v>9</v>
      </c>
      <c r="Q26" s="937">
        <f t="shared" ref="Q26:Q34" si="11">P26/E26*100</f>
        <v>12.328767123287671</v>
      </c>
      <c r="R26" s="935"/>
      <c r="S26" s="937"/>
      <c r="T26" s="935"/>
      <c r="U26" s="937"/>
      <c r="V26" s="941">
        <v>73</v>
      </c>
    </row>
    <row r="27" spans="1:22" s="930" customFormat="1" ht="17.25" customHeight="1" x14ac:dyDescent="0.25">
      <c r="A27" s="1117" t="s">
        <v>68</v>
      </c>
      <c r="B27" s="1118"/>
      <c r="C27" s="962"/>
      <c r="D27" s="963">
        <f>SUM(D24:D26)</f>
        <v>123</v>
      </c>
      <c r="E27" s="963">
        <f>SUM(E24:E26)</f>
        <v>123</v>
      </c>
      <c r="F27" s="963">
        <f>SUM(F24:F26)</f>
        <v>2</v>
      </c>
      <c r="G27" s="926">
        <f t="shared" si="0"/>
        <v>1.6260162601626018</v>
      </c>
      <c r="H27" s="963">
        <f>SUM(H24:H26)</f>
        <v>62</v>
      </c>
      <c r="I27" s="926">
        <f>H27/E27*100</f>
        <v>50.40650406504065</v>
      </c>
      <c r="J27" s="963">
        <f>SUM(J24:J26)</f>
        <v>9</v>
      </c>
      <c r="K27" s="926">
        <f t="shared" si="9"/>
        <v>7.3170731707317067</v>
      </c>
      <c r="L27" s="926">
        <f>G27+I27+K27</f>
        <v>59.349593495934954</v>
      </c>
      <c r="M27" s="927">
        <f t="shared" si="2"/>
        <v>52.032520325203251</v>
      </c>
      <c r="N27" s="963">
        <f>SUM(N24:N26)</f>
        <v>64</v>
      </c>
      <c r="O27" s="926">
        <f t="shared" si="10"/>
        <v>52.032520325203258</v>
      </c>
      <c r="P27" s="963">
        <f>SUM(P24:P26)</f>
        <v>9</v>
      </c>
      <c r="Q27" s="964">
        <f t="shared" si="11"/>
        <v>7.3170731707317067</v>
      </c>
      <c r="R27" s="963">
        <f>SUM(R24:R26)</f>
        <v>0</v>
      </c>
      <c r="S27" s="965"/>
      <c r="T27" s="963">
        <f>SUM(T24:T26)</f>
        <v>0</v>
      </c>
      <c r="U27" s="964"/>
      <c r="V27" s="966">
        <f>SUM(V24:V26)</f>
        <v>123</v>
      </c>
    </row>
    <row r="28" spans="1:22" s="761" customFormat="1" ht="17.25" customHeight="1" x14ac:dyDescent="0.25">
      <c r="A28" s="1119" t="s">
        <v>67</v>
      </c>
      <c r="B28" s="967" t="s">
        <v>84</v>
      </c>
      <c r="C28" s="968">
        <v>42</v>
      </c>
      <c r="D28" s="967">
        <v>6</v>
      </c>
      <c r="E28" s="967">
        <v>6</v>
      </c>
      <c r="F28" s="967"/>
      <c r="G28" s="910">
        <f t="shared" si="0"/>
        <v>0</v>
      </c>
      <c r="H28" s="967"/>
      <c r="I28" s="910">
        <f t="shared" si="5"/>
        <v>0</v>
      </c>
      <c r="J28" s="967"/>
      <c r="K28" s="910"/>
      <c r="L28" s="910">
        <f t="shared" si="6"/>
        <v>0</v>
      </c>
      <c r="M28" s="911">
        <f t="shared" si="2"/>
        <v>0</v>
      </c>
      <c r="N28" s="969"/>
      <c r="O28" s="910">
        <f t="shared" si="10"/>
        <v>0</v>
      </c>
      <c r="P28" s="909"/>
      <c r="Q28" s="910">
        <f t="shared" si="11"/>
        <v>0</v>
      </c>
      <c r="R28" s="909"/>
      <c r="S28" s="970"/>
      <c r="T28" s="909"/>
      <c r="U28" s="910"/>
      <c r="V28" s="933">
        <v>6</v>
      </c>
    </row>
    <row r="29" spans="1:22" s="761" customFormat="1" ht="17.25" customHeight="1" x14ac:dyDescent="0.25">
      <c r="A29" s="1120"/>
      <c r="B29" s="909" t="s">
        <v>85</v>
      </c>
      <c r="C29" s="931">
        <v>19</v>
      </c>
      <c r="D29" s="909">
        <v>63</v>
      </c>
      <c r="E29" s="909">
        <v>63</v>
      </c>
      <c r="F29" s="909"/>
      <c r="G29" s="910">
        <f t="shared" si="0"/>
        <v>0</v>
      </c>
      <c r="H29" s="909"/>
      <c r="I29" s="955">
        <f t="shared" si="5"/>
        <v>0</v>
      </c>
      <c r="J29" s="909"/>
      <c r="K29" s="910"/>
      <c r="L29" s="910">
        <f t="shared" si="6"/>
        <v>0</v>
      </c>
      <c r="M29" s="911">
        <f t="shared" si="2"/>
        <v>0</v>
      </c>
      <c r="N29" s="932"/>
      <c r="O29" s="910">
        <f t="shared" si="10"/>
        <v>0</v>
      </c>
      <c r="P29" s="909"/>
      <c r="Q29" s="910">
        <f t="shared" si="11"/>
        <v>0</v>
      </c>
      <c r="R29" s="909"/>
      <c r="S29" s="955"/>
      <c r="T29" s="909"/>
      <c r="U29" s="910"/>
      <c r="V29" s="915">
        <v>63</v>
      </c>
    </row>
    <row r="30" spans="1:22" s="761" customFormat="1" ht="17.25" customHeight="1" x14ac:dyDescent="0.25">
      <c r="A30" s="1121"/>
      <c r="B30" s="967" t="s">
        <v>109</v>
      </c>
      <c r="C30" s="968">
        <v>36</v>
      </c>
      <c r="D30" s="940">
        <v>39</v>
      </c>
      <c r="E30" s="940">
        <v>39</v>
      </c>
      <c r="F30" s="935"/>
      <c r="G30" s="937">
        <f t="shared" si="0"/>
        <v>0</v>
      </c>
      <c r="H30" s="935"/>
      <c r="I30" s="934">
        <f t="shared" si="5"/>
        <v>0</v>
      </c>
      <c r="J30" s="935"/>
      <c r="K30" s="937"/>
      <c r="L30" s="937">
        <f t="shared" si="6"/>
        <v>0</v>
      </c>
      <c r="M30" s="961">
        <f t="shared" si="2"/>
        <v>0</v>
      </c>
      <c r="N30" s="971"/>
      <c r="O30" s="937">
        <f t="shared" si="10"/>
        <v>0</v>
      </c>
      <c r="P30" s="935"/>
      <c r="Q30" s="937">
        <f t="shared" si="11"/>
        <v>0</v>
      </c>
      <c r="R30" s="935"/>
      <c r="S30" s="937"/>
      <c r="T30" s="935"/>
      <c r="U30" s="937"/>
      <c r="V30" s="941">
        <v>44</v>
      </c>
    </row>
    <row r="31" spans="1:22" s="930" customFormat="1" ht="17.25" customHeight="1" x14ac:dyDescent="0.25">
      <c r="A31" s="1117" t="s">
        <v>68</v>
      </c>
      <c r="B31" s="1118"/>
      <c r="C31" s="962"/>
      <c r="D31" s="963">
        <f>SUM(D28:D30)</f>
        <v>108</v>
      </c>
      <c r="E31" s="963">
        <f>SUM(E28:E30)</f>
        <v>108</v>
      </c>
      <c r="F31" s="963">
        <f>SUM(F28:F30)</f>
        <v>0</v>
      </c>
      <c r="G31" s="926">
        <f t="shared" si="0"/>
        <v>0</v>
      </c>
      <c r="H31" s="963">
        <f>SUM(H28:H30)</f>
        <v>0</v>
      </c>
      <c r="I31" s="926">
        <f>H31/E31*100</f>
        <v>0</v>
      </c>
      <c r="J31" s="963">
        <f>SUM(J28:J30)</f>
        <v>0</v>
      </c>
      <c r="K31" s="926"/>
      <c r="L31" s="926">
        <f>G31+I31+K31</f>
        <v>0</v>
      </c>
      <c r="M31" s="927">
        <f>G31+I31</f>
        <v>0</v>
      </c>
      <c r="N31" s="963">
        <f>SUM(N28:N30)</f>
        <v>0</v>
      </c>
      <c r="O31" s="972">
        <f t="shared" si="10"/>
        <v>0</v>
      </c>
      <c r="P31" s="963">
        <f>SUM(P28:P30)</f>
        <v>0</v>
      </c>
      <c r="Q31" s="964">
        <f>P31/E31*100</f>
        <v>0</v>
      </c>
      <c r="R31" s="963">
        <f>SUM(R28:R30)</f>
        <v>0</v>
      </c>
      <c r="S31" s="972"/>
      <c r="T31" s="963">
        <f>SUM(T28:T30)</f>
        <v>0</v>
      </c>
      <c r="U31" s="964"/>
      <c r="V31" s="966">
        <f>SUM(V28:V30)</f>
        <v>113</v>
      </c>
    </row>
    <row r="32" spans="1:22" s="930" customFormat="1" ht="17.25" customHeight="1" x14ac:dyDescent="0.25">
      <c r="A32" s="1117" t="s">
        <v>68</v>
      </c>
      <c r="B32" s="1118"/>
      <c r="C32" s="973"/>
      <c r="D32" s="963" t="e">
        <f>SUM(#REF!)</f>
        <v>#REF!</v>
      </c>
      <c r="E32" s="963" t="e">
        <f>SUM(#REF!)</f>
        <v>#REF!</v>
      </c>
      <c r="F32" s="963" t="e">
        <f>SUM(#REF!)</f>
        <v>#REF!</v>
      </c>
      <c r="G32" s="926" t="e">
        <f>F32/E32*100</f>
        <v>#REF!</v>
      </c>
      <c r="H32" s="963" t="e">
        <f>SUM(#REF!)</f>
        <v>#REF!</v>
      </c>
      <c r="I32" s="926" t="e">
        <f>H32/E32*100</f>
        <v>#REF!</v>
      </c>
      <c r="J32" s="963" t="e">
        <f>SUM(#REF!)</f>
        <v>#REF!</v>
      </c>
      <c r="K32" s="926"/>
      <c r="L32" s="964" t="e">
        <f>G32+I32+K32</f>
        <v>#REF!</v>
      </c>
      <c r="M32" s="974" t="e">
        <f>G32+I32</f>
        <v>#REF!</v>
      </c>
      <c r="N32" s="963" t="e">
        <f>SUM(#REF!)</f>
        <v>#REF!</v>
      </c>
      <c r="O32" s="964" t="e">
        <f t="shared" si="10"/>
        <v>#REF!</v>
      </c>
      <c r="P32" s="963"/>
      <c r="Q32" s="964" t="e">
        <f t="shared" si="11"/>
        <v>#REF!</v>
      </c>
      <c r="R32" s="963" t="e">
        <f>SUM(#REF!)</f>
        <v>#REF!</v>
      </c>
      <c r="S32" s="975"/>
      <c r="T32" s="963" t="e">
        <f>SUM(#REF!)</f>
        <v>#REF!</v>
      </c>
      <c r="U32" s="972"/>
      <c r="V32" s="966" t="e">
        <f>SUM(#REF!)</f>
        <v>#REF!</v>
      </c>
    </row>
    <row r="33" spans="1:31" s="953" customFormat="1" ht="18" customHeight="1" x14ac:dyDescent="0.25">
      <c r="A33" s="1122" t="s">
        <v>88</v>
      </c>
      <c r="B33" s="1123"/>
      <c r="C33" s="976"/>
      <c r="D33" s="976" t="e">
        <f>SUM(D23+D27+D31+D32)</f>
        <v>#REF!</v>
      </c>
      <c r="E33" s="976" t="e">
        <f>SUM(E23+E27+E31+E32)</f>
        <v>#REF!</v>
      </c>
      <c r="F33" s="976"/>
      <c r="G33" s="977" t="e">
        <f t="shared" si="0"/>
        <v>#REF!</v>
      </c>
      <c r="H33" s="976" t="e">
        <f>SUM(H23+H27+H31+H32)</f>
        <v>#REF!</v>
      </c>
      <c r="I33" s="978" t="e">
        <f>H33/G33*100</f>
        <v>#REF!</v>
      </c>
      <c r="J33" s="976" t="e">
        <f>SUM(J23+J27+J31+J32)</f>
        <v>#REF!</v>
      </c>
      <c r="K33" s="977" t="e">
        <f>J33/E33*100</f>
        <v>#REF!</v>
      </c>
      <c r="L33" s="964" t="e">
        <f>G33+I33+K33</f>
        <v>#REF!</v>
      </c>
      <c r="M33" s="979" t="e">
        <f>G33+I33</f>
        <v>#REF!</v>
      </c>
      <c r="N33" s="976" t="e">
        <f>SUM(N23+N27+N31+N32)</f>
        <v>#REF!</v>
      </c>
      <c r="O33" s="977" t="e">
        <f t="shared" si="10"/>
        <v>#REF!</v>
      </c>
      <c r="P33" s="976">
        <f>SUM(P23+P27+P31+P32)</f>
        <v>9</v>
      </c>
      <c r="Q33" s="977" t="e">
        <f t="shared" si="11"/>
        <v>#REF!</v>
      </c>
      <c r="R33" s="976" t="e">
        <f>SUM(R23+R27+R31+R32)</f>
        <v>#REF!</v>
      </c>
      <c r="S33" s="980" t="e">
        <f>R33/E33*100</f>
        <v>#REF!</v>
      </c>
      <c r="T33" s="976" t="e">
        <f>SUM(T23+T27+T31+T32)</f>
        <v>#REF!</v>
      </c>
      <c r="U33" s="977"/>
      <c r="V33" s="981" t="e">
        <f>SUM(V23+V27+V31+V32)</f>
        <v>#REF!</v>
      </c>
    </row>
    <row r="34" spans="1:31" s="987" customFormat="1" ht="24" customHeight="1" thickBot="1" x14ac:dyDescent="0.35">
      <c r="A34" s="1115" t="s">
        <v>89</v>
      </c>
      <c r="B34" s="1116"/>
      <c r="C34" s="982"/>
      <c r="D34" s="983" t="e">
        <f>SUM(D18+D33)</f>
        <v>#REF!</v>
      </c>
      <c r="E34" s="983" t="e">
        <f>SUM(E18+E33)</f>
        <v>#REF!</v>
      </c>
      <c r="F34" s="982"/>
      <c r="G34" s="984" t="e">
        <f t="shared" si="0"/>
        <v>#REF!</v>
      </c>
      <c r="H34" s="982" t="e">
        <f>SUM(H18+H33)</f>
        <v>#REF!</v>
      </c>
      <c r="I34" s="985" t="e">
        <f t="shared" si="5"/>
        <v>#REF!</v>
      </c>
      <c r="J34" s="982" t="e">
        <f>SUM(J18+J33)</f>
        <v>#REF!</v>
      </c>
      <c r="K34" s="984" t="e">
        <f>J34/E34*100</f>
        <v>#REF!</v>
      </c>
      <c r="L34" s="985" t="e">
        <f t="shared" si="6"/>
        <v>#REF!</v>
      </c>
      <c r="M34" s="984" t="e">
        <f t="shared" si="2"/>
        <v>#REF!</v>
      </c>
      <c r="N34" s="982" t="e">
        <f>SUM(N18+N33)</f>
        <v>#REF!</v>
      </c>
      <c r="O34" s="985" t="e">
        <f>N34/E34*100</f>
        <v>#REF!</v>
      </c>
      <c r="P34" s="982">
        <f>SUM(P18+P33)</f>
        <v>9</v>
      </c>
      <c r="Q34" s="985" t="e">
        <f t="shared" si="11"/>
        <v>#REF!</v>
      </c>
      <c r="R34" s="982" t="e">
        <f>SUM(R18+R33)</f>
        <v>#REF!</v>
      </c>
      <c r="S34" s="985" t="e">
        <f>R34/E34*100</f>
        <v>#REF!</v>
      </c>
      <c r="T34" s="982"/>
      <c r="U34" s="984"/>
      <c r="V34" s="986" t="e">
        <f>SUM(V18+V33)</f>
        <v>#REF!</v>
      </c>
    </row>
    <row r="35" spans="1:31" s="806" customFormat="1" ht="19.5" thickTop="1" x14ac:dyDescent="0.3">
      <c r="A35" s="896"/>
      <c r="B35" s="896"/>
      <c r="C35" s="896"/>
      <c r="D35" s="896"/>
      <c r="E35" s="896"/>
      <c r="F35" s="893"/>
      <c r="G35" s="893"/>
      <c r="H35" s="893"/>
      <c r="I35" s="893"/>
      <c r="J35" s="893"/>
      <c r="K35" s="893"/>
      <c r="L35" s="893"/>
      <c r="M35" s="893"/>
      <c r="N35" s="893"/>
      <c r="O35" s="893"/>
      <c r="P35" s="893"/>
      <c r="Q35" s="893"/>
      <c r="R35" s="893"/>
      <c r="S35" s="893"/>
      <c r="T35" s="893"/>
      <c r="U35" s="893"/>
      <c r="V35" s="893"/>
    </row>
    <row r="36" spans="1:31" s="806" customFormat="1" x14ac:dyDescent="0.3">
      <c r="A36" s="807"/>
      <c r="B36" s="807"/>
      <c r="C36" s="807"/>
      <c r="E36" s="807"/>
      <c r="F36" s="801"/>
      <c r="G36" s="801"/>
      <c r="H36" s="801"/>
      <c r="I36" s="801"/>
      <c r="J36" s="801"/>
      <c r="K36" s="801"/>
      <c r="L36" s="801"/>
      <c r="M36" s="801"/>
      <c r="N36" s="801"/>
      <c r="O36" s="801"/>
      <c r="P36" s="801"/>
      <c r="Q36" s="801"/>
      <c r="R36" s="801"/>
      <c r="S36" s="801"/>
      <c r="T36" s="801"/>
      <c r="U36" s="801"/>
      <c r="V36" s="801"/>
      <c r="W36" s="827"/>
      <c r="X36" s="807"/>
      <c r="Y36" s="807"/>
      <c r="Z36" s="807"/>
      <c r="AA36" s="807"/>
      <c r="AB36" s="807"/>
      <c r="AC36" s="807"/>
      <c r="AD36" s="808"/>
      <c r="AE36" s="807"/>
    </row>
    <row r="37" spans="1:31" s="806" customFormat="1" x14ac:dyDescent="0.3">
      <c r="A37" s="807"/>
      <c r="B37" s="807"/>
      <c r="C37" s="807"/>
      <c r="E37" s="807"/>
      <c r="F37" s="801"/>
      <c r="G37" s="801"/>
      <c r="H37" s="801"/>
      <c r="I37" s="801"/>
      <c r="J37" s="801"/>
      <c r="K37" s="801"/>
      <c r="L37" s="801"/>
      <c r="M37" s="801"/>
      <c r="N37" s="801"/>
      <c r="O37" s="801"/>
      <c r="P37" s="801"/>
      <c r="Q37" s="801"/>
      <c r="R37" s="801"/>
      <c r="S37" s="801"/>
      <c r="T37" s="801"/>
      <c r="U37" s="801"/>
      <c r="V37" s="801"/>
      <c r="W37" s="827"/>
      <c r="X37" s="807"/>
      <c r="Y37" s="807"/>
      <c r="Z37" s="807"/>
      <c r="AA37" s="807"/>
      <c r="AB37" s="807"/>
      <c r="AC37" s="807"/>
      <c r="AD37" s="808"/>
      <c r="AE37" s="807"/>
    </row>
    <row r="38" spans="1:31" s="806" customFormat="1" x14ac:dyDescent="0.3">
      <c r="A38" s="807"/>
      <c r="B38" s="807"/>
      <c r="C38" s="807"/>
      <c r="E38" s="807"/>
      <c r="F38" s="801"/>
      <c r="G38" s="801"/>
      <c r="H38" s="801"/>
      <c r="I38" s="801"/>
      <c r="J38" s="801"/>
      <c r="K38" s="801"/>
      <c r="L38" s="801"/>
      <c r="M38" s="801"/>
      <c r="N38" s="801"/>
      <c r="O38" s="801"/>
      <c r="P38" s="801"/>
      <c r="Q38" s="801"/>
      <c r="R38" s="801"/>
      <c r="S38" s="801"/>
      <c r="T38" s="801"/>
      <c r="U38" s="801"/>
      <c r="V38" s="801"/>
      <c r="W38" s="827"/>
      <c r="X38" s="807"/>
      <c r="Y38" s="807"/>
      <c r="Z38" s="807"/>
      <c r="AA38" s="807"/>
      <c r="AB38" s="807"/>
      <c r="AC38" s="807"/>
      <c r="AD38" s="808"/>
      <c r="AE38" s="807"/>
    </row>
    <row r="39" spans="1:31" s="806" customFormat="1" x14ac:dyDescent="0.3">
      <c r="A39" s="807"/>
      <c r="B39" s="807"/>
      <c r="C39" s="807"/>
      <c r="E39" s="807"/>
      <c r="F39" s="801"/>
      <c r="G39" s="801"/>
      <c r="H39" s="801"/>
      <c r="I39" s="801"/>
      <c r="J39" s="801"/>
      <c r="K39" s="801"/>
      <c r="L39" s="801"/>
      <c r="M39" s="801"/>
      <c r="N39" s="801"/>
      <c r="O39" s="801"/>
      <c r="P39" s="801"/>
      <c r="Q39" s="801"/>
      <c r="R39" s="801"/>
      <c r="S39" s="801"/>
      <c r="T39" s="801"/>
      <c r="U39" s="801"/>
      <c r="V39" s="801"/>
      <c r="W39" s="827"/>
      <c r="X39" s="807"/>
      <c r="Y39" s="807"/>
      <c r="Z39" s="807"/>
      <c r="AA39" s="807"/>
      <c r="AB39" s="807"/>
      <c r="AC39" s="807"/>
      <c r="AD39" s="808"/>
      <c r="AE39" s="807"/>
    </row>
    <row r="40" spans="1:31" s="806" customFormat="1" x14ac:dyDescent="0.3">
      <c r="A40" s="807"/>
      <c r="B40" s="807"/>
      <c r="C40" s="807"/>
      <c r="E40" s="807"/>
      <c r="F40" s="801"/>
      <c r="G40" s="801"/>
      <c r="H40" s="801"/>
      <c r="I40" s="801"/>
      <c r="J40" s="801"/>
      <c r="K40" s="801"/>
      <c r="L40" s="801"/>
      <c r="M40" s="801"/>
      <c r="N40" s="801"/>
      <c r="O40" s="801"/>
      <c r="P40" s="801"/>
      <c r="Q40" s="801"/>
      <c r="R40" s="801"/>
      <c r="S40" s="801"/>
      <c r="T40" s="801"/>
      <c r="U40" s="801"/>
      <c r="V40" s="801"/>
      <c r="W40" s="827"/>
      <c r="X40" s="807"/>
      <c r="Y40" s="807"/>
      <c r="Z40" s="807"/>
      <c r="AA40" s="807"/>
      <c r="AB40" s="807"/>
      <c r="AC40" s="807"/>
      <c r="AD40" s="808"/>
      <c r="AE40" s="807"/>
    </row>
    <row r="41" spans="1:31" s="806" customFormat="1" x14ac:dyDescent="0.3">
      <c r="A41" s="807"/>
      <c r="B41" s="807"/>
      <c r="C41" s="807"/>
      <c r="E41" s="807"/>
      <c r="F41" s="801"/>
      <c r="G41" s="801"/>
      <c r="H41" s="801"/>
      <c r="I41" s="801"/>
      <c r="J41" s="801"/>
      <c r="K41" s="801"/>
      <c r="L41" s="801"/>
      <c r="M41" s="801"/>
      <c r="N41" s="801"/>
      <c r="O41" s="801"/>
      <c r="P41" s="801"/>
      <c r="Q41" s="801"/>
      <c r="R41" s="801"/>
      <c r="S41" s="801"/>
      <c r="T41" s="801"/>
      <c r="U41" s="801"/>
      <c r="V41" s="801"/>
      <c r="W41" s="827"/>
      <c r="X41" s="807"/>
      <c r="Y41" s="807"/>
      <c r="Z41" s="807"/>
      <c r="AA41" s="807"/>
      <c r="AB41" s="807"/>
      <c r="AC41" s="807"/>
      <c r="AD41" s="808"/>
      <c r="AE41" s="807"/>
    </row>
    <row r="42" spans="1:31" s="806" customFormat="1" x14ac:dyDescent="0.3">
      <c r="A42" s="807"/>
      <c r="B42" s="807"/>
      <c r="C42" s="807"/>
      <c r="E42" s="807"/>
      <c r="F42" s="801"/>
      <c r="G42" s="801"/>
      <c r="H42" s="801"/>
      <c r="I42" s="801"/>
      <c r="J42" s="801"/>
      <c r="K42" s="801"/>
      <c r="L42" s="801"/>
      <c r="M42" s="801"/>
      <c r="N42" s="801"/>
      <c r="O42" s="801"/>
      <c r="P42" s="801"/>
      <c r="Q42" s="801"/>
      <c r="R42" s="801"/>
      <c r="S42" s="801"/>
      <c r="T42" s="801"/>
      <c r="U42" s="801"/>
      <c r="V42" s="801"/>
      <c r="W42" s="827"/>
      <c r="X42" s="807"/>
      <c r="Y42" s="807"/>
      <c r="Z42" s="807"/>
      <c r="AA42" s="807"/>
      <c r="AB42" s="807"/>
      <c r="AC42" s="807"/>
      <c r="AD42" s="808"/>
      <c r="AE42" s="807"/>
    </row>
    <row r="43" spans="1:31" s="806" customFormat="1" x14ac:dyDescent="0.3">
      <c r="A43" s="807"/>
      <c r="B43" s="807"/>
      <c r="C43" s="807"/>
      <c r="E43" s="807"/>
      <c r="F43" s="801"/>
      <c r="G43" s="801"/>
      <c r="H43" s="801"/>
      <c r="I43" s="801"/>
      <c r="J43" s="801"/>
      <c r="K43" s="801"/>
      <c r="L43" s="801"/>
      <c r="M43" s="801"/>
      <c r="N43" s="801"/>
      <c r="O43" s="801"/>
      <c r="P43" s="801"/>
      <c r="Q43" s="801"/>
      <c r="R43" s="801"/>
      <c r="S43" s="801"/>
      <c r="T43" s="801"/>
      <c r="U43" s="801"/>
      <c r="V43" s="801"/>
      <c r="W43" s="827"/>
      <c r="X43" s="807"/>
      <c r="Y43" s="807"/>
      <c r="Z43" s="807"/>
      <c r="AA43" s="807"/>
      <c r="AB43" s="807"/>
      <c r="AC43" s="807"/>
      <c r="AD43" s="808"/>
      <c r="AE43" s="807"/>
    </row>
    <row r="44" spans="1:31" s="806" customFormat="1" x14ac:dyDescent="0.3">
      <c r="A44" s="807"/>
      <c r="B44" s="807"/>
      <c r="C44" s="807"/>
      <c r="E44" s="807"/>
      <c r="F44" s="801"/>
      <c r="G44" s="801"/>
      <c r="H44" s="801"/>
      <c r="I44" s="801"/>
      <c r="J44" s="801"/>
      <c r="K44" s="801"/>
      <c r="L44" s="801"/>
      <c r="M44" s="801"/>
      <c r="N44" s="801"/>
      <c r="O44" s="801"/>
      <c r="P44" s="801"/>
      <c r="Q44" s="801"/>
      <c r="R44" s="801"/>
      <c r="S44" s="801"/>
      <c r="T44" s="801"/>
      <c r="U44" s="801"/>
      <c r="V44" s="801"/>
      <c r="W44" s="827"/>
      <c r="X44" s="807"/>
      <c r="Y44" s="807"/>
      <c r="Z44" s="807"/>
      <c r="AA44" s="807"/>
      <c r="AB44" s="807"/>
      <c r="AC44" s="807"/>
      <c r="AD44" s="808"/>
      <c r="AE44" s="807"/>
    </row>
    <row r="45" spans="1:31" s="806" customFormat="1" x14ac:dyDescent="0.3">
      <c r="A45" s="807"/>
      <c r="B45" s="807"/>
      <c r="C45" s="807"/>
      <c r="E45" s="807"/>
      <c r="F45" s="801"/>
      <c r="G45" s="801"/>
      <c r="H45" s="801"/>
      <c r="I45" s="801"/>
      <c r="J45" s="801"/>
      <c r="K45" s="801"/>
      <c r="L45" s="801"/>
      <c r="M45" s="801"/>
      <c r="N45" s="801"/>
      <c r="O45" s="801"/>
      <c r="P45" s="801"/>
      <c r="Q45" s="801"/>
      <c r="R45" s="801"/>
      <c r="S45" s="801"/>
      <c r="T45" s="801"/>
      <c r="U45" s="801"/>
      <c r="V45" s="801"/>
      <c r="W45" s="827"/>
      <c r="X45" s="807"/>
      <c r="Y45" s="807"/>
      <c r="Z45" s="807"/>
      <c r="AA45" s="807"/>
      <c r="AB45" s="807"/>
      <c r="AC45" s="807"/>
      <c r="AD45" s="808"/>
      <c r="AE45" s="807"/>
    </row>
    <row r="46" spans="1:31" s="806" customFormat="1" x14ac:dyDescent="0.3">
      <c r="A46" s="807"/>
      <c r="B46" s="807"/>
      <c r="C46" s="807"/>
      <c r="E46" s="807"/>
      <c r="F46" s="801"/>
      <c r="G46" s="801"/>
      <c r="H46" s="801"/>
      <c r="I46" s="801"/>
      <c r="J46" s="801"/>
      <c r="K46" s="801"/>
      <c r="L46" s="801"/>
      <c r="M46" s="801"/>
      <c r="N46" s="801"/>
      <c r="O46" s="801"/>
      <c r="P46" s="801"/>
      <c r="Q46" s="801"/>
      <c r="R46" s="801"/>
      <c r="S46" s="801"/>
      <c r="T46" s="801"/>
      <c r="U46" s="801"/>
      <c r="V46" s="801"/>
      <c r="W46" s="827"/>
      <c r="X46" s="807"/>
      <c r="Y46" s="807"/>
      <c r="Z46" s="807"/>
      <c r="AA46" s="807"/>
      <c r="AB46" s="807"/>
      <c r="AC46" s="807"/>
      <c r="AD46" s="808"/>
      <c r="AE46" s="807"/>
    </row>
    <row r="47" spans="1:31" s="806" customFormat="1" x14ac:dyDescent="0.3">
      <c r="A47" s="807"/>
      <c r="B47" s="807"/>
      <c r="C47" s="807"/>
      <c r="E47" s="807"/>
      <c r="F47" s="801"/>
      <c r="G47" s="801"/>
      <c r="H47" s="801"/>
      <c r="I47" s="801"/>
      <c r="J47" s="801"/>
      <c r="K47" s="801"/>
      <c r="L47" s="801"/>
      <c r="M47" s="801"/>
      <c r="N47" s="801"/>
      <c r="O47" s="801"/>
      <c r="P47" s="801"/>
      <c r="Q47" s="801"/>
      <c r="R47" s="801"/>
      <c r="S47" s="801"/>
      <c r="T47" s="801"/>
      <c r="U47" s="801"/>
      <c r="V47" s="801"/>
      <c r="W47" s="827"/>
      <c r="X47" s="807"/>
      <c r="Y47" s="807"/>
      <c r="Z47" s="807"/>
      <c r="AA47" s="807"/>
      <c r="AB47" s="807"/>
      <c r="AC47" s="807"/>
      <c r="AD47" s="808"/>
      <c r="AE47" s="807"/>
    </row>
    <row r="48" spans="1:31" s="806" customFormat="1" x14ac:dyDescent="0.3">
      <c r="A48" s="807"/>
      <c r="B48" s="807"/>
      <c r="C48" s="807"/>
      <c r="E48" s="807"/>
      <c r="F48" s="801"/>
      <c r="G48" s="801"/>
      <c r="H48" s="801"/>
      <c r="I48" s="801"/>
      <c r="J48" s="801"/>
      <c r="K48" s="801"/>
      <c r="L48" s="801"/>
      <c r="M48" s="801"/>
      <c r="N48" s="801"/>
      <c r="O48" s="801"/>
      <c r="P48" s="801"/>
      <c r="Q48" s="801"/>
      <c r="R48" s="801"/>
      <c r="S48" s="801"/>
      <c r="T48" s="801"/>
      <c r="U48" s="801"/>
      <c r="V48" s="801"/>
      <c r="W48" s="827"/>
      <c r="X48" s="807"/>
      <c r="Y48" s="807"/>
      <c r="Z48" s="807"/>
      <c r="AA48" s="807"/>
      <c r="AB48" s="807"/>
      <c r="AC48" s="807"/>
      <c r="AD48" s="808"/>
      <c r="AE48" s="807"/>
    </row>
    <row r="49" spans="1:31" s="806" customFormat="1" x14ac:dyDescent="0.3">
      <c r="A49" s="807"/>
      <c r="B49" s="807"/>
      <c r="C49" s="807"/>
      <c r="E49" s="807"/>
      <c r="F49" s="801"/>
      <c r="G49" s="801"/>
      <c r="H49" s="801"/>
      <c r="I49" s="801"/>
      <c r="J49" s="801"/>
      <c r="K49" s="801"/>
      <c r="L49" s="801"/>
      <c r="M49" s="801"/>
      <c r="N49" s="801"/>
      <c r="O49" s="801"/>
      <c r="P49" s="801"/>
      <c r="Q49" s="801"/>
      <c r="R49" s="801"/>
      <c r="S49" s="801"/>
      <c r="T49" s="801"/>
      <c r="U49" s="801"/>
      <c r="V49" s="801"/>
      <c r="W49" s="827"/>
      <c r="X49" s="807"/>
      <c r="Y49" s="807"/>
      <c r="Z49" s="807"/>
      <c r="AA49" s="807"/>
      <c r="AB49" s="807"/>
      <c r="AC49" s="807"/>
      <c r="AD49" s="808"/>
      <c r="AE49" s="807"/>
    </row>
    <row r="50" spans="1:31" s="806" customFormat="1" x14ac:dyDescent="0.3">
      <c r="A50" s="807"/>
      <c r="B50" s="807"/>
      <c r="C50" s="807"/>
      <c r="E50" s="807"/>
      <c r="F50" s="801"/>
      <c r="G50" s="801"/>
      <c r="H50" s="801"/>
      <c r="I50" s="801"/>
      <c r="J50" s="801"/>
      <c r="K50" s="801"/>
      <c r="L50" s="801"/>
      <c r="M50" s="801"/>
      <c r="N50" s="801"/>
      <c r="O50" s="801"/>
      <c r="P50" s="801"/>
      <c r="Q50" s="801"/>
      <c r="R50" s="801"/>
      <c r="S50" s="801"/>
      <c r="T50" s="801"/>
      <c r="U50" s="801"/>
      <c r="V50" s="801"/>
      <c r="W50" s="827"/>
      <c r="X50" s="807"/>
      <c r="Y50" s="807"/>
      <c r="Z50" s="807"/>
      <c r="AA50" s="807"/>
      <c r="AB50" s="807"/>
      <c r="AC50" s="807"/>
      <c r="AD50" s="808"/>
      <c r="AE50" s="807"/>
    </row>
    <row r="51" spans="1:31" s="806" customFormat="1" x14ac:dyDescent="0.3">
      <c r="A51" s="807"/>
      <c r="B51" s="807"/>
      <c r="C51" s="807"/>
      <c r="E51" s="807"/>
      <c r="F51" s="801"/>
      <c r="G51" s="801"/>
      <c r="H51" s="801"/>
      <c r="I51" s="801"/>
      <c r="J51" s="801"/>
      <c r="K51" s="801"/>
      <c r="L51" s="801"/>
      <c r="M51" s="801"/>
      <c r="N51" s="801"/>
      <c r="O51" s="801"/>
      <c r="P51" s="801"/>
      <c r="Q51" s="801"/>
      <c r="R51" s="801"/>
      <c r="S51" s="801"/>
      <c r="T51" s="801"/>
      <c r="U51" s="801"/>
      <c r="V51" s="801"/>
      <c r="W51" s="827"/>
      <c r="X51" s="807"/>
      <c r="Y51" s="807"/>
      <c r="Z51" s="807"/>
      <c r="AA51" s="807"/>
      <c r="AB51" s="807"/>
      <c r="AC51" s="807"/>
      <c r="AD51" s="808"/>
      <c r="AE51" s="807"/>
    </row>
    <row r="52" spans="1:31" s="806" customFormat="1" x14ac:dyDescent="0.3">
      <c r="A52" s="807"/>
      <c r="B52" s="807"/>
      <c r="C52" s="807"/>
      <c r="E52" s="807"/>
      <c r="F52" s="801"/>
      <c r="G52" s="801"/>
      <c r="H52" s="801"/>
      <c r="I52" s="801"/>
      <c r="J52" s="801"/>
      <c r="K52" s="801"/>
      <c r="L52" s="801"/>
      <c r="M52" s="801"/>
      <c r="N52" s="801"/>
      <c r="O52" s="801"/>
      <c r="P52" s="801"/>
      <c r="Q52" s="801"/>
      <c r="R52" s="801"/>
      <c r="S52" s="801"/>
      <c r="T52" s="801"/>
      <c r="U52" s="801"/>
      <c r="V52" s="801"/>
      <c r="W52" s="827"/>
      <c r="X52" s="807"/>
      <c r="Y52" s="807"/>
      <c r="Z52" s="807"/>
      <c r="AA52" s="807"/>
      <c r="AB52" s="807"/>
      <c r="AC52" s="807"/>
      <c r="AD52" s="808"/>
      <c r="AE52" s="807"/>
    </row>
    <row r="53" spans="1:31" s="806" customFormat="1" x14ac:dyDescent="0.3">
      <c r="A53" s="807"/>
      <c r="B53" s="807"/>
      <c r="C53" s="807"/>
      <c r="E53" s="807"/>
      <c r="F53" s="801"/>
      <c r="G53" s="801"/>
      <c r="H53" s="801"/>
      <c r="I53" s="801"/>
      <c r="J53" s="801"/>
      <c r="K53" s="801"/>
      <c r="L53" s="801"/>
      <c r="M53" s="801"/>
      <c r="N53" s="801"/>
      <c r="O53" s="801"/>
      <c r="P53" s="801"/>
      <c r="Q53" s="801"/>
      <c r="R53" s="801"/>
      <c r="S53" s="801"/>
      <c r="T53" s="801"/>
      <c r="U53" s="801"/>
      <c r="V53" s="801"/>
      <c r="W53" s="827"/>
      <c r="X53" s="807"/>
      <c r="Y53" s="807"/>
      <c r="Z53" s="807"/>
      <c r="AA53" s="807"/>
      <c r="AB53" s="807"/>
      <c r="AC53" s="807"/>
      <c r="AD53" s="808"/>
      <c r="AE53" s="807"/>
    </row>
    <row r="54" spans="1:31" s="806" customFormat="1" x14ac:dyDescent="0.3">
      <c r="A54" s="807"/>
      <c r="B54" s="807"/>
      <c r="C54" s="807"/>
      <c r="E54" s="807"/>
      <c r="F54" s="801"/>
      <c r="G54" s="801"/>
      <c r="H54" s="801"/>
      <c r="I54" s="801"/>
      <c r="J54" s="801"/>
      <c r="K54" s="801"/>
      <c r="L54" s="801"/>
      <c r="M54" s="801"/>
      <c r="N54" s="801"/>
      <c r="O54" s="801"/>
      <c r="P54" s="801"/>
      <c r="Q54" s="801"/>
      <c r="R54" s="801"/>
      <c r="S54" s="801"/>
      <c r="T54" s="801"/>
      <c r="U54" s="801"/>
      <c r="V54" s="801"/>
      <c r="W54" s="827"/>
      <c r="X54" s="807"/>
      <c r="Y54" s="807"/>
      <c r="Z54" s="807"/>
      <c r="AA54" s="807"/>
      <c r="AB54" s="807"/>
      <c r="AC54" s="807"/>
      <c r="AD54" s="808"/>
      <c r="AE54" s="807"/>
    </row>
    <row r="55" spans="1:31" s="806" customFormat="1" x14ac:dyDescent="0.3">
      <c r="A55" s="807"/>
      <c r="B55" s="807"/>
      <c r="C55" s="807"/>
      <c r="E55" s="807"/>
      <c r="F55" s="801"/>
      <c r="G55" s="801"/>
      <c r="H55" s="801"/>
      <c r="I55" s="801"/>
      <c r="J55" s="801"/>
      <c r="K55" s="801"/>
      <c r="L55" s="801"/>
      <c r="M55" s="801"/>
      <c r="N55" s="801"/>
      <c r="O55" s="801"/>
      <c r="P55" s="801"/>
      <c r="Q55" s="801"/>
      <c r="R55" s="801"/>
      <c r="S55" s="801"/>
      <c r="T55" s="801"/>
      <c r="U55" s="801"/>
      <c r="V55" s="801"/>
      <c r="W55" s="827"/>
      <c r="X55" s="807"/>
      <c r="Y55" s="807"/>
      <c r="Z55" s="807"/>
      <c r="AA55" s="807"/>
      <c r="AB55" s="807"/>
      <c r="AC55" s="807"/>
      <c r="AD55" s="808"/>
      <c r="AE55" s="807"/>
    </row>
    <row r="56" spans="1:31" s="806" customFormat="1" x14ac:dyDescent="0.3">
      <c r="A56" s="807"/>
      <c r="B56" s="807"/>
      <c r="C56" s="807"/>
      <c r="E56" s="807"/>
      <c r="F56" s="801"/>
      <c r="G56" s="801"/>
      <c r="H56" s="801"/>
      <c r="I56" s="801"/>
      <c r="J56" s="801"/>
      <c r="K56" s="801"/>
      <c r="L56" s="801"/>
      <c r="M56" s="801"/>
      <c r="N56" s="801"/>
      <c r="O56" s="801"/>
      <c r="P56" s="801"/>
      <c r="Q56" s="801"/>
      <c r="R56" s="801"/>
      <c r="S56" s="801"/>
      <c r="T56" s="801"/>
      <c r="U56" s="801"/>
      <c r="V56" s="801"/>
      <c r="W56" s="827"/>
      <c r="X56" s="807"/>
      <c r="Y56" s="807"/>
      <c r="Z56" s="807"/>
      <c r="AA56" s="807"/>
      <c r="AB56" s="807"/>
      <c r="AC56" s="807"/>
      <c r="AD56" s="808"/>
      <c r="AE56" s="807"/>
    </row>
    <row r="57" spans="1:31" s="806" customFormat="1" x14ac:dyDescent="0.3">
      <c r="A57" s="807"/>
      <c r="B57" s="807"/>
      <c r="C57" s="807"/>
      <c r="E57" s="807"/>
      <c r="F57" s="801"/>
      <c r="G57" s="801"/>
      <c r="H57" s="801"/>
      <c r="I57" s="801"/>
      <c r="J57" s="801"/>
      <c r="K57" s="801"/>
      <c r="L57" s="801"/>
      <c r="M57" s="801"/>
      <c r="N57" s="801"/>
      <c r="O57" s="801"/>
      <c r="P57" s="801"/>
      <c r="Q57" s="801"/>
      <c r="R57" s="801"/>
      <c r="S57" s="801"/>
      <c r="T57" s="801"/>
      <c r="U57" s="801"/>
      <c r="V57" s="801"/>
      <c r="W57" s="827"/>
      <c r="X57" s="807"/>
      <c r="Y57" s="807"/>
      <c r="Z57" s="807"/>
      <c r="AA57" s="807"/>
      <c r="AB57" s="807"/>
      <c r="AC57" s="807"/>
      <c r="AD57" s="808"/>
      <c r="AE57" s="807"/>
    </row>
    <row r="58" spans="1:31" s="806" customFormat="1" x14ac:dyDescent="0.3">
      <c r="A58" s="807"/>
      <c r="B58" s="807"/>
      <c r="C58" s="807"/>
      <c r="E58" s="807"/>
      <c r="F58" s="801"/>
      <c r="G58" s="801"/>
      <c r="H58" s="801"/>
      <c r="I58" s="801"/>
      <c r="J58" s="801"/>
      <c r="K58" s="801"/>
      <c r="L58" s="801"/>
      <c r="M58" s="801"/>
      <c r="N58" s="801"/>
      <c r="O58" s="801"/>
      <c r="P58" s="801"/>
      <c r="Q58" s="801"/>
      <c r="R58" s="801"/>
      <c r="S58" s="801"/>
      <c r="T58" s="801"/>
      <c r="U58" s="801"/>
      <c r="V58" s="801"/>
      <c r="W58" s="827"/>
      <c r="X58" s="807"/>
      <c r="Y58" s="807"/>
      <c r="Z58" s="807"/>
      <c r="AA58" s="807"/>
      <c r="AB58" s="807"/>
      <c r="AC58" s="807"/>
      <c r="AD58" s="808"/>
      <c r="AE58" s="807"/>
    </row>
    <row r="59" spans="1:31" s="806" customFormat="1" x14ac:dyDescent="0.3">
      <c r="A59" s="807"/>
      <c r="B59" s="807"/>
      <c r="C59" s="807"/>
      <c r="E59" s="807"/>
      <c r="F59" s="801"/>
      <c r="G59" s="801"/>
      <c r="H59" s="801"/>
      <c r="I59" s="801"/>
      <c r="J59" s="801"/>
      <c r="K59" s="801"/>
      <c r="L59" s="801"/>
      <c r="M59" s="801"/>
      <c r="N59" s="801"/>
      <c r="O59" s="801"/>
      <c r="P59" s="801"/>
      <c r="Q59" s="801"/>
      <c r="R59" s="801"/>
      <c r="S59" s="801"/>
      <c r="T59" s="801"/>
      <c r="U59" s="801"/>
      <c r="V59" s="801"/>
      <c r="W59" s="827"/>
      <c r="X59" s="807"/>
      <c r="Y59" s="807"/>
      <c r="Z59" s="807"/>
      <c r="AA59" s="807"/>
      <c r="AB59" s="807"/>
      <c r="AC59" s="807"/>
      <c r="AD59" s="808"/>
      <c r="AE59" s="807"/>
    </row>
    <row r="60" spans="1:31" s="806" customFormat="1" x14ac:dyDescent="0.3">
      <c r="A60" s="807"/>
      <c r="B60" s="807"/>
      <c r="C60" s="807"/>
      <c r="E60" s="807"/>
      <c r="F60" s="801"/>
      <c r="G60" s="801"/>
      <c r="H60" s="801"/>
      <c r="I60" s="801"/>
      <c r="J60" s="801"/>
      <c r="K60" s="801"/>
      <c r="L60" s="801"/>
      <c r="M60" s="801"/>
      <c r="N60" s="801"/>
      <c r="O60" s="801"/>
      <c r="P60" s="801"/>
      <c r="Q60" s="801"/>
      <c r="R60" s="801"/>
      <c r="S60" s="801"/>
      <c r="T60" s="801"/>
      <c r="U60" s="801"/>
      <c r="V60" s="801"/>
      <c r="W60" s="827"/>
      <c r="X60" s="807"/>
      <c r="Y60" s="807"/>
      <c r="Z60" s="807"/>
      <c r="AA60" s="807"/>
      <c r="AB60" s="807"/>
      <c r="AC60" s="807"/>
      <c r="AD60" s="808"/>
      <c r="AE60" s="807"/>
    </row>
    <row r="61" spans="1:31" s="806" customFormat="1" x14ac:dyDescent="0.3">
      <c r="A61" s="807"/>
      <c r="B61" s="807"/>
      <c r="C61" s="807"/>
      <c r="E61" s="807"/>
      <c r="F61" s="801"/>
      <c r="G61" s="801"/>
      <c r="H61" s="801"/>
      <c r="I61" s="801"/>
      <c r="J61" s="801"/>
      <c r="K61" s="801"/>
      <c r="L61" s="801"/>
      <c r="M61" s="801"/>
      <c r="N61" s="801"/>
      <c r="O61" s="801"/>
      <c r="P61" s="801"/>
      <c r="Q61" s="801"/>
      <c r="R61" s="801"/>
      <c r="S61" s="801"/>
      <c r="T61" s="801"/>
      <c r="U61" s="801"/>
      <c r="V61" s="801"/>
      <c r="W61" s="827"/>
      <c r="X61" s="807"/>
      <c r="Y61" s="807"/>
      <c r="Z61" s="807"/>
      <c r="AA61" s="807"/>
      <c r="AB61" s="807"/>
      <c r="AC61" s="807"/>
      <c r="AD61" s="808"/>
      <c r="AE61" s="807"/>
    </row>
    <row r="62" spans="1:31" s="806" customFormat="1" x14ac:dyDescent="0.3">
      <c r="A62" s="807"/>
      <c r="B62" s="807"/>
      <c r="C62" s="807"/>
      <c r="E62" s="807"/>
      <c r="F62" s="801"/>
      <c r="G62" s="801"/>
      <c r="H62" s="801"/>
      <c r="I62" s="801"/>
      <c r="J62" s="801"/>
      <c r="K62" s="801"/>
      <c r="L62" s="801"/>
      <c r="M62" s="801"/>
      <c r="N62" s="801"/>
      <c r="O62" s="801"/>
      <c r="P62" s="801"/>
      <c r="Q62" s="801"/>
      <c r="R62" s="801"/>
      <c r="S62" s="801"/>
      <c r="T62" s="801"/>
      <c r="U62" s="801"/>
      <c r="V62" s="801"/>
      <c r="W62" s="827"/>
      <c r="X62" s="807"/>
      <c r="Y62" s="807"/>
      <c r="Z62" s="807"/>
      <c r="AA62" s="807"/>
      <c r="AB62" s="807"/>
      <c r="AC62" s="807"/>
      <c r="AD62" s="808"/>
      <c r="AE62" s="807"/>
    </row>
    <row r="63" spans="1:31" s="806" customFormat="1" x14ac:dyDescent="0.3">
      <c r="A63" s="807"/>
      <c r="B63" s="807"/>
      <c r="C63" s="807"/>
      <c r="E63" s="807"/>
      <c r="F63" s="801"/>
      <c r="G63" s="801"/>
      <c r="H63" s="801"/>
      <c r="I63" s="801"/>
      <c r="J63" s="801"/>
      <c r="K63" s="801"/>
      <c r="L63" s="801"/>
      <c r="M63" s="801"/>
      <c r="N63" s="801"/>
      <c r="O63" s="801"/>
      <c r="P63" s="801"/>
      <c r="Q63" s="801"/>
      <c r="R63" s="801"/>
      <c r="S63" s="801"/>
      <c r="T63" s="801"/>
      <c r="U63" s="801"/>
      <c r="V63" s="801"/>
      <c r="W63" s="827"/>
      <c r="X63" s="807"/>
      <c r="Y63" s="807"/>
      <c r="Z63" s="807"/>
      <c r="AA63" s="807"/>
      <c r="AB63" s="807"/>
      <c r="AC63" s="807"/>
      <c r="AD63" s="808"/>
      <c r="AE63" s="807"/>
    </row>
    <row r="64" spans="1:31" s="806" customFormat="1" x14ac:dyDescent="0.3">
      <c r="A64" s="807"/>
      <c r="B64" s="807"/>
      <c r="C64" s="807"/>
      <c r="E64" s="807"/>
      <c r="F64" s="801"/>
      <c r="G64" s="801"/>
      <c r="H64" s="801"/>
      <c r="I64" s="801"/>
      <c r="J64" s="801"/>
      <c r="K64" s="801"/>
      <c r="L64" s="801"/>
      <c r="M64" s="801"/>
      <c r="N64" s="801"/>
      <c r="O64" s="801"/>
      <c r="P64" s="801"/>
      <c r="Q64" s="801"/>
      <c r="R64" s="801"/>
      <c r="S64" s="801"/>
      <c r="T64" s="801"/>
      <c r="U64" s="801"/>
      <c r="V64" s="801"/>
      <c r="W64" s="827"/>
      <c r="X64" s="807"/>
      <c r="Y64" s="807"/>
      <c r="Z64" s="807"/>
      <c r="AA64" s="807"/>
      <c r="AB64" s="807"/>
      <c r="AC64" s="807"/>
      <c r="AD64" s="808"/>
      <c r="AE64" s="807"/>
    </row>
    <row r="65" spans="1:31" s="806" customFormat="1" x14ac:dyDescent="0.3">
      <c r="A65" s="807"/>
      <c r="B65" s="807"/>
      <c r="C65" s="807"/>
      <c r="E65" s="807"/>
      <c r="F65" s="801"/>
      <c r="G65" s="801"/>
      <c r="H65" s="801"/>
      <c r="I65" s="801"/>
      <c r="J65" s="801"/>
      <c r="K65" s="801"/>
      <c r="L65" s="801"/>
      <c r="M65" s="801"/>
      <c r="N65" s="801"/>
      <c r="O65" s="801"/>
      <c r="P65" s="801"/>
      <c r="Q65" s="801"/>
      <c r="R65" s="801"/>
      <c r="S65" s="801"/>
      <c r="T65" s="801"/>
      <c r="U65" s="801"/>
      <c r="V65" s="801"/>
      <c r="W65" s="827"/>
      <c r="X65" s="807"/>
      <c r="Y65" s="807"/>
      <c r="Z65" s="807"/>
      <c r="AA65" s="807"/>
      <c r="AB65" s="807"/>
      <c r="AC65" s="807"/>
      <c r="AD65" s="808"/>
      <c r="AE65" s="807"/>
    </row>
    <row r="66" spans="1:31" s="806" customFormat="1" x14ac:dyDescent="0.3">
      <c r="A66" s="807"/>
      <c r="B66" s="807"/>
      <c r="C66" s="807"/>
      <c r="E66" s="807"/>
      <c r="F66" s="801"/>
      <c r="G66" s="801"/>
      <c r="H66" s="801"/>
      <c r="I66" s="801"/>
      <c r="J66" s="801"/>
      <c r="K66" s="801"/>
      <c r="L66" s="801"/>
      <c r="M66" s="801"/>
      <c r="N66" s="801"/>
      <c r="O66" s="801"/>
      <c r="P66" s="801"/>
      <c r="Q66" s="801"/>
      <c r="R66" s="801"/>
      <c r="S66" s="801"/>
      <c r="T66" s="801"/>
      <c r="U66" s="801"/>
      <c r="V66" s="801"/>
      <c r="W66" s="827"/>
      <c r="X66" s="807"/>
      <c r="Y66" s="807"/>
      <c r="Z66" s="807"/>
      <c r="AA66" s="807"/>
      <c r="AB66" s="807"/>
      <c r="AC66" s="807"/>
      <c r="AD66" s="808"/>
      <c r="AE66" s="807"/>
    </row>
    <row r="67" spans="1:31" s="806" customFormat="1" x14ac:dyDescent="0.3">
      <c r="A67" s="807"/>
      <c r="B67" s="807"/>
      <c r="C67" s="807"/>
      <c r="E67" s="807"/>
      <c r="F67" s="801"/>
      <c r="G67" s="801"/>
      <c r="H67" s="801"/>
      <c r="I67" s="801"/>
      <c r="J67" s="801"/>
      <c r="K67" s="801"/>
      <c r="L67" s="801"/>
      <c r="M67" s="801"/>
      <c r="N67" s="801"/>
      <c r="O67" s="801"/>
      <c r="P67" s="801"/>
      <c r="Q67" s="801"/>
      <c r="R67" s="801"/>
      <c r="S67" s="801"/>
      <c r="T67" s="801"/>
      <c r="U67" s="801"/>
      <c r="V67" s="801"/>
      <c r="W67" s="827"/>
      <c r="X67" s="807"/>
      <c r="Y67" s="807"/>
      <c r="Z67" s="807"/>
      <c r="AA67" s="807"/>
      <c r="AB67" s="807"/>
      <c r="AC67" s="807"/>
      <c r="AD67" s="808"/>
      <c r="AE67" s="807"/>
    </row>
    <row r="68" spans="1:31" s="806" customFormat="1" x14ac:dyDescent="0.3">
      <c r="A68" s="807"/>
      <c r="B68" s="807"/>
      <c r="C68" s="807"/>
      <c r="E68" s="807"/>
      <c r="F68" s="801"/>
      <c r="G68" s="801"/>
      <c r="H68" s="801"/>
      <c r="I68" s="801"/>
      <c r="J68" s="801"/>
      <c r="K68" s="801"/>
      <c r="L68" s="801"/>
      <c r="M68" s="801"/>
      <c r="N68" s="801"/>
      <c r="O68" s="801"/>
      <c r="P68" s="801"/>
      <c r="Q68" s="801"/>
      <c r="R68" s="801"/>
      <c r="S68" s="801"/>
      <c r="T68" s="801"/>
      <c r="U68" s="801"/>
      <c r="V68" s="801"/>
      <c r="W68" s="827"/>
      <c r="X68" s="807"/>
      <c r="Y68" s="807"/>
      <c r="Z68" s="807"/>
      <c r="AA68" s="807"/>
      <c r="AB68" s="807"/>
      <c r="AC68" s="807"/>
      <c r="AD68" s="808"/>
      <c r="AE68" s="807"/>
    </row>
    <row r="69" spans="1:31" s="806" customFormat="1" x14ac:dyDescent="0.3">
      <c r="A69" s="807"/>
      <c r="B69" s="807"/>
      <c r="C69" s="807"/>
      <c r="E69" s="807"/>
      <c r="F69" s="801"/>
      <c r="G69" s="801"/>
      <c r="H69" s="801"/>
      <c r="I69" s="801"/>
      <c r="J69" s="801"/>
      <c r="K69" s="801"/>
      <c r="L69" s="801"/>
      <c r="M69" s="801"/>
      <c r="N69" s="801"/>
      <c r="O69" s="801"/>
      <c r="P69" s="801"/>
      <c r="Q69" s="801"/>
      <c r="R69" s="801"/>
      <c r="S69" s="801"/>
      <c r="T69" s="801"/>
      <c r="U69" s="801"/>
      <c r="V69" s="801"/>
      <c r="W69" s="827"/>
      <c r="X69" s="807"/>
      <c r="Y69" s="807"/>
      <c r="Z69" s="807"/>
      <c r="AA69" s="807"/>
      <c r="AB69" s="807"/>
      <c r="AC69" s="807"/>
      <c r="AD69" s="808"/>
      <c r="AE69" s="807"/>
    </row>
    <row r="70" spans="1:31" s="806" customFormat="1" x14ac:dyDescent="0.3">
      <c r="A70" s="807"/>
      <c r="B70" s="807"/>
      <c r="C70" s="807"/>
      <c r="E70" s="807"/>
      <c r="F70" s="801"/>
      <c r="G70" s="801"/>
      <c r="H70" s="801"/>
      <c r="I70" s="801"/>
      <c r="J70" s="801"/>
      <c r="K70" s="801"/>
      <c r="L70" s="801"/>
      <c r="M70" s="801"/>
      <c r="N70" s="801"/>
      <c r="O70" s="801"/>
      <c r="P70" s="801"/>
      <c r="Q70" s="801"/>
      <c r="R70" s="801"/>
      <c r="S70" s="801"/>
      <c r="T70" s="801"/>
      <c r="U70" s="801"/>
      <c r="V70" s="801"/>
      <c r="W70" s="827"/>
      <c r="X70" s="807"/>
      <c r="Y70" s="807"/>
      <c r="Z70" s="807"/>
      <c r="AA70" s="807"/>
      <c r="AB70" s="807"/>
      <c r="AC70" s="807"/>
      <c r="AD70" s="808"/>
      <c r="AE70" s="807"/>
    </row>
    <row r="71" spans="1:31" s="806" customFormat="1" x14ac:dyDescent="0.3">
      <c r="A71" s="807"/>
      <c r="B71" s="807"/>
      <c r="C71" s="807"/>
      <c r="E71" s="807"/>
      <c r="F71" s="801"/>
      <c r="G71" s="801"/>
      <c r="H71" s="801"/>
      <c r="I71" s="801"/>
      <c r="J71" s="801"/>
      <c r="K71" s="801"/>
      <c r="L71" s="801"/>
      <c r="M71" s="801"/>
      <c r="N71" s="801"/>
      <c r="O71" s="801"/>
      <c r="P71" s="801"/>
      <c r="Q71" s="801"/>
      <c r="R71" s="801"/>
      <c r="S71" s="801"/>
      <c r="T71" s="801"/>
      <c r="U71" s="801"/>
      <c r="V71" s="801"/>
      <c r="W71" s="827"/>
      <c r="X71" s="807"/>
      <c r="Y71" s="807"/>
      <c r="Z71" s="807"/>
      <c r="AA71" s="807"/>
      <c r="AB71" s="807"/>
      <c r="AC71" s="807"/>
      <c r="AD71" s="808"/>
      <c r="AE71" s="807"/>
    </row>
    <row r="72" spans="1:31" s="806" customFormat="1" x14ac:dyDescent="0.3">
      <c r="A72" s="807"/>
      <c r="B72" s="807"/>
      <c r="C72" s="807"/>
      <c r="E72" s="807"/>
      <c r="F72" s="801"/>
      <c r="G72" s="801"/>
      <c r="H72" s="801"/>
      <c r="I72" s="801"/>
      <c r="J72" s="801"/>
      <c r="K72" s="801"/>
      <c r="L72" s="801"/>
      <c r="M72" s="801"/>
      <c r="N72" s="801"/>
      <c r="O72" s="801"/>
      <c r="P72" s="801"/>
      <c r="Q72" s="801"/>
      <c r="R72" s="801"/>
      <c r="S72" s="801"/>
      <c r="T72" s="801"/>
      <c r="U72" s="801"/>
      <c r="V72" s="801"/>
      <c r="W72" s="827"/>
      <c r="X72" s="807"/>
      <c r="Y72" s="807"/>
      <c r="Z72" s="807"/>
      <c r="AA72" s="807"/>
      <c r="AB72" s="807"/>
      <c r="AC72" s="807"/>
      <c r="AD72" s="808"/>
      <c r="AE72" s="807"/>
    </row>
    <row r="73" spans="1:31" s="806" customFormat="1" x14ac:dyDescent="0.3">
      <c r="A73" s="807"/>
      <c r="B73" s="807"/>
      <c r="C73" s="807"/>
      <c r="E73" s="807"/>
      <c r="F73" s="801"/>
      <c r="G73" s="801"/>
      <c r="H73" s="801"/>
      <c r="I73" s="801"/>
      <c r="J73" s="801"/>
      <c r="K73" s="801"/>
      <c r="L73" s="801"/>
      <c r="M73" s="801"/>
      <c r="N73" s="801"/>
      <c r="O73" s="801"/>
      <c r="P73" s="801"/>
      <c r="Q73" s="801"/>
      <c r="R73" s="801"/>
      <c r="S73" s="801"/>
      <c r="T73" s="801"/>
      <c r="U73" s="801"/>
      <c r="V73" s="801"/>
      <c r="W73" s="827"/>
      <c r="X73" s="807"/>
      <c r="Y73" s="807"/>
      <c r="Z73" s="807"/>
      <c r="AA73" s="807"/>
      <c r="AB73" s="807"/>
      <c r="AC73" s="807"/>
      <c r="AD73" s="808"/>
      <c r="AE73" s="807"/>
    </row>
    <row r="74" spans="1:31" s="806" customFormat="1" x14ac:dyDescent="0.3">
      <c r="A74" s="807"/>
      <c r="B74" s="807"/>
      <c r="C74" s="807"/>
      <c r="E74" s="807"/>
      <c r="F74" s="801"/>
      <c r="G74" s="801"/>
      <c r="H74" s="801"/>
      <c r="I74" s="801"/>
      <c r="J74" s="801"/>
      <c r="K74" s="801"/>
      <c r="L74" s="801"/>
      <c r="M74" s="801"/>
      <c r="N74" s="801"/>
      <c r="O74" s="801"/>
      <c r="P74" s="801"/>
      <c r="Q74" s="801"/>
      <c r="R74" s="801"/>
      <c r="S74" s="801"/>
      <c r="T74" s="801"/>
      <c r="U74" s="801"/>
      <c r="V74" s="801"/>
      <c r="W74" s="827"/>
      <c r="X74" s="807"/>
      <c r="Y74" s="807"/>
      <c r="Z74" s="807"/>
      <c r="AA74" s="807"/>
      <c r="AB74" s="807"/>
      <c r="AC74" s="807"/>
      <c r="AD74" s="808"/>
      <c r="AE74" s="807"/>
    </row>
    <row r="75" spans="1:31" s="806" customFormat="1" x14ac:dyDescent="0.3">
      <c r="A75" s="807"/>
      <c r="B75" s="807"/>
      <c r="C75" s="807"/>
      <c r="E75" s="807"/>
      <c r="F75" s="801"/>
      <c r="G75" s="801"/>
      <c r="H75" s="801"/>
      <c r="I75" s="801"/>
      <c r="J75" s="801"/>
      <c r="K75" s="801"/>
      <c r="L75" s="801"/>
      <c r="M75" s="801"/>
      <c r="N75" s="801"/>
      <c r="O75" s="801"/>
      <c r="P75" s="801"/>
      <c r="Q75" s="801"/>
      <c r="R75" s="801"/>
      <c r="S75" s="801"/>
      <c r="T75" s="801"/>
      <c r="U75" s="801"/>
      <c r="V75" s="801"/>
      <c r="W75" s="827"/>
      <c r="X75" s="807"/>
      <c r="Y75" s="807"/>
      <c r="Z75" s="807"/>
      <c r="AA75" s="807"/>
      <c r="AB75" s="807"/>
      <c r="AC75" s="807"/>
      <c r="AD75" s="808"/>
      <c r="AE75" s="807"/>
    </row>
    <row r="76" spans="1:31" s="806" customFormat="1" x14ac:dyDescent="0.3">
      <c r="A76" s="807"/>
      <c r="B76" s="807"/>
      <c r="C76" s="807"/>
      <c r="E76" s="807"/>
      <c r="F76" s="801"/>
      <c r="G76" s="801"/>
      <c r="H76" s="801"/>
      <c r="I76" s="801"/>
      <c r="J76" s="801"/>
      <c r="K76" s="801"/>
      <c r="L76" s="801"/>
      <c r="M76" s="801"/>
      <c r="N76" s="801"/>
      <c r="O76" s="801"/>
      <c r="P76" s="801"/>
      <c r="Q76" s="801"/>
      <c r="R76" s="801"/>
      <c r="S76" s="801"/>
      <c r="T76" s="801"/>
      <c r="U76" s="801"/>
      <c r="V76" s="801"/>
      <c r="W76" s="827"/>
      <c r="X76" s="807"/>
      <c r="Y76" s="807"/>
      <c r="Z76" s="807"/>
      <c r="AA76" s="807"/>
      <c r="AB76" s="807"/>
      <c r="AC76" s="807"/>
      <c r="AD76" s="808"/>
      <c r="AE76" s="807"/>
    </row>
    <row r="77" spans="1:31" s="806" customFormat="1" x14ac:dyDescent="0.3">
      <c r="A77" s="807"/>
      <c r="B77" s="807"/>
      <c r="C77" s="807"/>
      <c r="E77" s="807"/>
      <c r="F77" s="801"/>
      <c r="G77" s="801"/>
      <c r="H77" s="801"/>
      <c r="I77" s="801"/>
      <c r="J77" s="801"/>
      <c r="K77" s="801"/>
      <c r="L77" s="801"/>
      <c r="M77" s="801"/>
      <c r="N77" s="801"/>
      <c r="O77" s="801"/>
      <c r="P77" s="801"/>
      <c r="Q77" s="801"/>
      <c r="R77" s="801"/>
      <c r="S77" s="801"/>
      <c r="T77" s="801"/>
      <c r="U77" s="801"/>
      <c r="V77" s="801"/>
      <c r="W77" s="827"/>
      <c r="X77" s="807"/>
      <c r="Y77" s="807"/>
      <c r="Z77" s="807"/>
      <c r="AA77" s="807"/>
      <c r="AB77" s="807"/>
      <c r="AC77" s="807"/>
      <c r="AD77" s="808"/>
      <c r="AE77" s="807"/>
    </row>
    <row r="78" spans="1:31" s="806" customFormat="1" x14ac:dyDescent="0.3">
      <c r="A78" s="807"/>
      <c r="B78" s="807"/>
      <c r="C78" s="807"/>
      <c r="E78" s="807"/>
      <c r="F78" s="801"/>
      <c r="G78" s="801"/>
      <c r="H78" s="801"/>
      <c r="I78" s="801"/>
      <c r="J78" s="801"/>
      <c r="K78" s="801"/>
      <c r="L78" s="801"/>
      <c r="M78" s="801"/>
      <c r="N78" s="801"/>
      <c r="O78" s="801"/>
      <c r="P78" s="801"/>
      <c r="Q78" s="801"/>
      <c r="R78" s="801"/>
      <c r="S78" s="801"/>
      <c r="T78" s="801"/>
      <c r="U78" s="801"/>
      <c r="V78" s="801"/>
      <c r="W78" s="827"/>
      <c r="X78" s="807"/>
      <c r="Y78" s="807"/>
      <c r="Z78" s="807"/>
      <c r="AA78" s="807"/>
      <c r="AB78" s="807"/>
      <c r="AC78" s="807"/>
      <c r="AD78" s="808"/>
      <c r="AE78" s="807"/>
    </row>
    <row r="79" spans="1:31" s="806" customFormat="1" x14ac:dyDescent="0.3">
      <c r="A79" s="807"/>
      <c r="B79" s="807"/>
      <c r="C79" s="807"/>
      <c r="E79" s="807"/>
      <c r="F79" s="801"/>
      <c r="G79" s="801"/>
      <c r="H79" s="801"/>
      <c r="I79" s="801"/>
      <c r="J79" s="801"/>
      <c r="K79" s="801"/>
      <c r="L79" s="801"/>
      <c r="M79" s="801"/>
      <c r="N79" s="801"/>
      <c r="O79" s="801"/>
      <c r="P79" s="801"/>
      <c r="Q79" s="801"/>
      <c r="R79" s="801"/>
      <c r="S79" s="801"/>
      <c r="T79" s="801"/>
      <c r="U79" s="801"/>
      <c r="V79" s="801"/>
      <c r="W79" s="827"/>
      <c r="X79" s="807"/>
      <c r="Y79" s="807"/>
      <c r="Z79" s="807"/>
      <c r="AA79" s="807"/>
      <c r="AB79" s="807"/>
      <c r="AC79" s="807"/>
      <c r="AD79" s="808"/>
      <c r="AE79" s="807"/>
    </row>
    <row r="80" spans="1:31" s="806" customFormat="1" x14ac:dyDescent="0.3">
      <c r="A80" s="807"/>
      <c r="B80" s="807"/>
      <c r="C80" s="807"/>
      <c r="E80" s="807"/>
      <c r="F80" s="801"/>
      <c r="G80" s="801"/>
      <c r="H80" s="801"/>
      <c r="I80" s="801"/>
      <c r="J80" s="801"/>
      <c r="K80" s="801"/>
      <c r="L80" s="801"/>
      <c r="M80" s="801"/>
      <c r="N80" s="801"/>
      <c r="O80" s="801"/>
      <c r="P80" s="801"/>
      <c r="Q80" s="801"/>
      <c r="R80" s="801"/>
      <c r="S80" s="801"/>
      <c r="T80" s="801"/>
      <c r="U80" s="801"/>
      <c r="V80" s="801"/>
      <c r="W80" s="827"/>
      <c r="X80" s="807"/>
      <c r="Y80" s="807"/>
      <c r="Z80" s="807"/>
      <c r="AA80" s="807"/>
      <c r="AB80" s="807"/>
      <c r="AC80" s="807"/>
      <c r="AD80" s="808"/>
      <c r="AE80" s="807"/>
    </row>
    <row r="81" spans="1:31" s="806" customFormat="1" x14ac:dyDescent="0.3">
      <c r="A81" s="807"/>
      <c r="B81" s="807"/>
      <c r="C81" s="807"/>
      <c r="E81" s="807"/>
      <c r="F81" s="801"/>
      <c r="G81" s="801"/>
      <c r="H81" s="801"/>
      <c r="I81" s="801"/>
      <c r="J81" s="801"/>
      <c r="K81" s="801"/>
      <c r="L81" s="801"/>
      <c r="M81" s="801"/>
      <c r="N81" s="801"/>
      <c r="O81" s="801"/>
      <c r="P81" s="801"/>
      <c r="Q81" s="801"/>
      <c r="R81" s="801"/>
      <c r="S81" s="801"/>
      <c r="T81" s="801"/>
      <c r="U81" s="801"/>
      <c r="V81" s="801"/>
      <c r="W81" s="827"/>
      <c r="X81" s="807"/>
      <c r="Y81" s="807"/>
      <c r="Z81" s="807"/>
      <c r="AA81" s="807"/>
      <c r="AB81" s="807"/>
      <c r="AC81" s="807"/>
      <c r="AD81" s="808"/>
      <c r="AE81" s="807"/>
    </row>
    <row r="82" spans="1:31" s="806" customFormat="1" x14ac:dyDescent="0.3">
      <c r="A82" s="807"/>
      <c r="B82" s="807"/>
      <c r="C82" s="807"/>
      <c r="E82" s="807"/>
      <c r="F82" s="801"/>
      <c r="G82" s="801"/>
      <c r="H82" s="801"/>
      <c r="I82" s="801"/>
      <c r="J82" s="801"/>
      <c r="K82" s="801"/>
      <c r="L82" s="801"/>
      <c r="M82" s="801"/>
      <c r="N82" s="801"/>
      <c r="O82" s="801"/>
      <c r="P82" s="801"/>
      <c r="Q82" s="801"/>
      <c r="R82" s="801"/>
      <c r="S82" s="801"/>
      <c r="T82" s="801"/>
      <c r="U82" s="801"/>
      <c r="V82" s="801"/>
      <c r="W82" s="827"/>
      <c r="X82" s="807"/>
      <c r="Y82" s="807"/>
      <c r="Z82" s="807"/>
      <c r="AA82" s="807"/>
      <c r="AB82" s="807"/>
      <c r="AC82" s="807"/>
      <c r="AD82" s="808"/>
      <c r="AE82" s="807"/>
    </row>
    <row r="83" spans="1:31" s="806" customFormat="1" x14ac:dyDescent="0.3">
      <c r="A83" s="807"/>
      <c r="B83" s="807"/>
      <c r="C83" s="807"/>
      <c r="E83" s="807"/>
      <c r="F83" s="801"/>
      <c r="G83" s="801"/>
      <c r="H83" s="801"/>
      <c r="I83" s="801"/>
      <c r="J83" s="801"/>
      <c r="K83" s="801"/>
      <c r="L83" s="801"/>
      <c r="M83" s="801"/>
      <c r="N83" s="801"/>
      <c r="O83" s="801"/>
      <c r="P83" s="801"/>
      <c r="Q83" s="801"/>
      <c r="R83" s="801"/>
      <c r="S83" s="801"/>
      <c r="T83" s="801"/>
      <c r="U83" s="801"/>
      <c r="V83" s="801"/>
      <c r="W83" s="827"/>
      <c r="X83" s="807"/>
      <c r="Y83" s="807"/>
      <c r="Z83" s="807"/>
      <c r="AA83" s="807"/>
      <c r="AB83" s="807"/>
      <c r="AC83" s="807"/>
      <c r="AD83" s="808"/>
      <c r="AE83" s="807"/>
    </row>
    <row r="84" spans="1:31" s="806" customFormat="1" x14ac:dyDescent="0.3">
      <c r="A84" s="807"/>
      <c r="B84" s="807"/>
      <c r="C84" s="807"/>
      <c r="E84" s="807"/>
      <c r="F84" s="801"/>
      <c r="G84" s="801"/>
      <c r="H84" s="801"/>
      <c r="I84" s="801"/>
      <c r="J84" s="801"/>
      <c r="K84" s="801"/>
      <c r="L84" s="801"/>
      <c r="M84" s="801"/>
      <c r="N84" s="801"/>
      <c r="O84" s="801"/>
      <c r="P84" s="801"/>
      <c r="Q84" s="801"/>
      <c r="R84" s="801"/>
      <c r="S84" s="801"/>
      <c r="T84" s="801"/>
      <c r="U84" s="801"/>
      <c r="V84" s="801"/>
      <c r="W84" s="827"/>
      <c r="X84" s="807"/>
      <c r="Y84" s="807"/>
      <c r="Z84" s="807"/>
      <c r="AA84" s="807"/>
      <c r="AB84" s="807"/>
      <c r="AC84" s="807"/>
      <c r="AD84" s="808"/>
      <c r="AE84" s="807"/>
    </row>
    <row r="85" spans="1:31" s="806" customFormat="1" x14ac:dyDescent="0.3">
      <c r="A85" s="807"/>
      <c r="B85" s="807"/>
      <c r="C85" s="807"/>
      <c r="E85" s="807"/>
      <c r="F85" s="801"/>
      <c r="G85" s="801"/>
      <c r="H85" s="801"/>
      <c r="I85" s="801"/>
      <c r="J85" s="801"/>
      <c r="K85" s="801"/>
      <c r="L85" s="801"/>
      <c r="M85" s="801"/>
      <c r="N85" s="801"/>
      <c r="O85" s="801"/>
      <c r="P85" s="801"/>
      <c r="Q85" s="801"/>
      <c r="R85" s="801"/>
      <c r="S85" s="801"/>
      <c r="T85" s="801"/>
      <c r="U85" s="801"/>
      <c r="V85" s="801"/>
      <c r="W85" s="827"/>
      <c r="X85" s="807"/>
      <c r="Y85" s="807"/>
      <c r="Z85" s="807"/>
      <c r="AA85" s="807"/>
      <c r="AB85" s="807"/>
      <c r="AC85" s="807"/>
      <c r="AD85" s="808"/>
      <c r="AE85" s="807"/>
    </row>
    <row r="86" spans="1:31" s="806" customFormat="1" x14ac:dyDescent="0.3">
      <c r="A86" s="807"/>
      <c r="B86" s="807"/>
      <c r="C86" s="807"/>
      <c r="E86" s="807"/>
      <c r="F86" s="801"/>
      <c r="G86" s="801"/>
      <c r="H86" s="801"/>
      <c r="I86" s="801"/>
      <c r="J86" s="801"/>
      <c r="K86" s="801"/>
      <c r="L86" s="801"/>
      <c r="M86" s="801"/>
      <c r="N86" s="801"/>
      <c r="O86" s="801"/>
      <c r="P86" s="801"/>
      <c r="Q86" s="801"/>
      <c r="R86" s="801"/>
      <c r="S86" s="801"/>
      <c r="T86" s="801"/>
      <c r="U86" s="801"/>
      <c r="V86" s="801"/>
      <c r="W86" s="827"/>
      <c r="X86" s="807"/>
      <c r="Y86" s="807"/>
      <c r="Z86" s="807"/>
      <c r="AA86" s="807"/>
      <c r="AB86" s="807"/>
      <c r="AC86" s="807"/>
      <c r="AD86" s="808"/>
      <c r="AE86" s="807"/>
    </row>
    <row r="87" spans="1:31" s="806" customFormat="1" x14ac:dyDescent="0.3">
      <c r="A87" s="807"/>
      <c r="B87" s="807"/>
      <c r="C87" s="807"/>
      <c r="E87" s="807"/>
      <c r="F87" s="801"/>
      <c r="G87" s="801"/>
      <c r="H87" s="801"/>
      <c r="I87" s="801"/>
      <c r="J87" s="801"/>
      <c r="K87" s="801"/>
      <c r="L87" s="801"/>
      <c r="M87" s="801"/>
      <c r="N87" s="801"/>
      <c r="O87" s="801"/>
      <c r="P87" s="801"/>
      <c r="Q87" s="801"/>
      <c r="R87" s="801"/>
      <c r="S87" s="801"/>
      <c r="T87" s="801"/>
      <c r="U87" s="801"/>
      <c r="V87" s="801"/>
      <c r="W87" s="827"/>
      <c r="X87" s="807"/>
      <c r="Y87" s="807"/>
      <c r="Z87" s="807"/>
      <c r="AA87" s="807"/>
      <c r="AB87" s="807"/>
      <c r="AC87" s="807"/>
      <c r="AD87" s="808"/>
      <c r="AE87" s="807"/>
    </row>
    <row r="88" spans="1:31" s="806" customFormat="1" x14ac:dyDescent="0.3">
      <c r="A88" s="807"/>
      <c r="B88" s="807"/>
      <c r="C88" s="807"/>
      <c r="E88" s="807"/>
      <c r="F88" s="801"/>
      <c r="G88" s="801"/>
      <c r="H88" s="801"/>
      <c r="I88" s="801"/>
      <c r="J88" s="801"/>
      <c r="K88" s="801"/>
      <c r="L88" s="801"/>
      <c r="M88" s="801"/>
      <c r="N88" s="801"/>
      <c r="O88" s="801"/>
      <c r="P88" s="801"/>
      <c r="Q88" s="801"/>
      <c r="R88" s="801"/>
      <c r="S88" s="801"/>
      <c r="T88" s="801"/>
      <c r="U88" s="801"/>
      <c r="V88" s="801"/>
      <c r="W88" s="827"/>
      <c r="X88" s="807"/>
      <c r="Y88" s="807"/>
      <c r="Z88" s="807"/>
      <c r="AA88" s="807"/>
      <c r="AB88" s="807"/>
      <c r="AC88" s="807"/>
      <c r="AD88" s="808"/>
      <c r="AE88" s="807"/>
    </row>
    <row r="89" spans="1:31" s="806" customFormat="1" x14ac:dyDescent="0.3">
      <c r="A89" s="807"/>
      <c r="B89" s="807"/>
      <c r="C89" s="807"/>
      <c r="E89" s="807"/>
      <c r="F89" s="801"/>
      <c r="G89" s="801"/>
      <c r="H89" s="801"/>
      <c r="I89" s="801"/>
      <c r="J89" s="801"/>
      <c r="K89" s="801"/>
      <c r="L89" s="801"/>
      <c r="M89" s="801"/>
      <c r="N89" s="801"/>
      <c r="O89" s="801"/>
      <c r="P89" s="801"/>
      <c r="Q89" s="801"/>
      <c r="R89" s="801"/>
      <c r="S89" s="801"/>
      <c r="T89" s="801"/>
      <c r="U89" s="801"/>
      <c r="V89" s="801"/>
      <c r="W89" s="827"/>
      <c r="X89" s="807"/>
      <c r="Y89" s="807"/>
      <c r="Z89" s="807"/>
      <c r="AA89" s="807"/>
      <c r="AB89" s="807"/>
      <c r="AC89" s="807"/>
      <c r="AD89" s="808"/>
      <c r="AE89" s="807"/>
    </row>
    <row r="90" spans="1:31" s="806" customFormat="1" x14ac:dyDescent="0.3">
      <c r="A90" s="807"/>
      <c r="B90" s="807"/>
      <c r="C90" s="807"/>
      <c r="E90" s="807"/>
      <c r="F90" s="801"/>
      <c r="G90" s="801"/>
      <c r="H90" s="801"/>
      <c r="I90" s="801"/>
      <c r="J90" s="801"/>
      <c r="K90" s="801"/>
      <c r="L90" s="801"/>
      <c r="M90" s="801"/>
      <c r="N90" s="801"/>
      <c r="O90" s="801"/>
      <c r="P90" s="801"/>
      <c r="Q90" s="801"/>
      <c r="R90" s="801"/>
      <c r="S90" s="801"/>
      <c r="T90" s="801"/>
      <c r="U90" s="801"/>
      <c r="V90" s="801"/>
      <c r="W90" s="827"/>
      <c r="X90" s="807"/>
      <c r="Y90" s="807"/>
      <c r="Z90" s="807"/>
      <c r="AA90" s="807"/>
      <c r="AB90" s="807"/>
      <c r="AC90" s="807"/>
      <c r="AD90" s="808"/>
      <c r="AE90" s="807"/>
    </row>
    <row r="91" spans="1:31" s="806" customFormat="1" x14ac:dyDescent="0.3">
      <c r="A91" s="807"/>
      <c r="B91" s="807"/>
      <c r="C91" s="807"/>
      <c r="E91" s="807"/>
      <c r="F91" s="801"/>
      <c r="G91" s="801"/>
      <c r="H91" s="801"/>
      <c r="I91" s="801"/>
      <c r="J91" s="801"/>
      <c r="K91" s="801"/>
      <c r="L91" s="801"/>
      <c r="M91" s="801"/>
      <c r="N91" s="801"/>
      <c r="O91" s="801"/>
      <c r="P91" s="801"/>
      <c r="Q91" s="801"/>
      <c r="R91" s="801"/>
      <c r="S91" s="801"/>
      <c r="T91" s="801"/>
      <c r="U91" s="801"/>
      <c r="V91" s="801"/>
      <c r="W91" s="827"/>
      <c r="X91" s="807"/>
      <c r="Y91" s="807"/>
      <c r="Z91" s="807"/>
      <c r="AA91" s="807"/>
      <c r="AB91" s="807"/>
      <c r="AC91" s="807"/>
      <c r="AD91" s="808"/>
      <c r="AE91" s="807"/>
    </row>
    <row r="92" spans="1:31" s="806" customFormat="1" x14ac:dyDescent="0.3">
      <c r="A92" s="807"/>
      <c r="B92" s="807"/>
      <c r="C92" s="807"/>
      <c r="E92" s="807"/>
      <c r="F92" s="801"/>
      <c r="G92" s="801"/>
      <c r="H92" s="801"/>
      <c r="I92" s="801"/>
      <c r="J92" s="801"/>
      <c r="K92" s="801"/>
      <c r="L92" s="801"/>
      <c r="M92" s="801"/>
      <c r="N92" s="801"/>
      <c r="O92" s="801"/>
      <c r="P92" s="801"/>
      <c r="Q92" s="801"/>
      <c r="R92" s="801"/>
      <c r="S92" s="801"/>
      <c r="T92" s="801"/>
      <c r="U92" s="801"/>
      <c r="V92" s="801"/>
      <c r="W92" s="827"/>
      <c r="X92" s="807"/>
      <c r="Y92" s="807"/>
      <c r="Z92" s="807"/>
      <c r="AA92" s="807"/>
      <c r="AB92" s="807"/>
      <c r="AC92" s="807"/>
      <c r="AD92" s="808"/>
      <c r="AE92" s="807"/>
    </row>
    <row r="93" spans="1:31" s="806" customFormat="1" x14ac:dyDescent="0.3">
      <c r="A93" s="807"/>
      <c r="B93" s="807"/>
      <c r="C93" s="807"/>
      <c r="E93" s="807"/>
      <c r="F93" s="801"/>
      <c r="G93" s="801"/>
      <c r="H93" s="801"/>
      <c r="I93" s="801"/>
      <c r="J93" s="801"/>
      <c r="K93" s="801"/>
      <c r="L93" s="801"/>
      <c r="M93" s="801"/>
      <c r="N93" s="801"/>
      <c r="O93" s="801"/>
      <c r="P93" s="801"/>
      <c r="Q93" s="801"/>
      <c r="R93" s="801"/>
      <c r="S93" s="801"/>
      <c r="T93" s="801"/>
      <c r="U93" s="801"/>
      <c r="V93" s="801"/>
      <c r="W93" s="827"/>
      <c r="X93" s="807"/>
      <c r="Y93" s="807"/>
      <c r="Z93" s="807"/>
      <c r="AA93" s="807"/>
      <c r="AB93" s="807"/>
      <c r="AC93" s="807"/>
      <c r="AD93" s="808"/>
      <c r="AE93" s="807"/>
    </row>
    <row r="94" spans="1:31" s="806" customFormat="1" x14ac:dyDescent="0.3">
      <c r="A94" s="807"/>
      <c r="B94" s="807"/>
      <c r="C94" s="807"/>
      <c r="E94" s="807"/>
      <c r="F94" s="801"/>
      <c r="G94" s="801"/>
      <c r="H94" s="801"/>
      <c r="I94" s="801"/>
      <c r="J94" s="801"/>
      <c r="K94" s="801"/>
      <c r="L94" s="801"/>
      <c r="M94" s="801"/>
      <c r="N94" s="801"/>
      <c r="O94" s="801"/>
      <c r="P94" s="801"/>
      <c r="Q94" s="801"/>
      <c r="R94" s="801"/>
      <c r="S94" s="801"/>
      <c r="T94" s="801"/>
      <c r="U94" s="801"/>
      <c r="V94" s="801"/>
      <c r="W94" s="827"/>
      <c r="X94" s="807"/>
      <c r="Y94" s="807"/>
      <c r="Z94" s="807"/>
      <c r="AA94" s="807"/>
      <c r="AB94" s="807"/>
      <c r="AC94" s="807"/>
      <c r="AD94" s="808"/>
      <c r="AE94" s="807"/>
    </row>
    <row r="95" spans="1:31" s="806" customFormat="1" x14ac:dyDescent="0.3">
      <c r="A95" s="807"/>
      <c r="B95" s="807"/>
      <c r="C95" s="807"/>
      <c r="E95" s="807"/>
      <c r="F95" s="801"/>
      <c r="G95" s="801"/>
      <c r="H95" s="801"/>
      <c r="I95" s="801"/>
      <c r="J95" s="801"/>
      <c r="K95" s="801"/>
      <c r="L95" s="801"/>
      <c r="M95" s="801"/>
      <c r="N95" s="801"/>
      <c r="O95" s="801"/>
      <c r="P95" s="801"/>
      <c r="Q95" s="801"/>
      <c r="R95" s="801"/>
      <c r="S95" s="801"/>
      <c r="T95" s="801"/>
      <c r="U95" s="801"/>
      <c r="V95" s="801"/>
      <c r="W95" s="827"/>
      <c r="X95" s="807"/>
      <c r="Y95" s="807"/>
      <c r="Z95" s="807"/>
      <c r="AA95" s="807"/>
      <c r="AB95" s="807"/>
      <c r="AC95" s="807"/>
      <c r="AD95" s="808"/>
      <c r="AE95" s="807"/>
    </row>
    <row r="96" spans="1:31" s="806" customFormat="1" x14ac:dyDescent="0.3">
      <c r="A96" s="807"/>
      <c r="B96" s="807"/>
      <c r="C96" s="807"/>
      <c r="E96" s="807"/>
      <c r="F96" s="801"/>
      <c r="G96" s="801"/>
      <c r="H96" s="801"/>
      <c r="I96" s="801"/>
      <c r="J96" s="801"/>
      <c r="K96" s="801"/>
      <c r="L96" s="801"/>
      <c r="M96" s="801"/>
      <c r="N96" s="801"/>
      <c r="O96" s="801"/>
      <c r="P96" s="801"/>
      <c r="Q96" s="801"/>
      <c r="R96" s="801"/>
      <c r="S96" s="801"/>
      <c r="T96" s="801"/>
      <c r="U96" s="801"/>
      <c r="V96" s="801"/>
      <c r="W96" s="827"/>
      <c r="X96" s="807"/>
      <c r="Y96" s="807"/>
      <c r="Z96" s="807"/>
      <c r="AA96" s="807"/>
      <c r="AB96" s="807"/>
      <c r="AC96" s="807"/>
      <c r="AD96" s="808"/>
      <c r="AE96" s="807"/>
    </row>
    <row r="97" spans="1:31" s="806" customFormat="1" x14ac:dyDescent="0.3">
      <c r="A97" s="807"/>
      <c r="B97" s="807"/>
      <c r="C97" s="807"/>
      <c r="E97" s="807"/>
      <c r="F97" s="801"/>
      <c r="G97" s="801"/>
      <c r="H97" s="801"/>
      <c r="I97" s="801"/>
      <c r="J97" s="801"/>
      <c r="K97" s="801"/>
      <c r="L97" s="801"/>
      <c r="M97" s="801"/>
      <c r="N97" s="801"/>
      <c r="O97" s="801"/>
      <c r="P97" s="801"/>
      <c r="Q97" s="801"/>
      <c r="R97" s="801"/>
      <c r="S97" s="801"/>
      <c r="T97" s="801"/>
      <c r="U97" s="801"/>
      <c r="V97" s="801"/>
      <c r="W97" s="827"/>
      <c r="X97" s="807"/>
      <c r="Y97" s="807"/>
      <c r="Z97" s="807"/>
      <c r="AA97" s="807"/>
      <c r="AB97" s="807"/>
      <c r="AC97" s="807"/>
      <c r="AD97" s="808"/>
      <c r="AE97" s="807"/>
    </row>
    <row r="98" spans="1:31" s="806" customFormat="1" x14ac:dyDescent="0.3">
      <c r="A98" s="807"/>
      <c r="B98" s="807"/>
      <c r="C98" s="807"/>
      <c r="E98" s="807"/>
      <c r="F98" s="801"/>
      <c r="G98" s="801"/>
      <c r="H98" s="801"/>
      <c r="I98" s="801"/>
      <c r="J98" s="801"/>
      <c r="K98" s="801"/>
      <c r="L98" s="801"/>
      <c r="M98" s="801"/>
      <c r="N98" s="801"/>
      <c r="O98" s="801"/>
      <c r="P98" s="801"/>
      <c r="Q98" s="801"/>
      <c r="R98" s="801"/>
      <c r="S98" s="801"/>
      <c r="T98" s="801"/>
      <c r="U98" s="801"/>
      <c r="V98" s="801"/>
      <c r="W98" s="827"/>
      <c r="X98" s="807"/>
      <c r="Y98" s="807"/>
      <c r="Z98" s="807"/>
      <c r="AA98" s="807"/>
      <c r="AB98" s="807"/>
      <c r="AC98" s="807"/>
      <c r="AD98" s="808"/>
      <c r="AE98" s="807"/>
    </row>
    <row r="99" spans="1:31" s="806" customFormat="1" x14ac:dyDescent="0.3">
      <c r="A99" s="807"/>
      <c r="B99" s="807"/>
      <c r="C99" s="807"/>
      <c r="E99" s="807"/>
      <c r="F99" s="801"/>
      <c r="G99" s="801"/>
      <c r="H99" s="801"/>
      <c r="I99" s="801"/>
      <c r="J99" s="801"/>
      <c r="K99" s="801"/>
      <c r="L99" s="801"/>
      <c r="M99" s="801"/>
      <c r="N99" s="801"/>
      <c r="O99" s="801"/>
      <c r="P99" s="801"/>
      <c r="Q99" s="801"/>
      <c r="R99" s="801"/>
      <c r="S99" s="801"/>
      <c r="T99" s="801"/>
      <c r="U99" s="801"/>
      <c r="V99" s="801"/>
      <c r="W99" s="827"/>
      <c r="X99" s="807"/>
      <c r="Y99" s="807"/>
      <c r="Z99" s="807"/>
      <c r="AA99" s="807"/>
      <c r="AB99" s="807"/>
      <c r="AC99" s="807"/>
      <c r="AD99" s="808"/>
      <c r="AE99" s="807"/>
    </row>
    <row r="100" spans="1:31" s="806" customFormat="1" x14ac:dyDescent="0.3">
      <c r="A100" s="807"/>
      <c r="B100" s="807"/>
      <c r="C100" s="807"/>
      <c r="E100" s="807"/>
      <c r="F100" s="801"/>
      <c r="G100" s="801"/>
      <c r="H100" s="801"/>
      <c r="I100" s="801"/>
      <c r="J100" s="801"/>
      <c r="K100" s="801"/>
      <c r="L100" s="801"/>
      <c r="M100" s="801"/>
      <c r="N100" s="801"/>
      <c r="O100" s="801"/>
      <c r="P100" s="801"/>
      <c r="Q100" s="801"/>
      <c r="R100" s="801"/>
      <c r="S100" s="801"/>
      <c r="T100" s="801"/>
      <c r="U100" s="801"/>
      <c r="V100" s="801"/>
      <c r="W100" s="827"/>
      <c r="X100" s="807"/>
      <c r="Y100" s="807"/>
      <c r="Z100" s="807"/>
      <c r="AA100" s="807"/>
      <c r="AB100" s="807"/>
      <c r="AC100" s="807"/>
      <c r="AD100" s="808"/>
      <c r="AE100" s="807"/>
    </row>
    <row r="101" spans="1:31" s="806" customFormat="1" x14ac:dyDescent="0.3">
      <c r="A101" s="807"/>
      <c r="B101" s="807"/>
      <c r="C101" s="807"/>
      <c r="E101" s="807"/>
      <c r="F101" s="801"/>
      <c r="G101" s="801"/>
      <c r="H101" s="801"/>
      <c r="I101" s="801"/>
      <c r="J101" s="801"/>
      <c r="K101" s="801"/>
      <c r="L101" s="801"/>
      <c r="M101" s="801"/>
      <c r="N101" s="801"/>
      <c r="O101" s="801"/>
      <c r="P101" s="801"/>
      <c r="Q101" s="801"/>
      <c r="R101" s="801"/>
      <c r="S101" s="801"/>
      <c r="T101" s="801"/>
      <c r="U101" s="801"/>
      <c r="V101" s="801"/>
      <c r="W101" s="827"/>
      <c r="X101" s="807"/>
      <c r="Y101" s="807"/>
      <c r="Z101" s="807"/>
      <c r="AA101" s="807"/>
      <c r="AB101" s="807"/>
      <c r="AC101" s="807"/>
      <c r="AD101" s="808"/>
      <c r="AE101" s="807"/>
    </row>
    <row r="102" spans="1:31" s="806" customFormat="1" x14ac:dyDescent="0.3">
      <c r="A102" s="807"/>
      <c r="B102" s="807"/>
      <c r="C102" s="807"/>
      <c r="E102" s="807"/>
      <c r="F102" s="801"/>
      <c r="G102" s="801"/>
      <c r="H102" s="801"/>
      <c r="I102" s="801"/>
      <c r="J102" s="801"/>
      <c r="K102" s="801"/>
      <c r="L102" s="801"/>
      <c r="M102" s="801"/>
      <c r="N102" s="801"/>
      <c r="O102" s="801"/>
      <c r="P102" s="801"/>
      <c r="Q102" s="801"/>
      <c r="R102" s="801"/>
      <c r="S102" s="801"/>
      <c r="T102" s="801"/>
      <c r="U102" s="801"/>
      <c r="V102" s="801"/>
      <c r="W102" s="827"/>
      <c r="X102" s="807"/>
      <c r="Y102" s="807"/>
      <c r="Z102" s="807"/>
      <c r="AA102" s="807"/>
      <c r="AB102" s="807"/>
      <c r="AC102" s="807"/>
      <c r="AD102" s="808"/>
      <c r="AE102" s="807"/>
    </row>
    <row r="103" spans="1:31" s="806" customFormat="1" x14ac:dyDescent="0.3">
      <c r="A103" s="807"/>
      <c r="B103" s="807"/>
      <c r="C103" s="807"/>
      <c r="E103" s="807"/>
      <c r="F103" s="801"/>
      <c r="G103" s="801"/>
      <c r="H103" s="801"/>
      <c r="I103" s="801"/>
      <c r="J103" s="801"/>
      <c r="K103" s="801"/>
      <c r="L103" s="801"/>
      <c r="M103" s="801"/>
      <c r="N103" s="801"/>
      <c r="O103" s="801"/>
      <c r="P103" s="801"/>
      <c r="Q103" s="801"/>
      <c r="R103" s="801"/>
      <c r="S103" s="801"/>
      <c r="T103" s="801"/>
      <c r="U103" s="801"/>
      <c r="V103" s="801"/>
      <c r="W103" s="827"/>
      <c r="X103" s="807"/>
      <c r="Y103" s="807"/>
      <c r="Z103" s="807"/>
      <c r="AA103" s="807"/>
      <c r="AB103" s="807"/>
      <c r="AC103" s="807"/>
      <c r="AD103" s="808"/>
      <c r="AE103" s="807"/>
    </row>
    <row r="104" spans="1:31" s="806" customFormat="1" x14ac:dyDescent="0.3">
      <c r="A104" s="807"/>
      <c r="B104" s="807"/>
      <c r="C104" s="807"/>
      <c r="E104" s="807"/>
      <c r="F104" s="801"/>
      <c r="G104" s="801"/>
      <c r="H104" s="801"/>
      <c r="I104" s="801"/>
      <c r="J104" s="801"/>
      <c r="K104" s="801"/>
      <c r="L104" s="801"/>
      <c r="M104" s="801"/>
      <c r="N104" s="801"/>
      <c r="O104" s="801"/>
      <c r="P104" s="801"/>
      <c r="Q104" s="801"/>
      <c r="R104" s="801"/>
      <c r="S104" s="801"/>
      <c r="T104" s="801"/>
      <c r="U104" s="801"/>
      <c r="V104" s="801"/>
      <c r="W104" s="827"/>
      <c r="X104" s="807"/>
      <c r="Y104" s="807"/>
      <c r="Z104" s="807"/>
      <c r="AA104" s="807"/>
      <c r="AB104" s="807"/>
      <c r="AC104" s="807"/>
      <c r="AD104" s="808"/>
      <c r="AE104" s="807"/>
    </row>
    <row r="105" spans="1:31" s="806" customFormat="1" x14ac:dyDescent="0.3">
      <c r="A105" s="807"/>
      <c r="B105" s="807"/>
      <c r="C105" s="807"/>
      <c r="E105" s="807"/>
      <c r="F105" s="801"/>
      <c r="G105" s="801"/>
      <c r="H105" s="801"/>
      <c r="I105" s="801"/>
      <c r="J105" s="801"/>
      <c r="K105" s="801"/>
      <c r="L105" s="801"/>
      <c r="M105" s="801"/>
      <c r="N105" s="801"/>
      <c r="O105" s="801"/>
      <c r="P105" s="801"/>
      <c r="Q105" s="801"/>
      <c r="R105" s="801"/>
      <c r="S105" s="801"/>
      <c r="T105" s="801"/>
      <c r="U105" s="801"/>
      <c r="V105" s="801"/>
      <c r="W105" s="827"/>
      <c r="X105" s="807"/>
      <c r="Y105" s="807"/>
      <c r="Z105" s="807"/>
      <c r="AA105" s="807"/>
      <c r="AB105" s="807"/>
      <c r="AC105" s="807"/>
      <c r="AD105" s="808"/>
      <c r="AE105" s="807"/>
    </row>
    <row r="106" spans="1:31" s="806" customFormat="1" x14ac:dyDescent="0.3">
      <c r="A106" s="807"/>
      <c r="B106" s="807"/>
      <c r="C106" s="807"/>
      <c r="E106" s="807"/>
      <c r="F106" s="801"/>
      <c r="G106" s="801"/>
      <c r="H106" s="801"/>
      <c r="I106" s="801"/>
      <c r="J106" s="801"/>
      <c r="K106" s="801"/>
      <c r="L106" s="801"/>
      <c r="M106" s="801"/>
      <c r="N106" s="801"/>
      <c r="O106" s="801"/>
      <c r="P106" s="801"/>
      <c r="Q106" s="801"/>
      <c r="R106" s="801"/>
      <c r="S106" s="801"/>
      <c r="T106" s="801"/>
      <c r="U106" s="801"/>
      <c r="V106" s="801"/>
      <c r="W106" s="827"/>
      <c r="X106" s="807"/>
      <c r="Y106" s="807"/>
      <c r="Z106" s="807"/>
      <c r="AA106" s="807"/>
      <c r="AB106" s="807"/>
      <c r="AC106" s="807"/>
      <c r="AD106" s="808"/>
      <c r="AE106" s="807"/>
    </row>
    <row r="107" spans="1:31" s="806" customFormat="1" x14ac:dyDescent="0.3">
      <c r="A107" s="807"/>
      <c r="B107" s="807"/>
      <c r="C107" s="807"/>
      <c r="E107" s="807"/>
      <c r="F107" s="801"/>
      <c r="G107" s="801"/>
      <c r="H107" s="801"/>
      <c r="I107" s="801"/>
      <c r="J107" s="801"/>
      <c r="K107" s="801"/>
      <c r="L107" s="801"/>
      <c r="M107" s="801"/>
      <c r="N107" s="801"/>
      <c r="O107" s="801"/>
      <c r="P107" s="801"/>
      <c r="Q107" s="801"/>
      <c r="R107" s="801"/>
      <c r="S107" s="801"/>
      <c r="T107" s="801"/>
      <c r="U107" s="801"/>
      <c r="V107" s="801"/>
      <c r="W107" s="827"/>
      <c r="X107" s="807"/>
      <c r="Y107" s="807"/>
      <c r="Z107" s="807"/>
      <c r="AA107" s="807"/>
      <c r="AB107" s="807"/>
      <c r="AC107" s="807"/>
      <c r="AD107" s="808"/>
      <c r="AE107" s="807"/>
    </row>
    <row r="108" spans="1:31" s="806" customFormat="1" x14ac:dyDescent="0.3">
      <c r="A108" s="807"/>
      <c r="B108" s="807"/>
      <c r="C108" s="807"/>
      <c r="E108" s="807"/>
      <c r="F108" s="801"/>
      <c r="G108" s="801"/>
      <c r="H108" s="801"/>
      <c r="I108" s="801"/>
      <c r="J108" s="801"/>
      <c r="K108" s="801"/>
      <c r="L108" s="801"/>
      <c r="M108" s="801"/>
      <c r="N108" s="801"/>
      <c r="O108" s="801"/>
      <c r="P108" s="801"/>
      <c r="Q108" s="801"/>
      <c r="R108" s="801"/>
      <c r="S108" s="801"/>
      <c r="T108" s="801"/>
      <c r="U108" s="801"/>
      <c r="V108" s="801"/>
      <c r="W108" s="827"/>
      <c r="X108" s="807"/>
      <c r="Y108" s="807"/>
      <c r="Z108" s="807"/>
      <c r="AA108" s="807"/>
      <c r="AB108" s="807"/>
      <c r="AC108" s="807"/>
      <c r="AD108" s="808"/>
      <c r="AE108" s="807"/>
    </row>
    <row r="109" spans="1:31" s="806" customFormat="1" x14ac:dyDescent="0.3">
      <c r="A109" s="807"/>
      <c r="B109" s="807"/>
      <c r="C109" s="807"/>
      <c r="E109" s="807"/>
      <c r="F109" s="801"/>
      <c r="G109" s="801"/>
      <c r="H109" s="801"/>
      <c r="I109" s="801"/>
      <c r="J109" s="801"/>
      <c r="K109" s="801"/>
      <c r="L109" s="801"/>
      <c r="M109" s="801"/>
      <c r="N109" s="801"/>
      <c r="O109" s="801"/>
      <c r="P109" s="801"/>
      <c r="Q109" s="801"/>
      <c r="R109" s="801"/>
      <c r="S109" s="801"/>
      <c r="T109" s="801"/>
      <c r="U109" s="801"/>
      <c r="V109" s="801"/>
      <c r="W109" s="827"/>
      <c r="X109" s="807"/>
      <c r="Y109" s="807"/>
      <c r="Z109" s="807"/>
      <c r="AA109" s="807"/>
      <c r="AB109" s="807"/>
      <c r="AC109" s="807"/>
      <c r="AD109" s="808"/>
      <c r="AE109" s="807"/>
    </row>
    <row r="110" spans="1:31" s="806" customFormat="1" x14ac:dyDescent="0.3">
      <c r="A110" s="807"/>
      <c r="B110" s="807"/>
      <c r="C110" s="807"/>
      <c r="E110" s="807"/>
      <c r="F110" s="801"/>
      <c r="G110" s="801"/>
      <c r="H110" s="801"/>
      <c r="I110" s="801"/>
      <c r="J110" s="801"/>
      <c r="K110" s="801"/>
      <c r="L110" s="801"/>
      <c r="M110" s="801"/>
      <c r="N110" s="801"/>
      <c r="O110" s="801"/>
      <c r="P110" s="801"/>
      <c r="Q110" s="801"/>
      <c r="R110" s="801"/>
      <c r="S110" s="801"/>
      <c r="T110" s="801"/>
      <c r="U110" s="801"/>
      <c r="V110" s="801"/>
      <c r="W110" s="827"/>
      <c r="X110" s="807"/>
      <c r="Y110" s="807"/>
      <c r="Z110" s="807"/>
      <c r="AA110" s="807"/>
      <c r="AB110" s="807"/>
      <c r="AC110" s="807"/>
      <c r="AD110" s="808"/>
      <c r="AE110" s="807"/>
    </row>
    <row r="111" spans="1:31" s="806" customFormat="1" x14ac:dyDescent="0.3">
      <c r="A111" s="807"/>
      <c r="B111" s="807"/>
      <c r="C111" s="807"/>
      <c r="E111" s="807"/>
      <c r="F111" s="801"/>
      <c r="G111" s="801"/>
      <c r="H111" s="801"/>
      <c r="I111" s="801"/>
      <c r="J111" s="801"/>
      <c r="K111" s="801"/>
      <c r="L111" s="801"/>
      <c r="M111" s="801"/>
      <c r="N111" s="801"/>
      <c r="O111" s="801"/>
      <c r="P111" s="801"/>
      <c r="Q111" s="801"/>
      <c r="R111" s="801"/>
      <c r="S111" s="801"/>
      <c r="T111" s="801"/>
      <c r="U111" s="801"/>
      <c r="V111" s="801"/>
      <c r="W111" s="827"/>
      <c r="X111" s="807"/>
      <c r="Y111" s="807"/>
      <c r="Z111" s="807"/>
      <c r="AA111" s="807"/>
      <c r="AB111" s="807"/>
      <c r="AC111" s="807"/>
      <c r="AD111" s="808"/>
      <c r="AE111" s="807"/>
    </row>
    <row r="112" spans="1:31" s="806" customFormat="1" x14ac:dyDescent="0.3">
      <c r="A112" s="807"/>
      <c r="B112" s="807"/>
      <c r="C112" s="807"/>
      <c r="E112" s="807"/>
      <c r="F112" s="801"/>
      <c r="G112" s="801"/>
      <c r="H112" s="801"/>
      <c r="I112" s="801"/>
      <c r="J112" s="801"/>
      <c r="K112" s="801"/>
      <c r="L112" s="801"/>
      <c r="M112" s="801"/>
      <c r="N112" s="801"/>
      <c r="O112" s="801"/>
      <c r="P112" s="801"/>
      <c r="Q112" s="801"/>
      <c r="R112" s="801"/>
      <c r="S112" s="801"/>
      <c r="T112" s="801"/>
      <c r="U112" s="801"/>
      <c r="V112" s="801"/>
      <c r="W112" s="827"/>
      <c r="X112" s="807"/>
      <c r="Y112" s="807"/>
      <c r="Z112" s="807"/>
      <c r="AA112" s="807"/>
      <c r="AB112" s="807"/>
      <c r="AC112" s="807"/>
      <c r="AD112" s="808"/>
      <c r="AE112" s="807"/>
    </row>
    <row r="113" spans="1:31" s="806" customFormat="1" x14ac:dyDescent="0.3">
      <c r="A113" s="807"/>
      <c r="B113" s="807"/>
      <c r="C113" s="807"/>
      <c r="E113" s="807"/>
      <c r="F113" s="801"/>
      <c r="G113" s="801"/>
      <c r="H113" s="801"/>
      <c r="I113" s="801"/>
      <c r="J113" s="801"/>
      <c r="K113" s="801"/>
      <c r="L113" s="801"/>
      <c r="M113" s="801"/>
      <c r="N113" s="801"/>
      <c r="O113" s="801"/>
      <c r="P113" s="801"/>
      <c r="Q113" s="801"/>
      <c r="R113" s="801"/>
      <c r="S113" s="801"/>
      <c r="T113" s="801"/>
      <c r="U113" s="801"/>
      <c r="V113" s="801"/>
      <c r="W113" s="827"/>
      <c r="X113" s="807"/>
      <c r="Y113" s="807"/>
      <c r="Z113" s="807"/>
      <c r="AA113" s="807"/>
      <c r="AB113" s="807"/>
      <c r="AC113" s="807"/>
      <c r="AD113" s="808"/>
      <c r="AE113" s="807"/>
    </row>
    <row r="114" spans="1:31" s="806" customFormat="1" x14ac:dyDescent="0.3">
      <c r="A114" s="807"/>
      <c r="B114" s="807"/>
      <c r="C114" s="807"/>
      <c r="E114" s="807"/>
      <c r="F114" s="801"/>
      <c r="G114" s="801"/>
      <c r="H114" s="801"/>
      <c r="I114" s="801"/>
      <c r="J114" s="801"/>
      <c r="K114" s="801"/>
      <c r="L114" s="801"/>
      <c r="M114" s="801"/>
      <c r="N114" s="801"/>
      <c r="O114" s="801"/>
      <c r="P114" s="801"/>
      <c r="Q114" s="801"/>
      <c r="R114" s="801"/>
      <c r="S114" s="801"/>
      <c r="T114" s="801"/>
      <c r="U114" s="801"/>
      <c r="V114" s="801"/>
      <c r="W114" s="827"/>
      <c r="X114" s="807"/>
      <c r="Y114" s="807"/>
      <c r="Z114" s="807"/>
      <c r="AA114" s="807"/>
      <c r="AB114" s="807"/>
      <c r="AC114" s="807"/>
      <c r="AD114" s="808"/>
      <c r="AE114" s="807"/>
    </row>
    <row r="115" spans="1:31" s="806" customFormat="1" x14ac:dyDescent="0.3">
      <c r="A115" s="807"/>
      <c r="B115" s="807"/>
      <c r="C115" s="807"/>
      <c r="E115" s="807"/>
      <c r="F115" s="801"/>
      <c r="G115" s="801"/>
      <c r="H115" s="801"/>
      <c r="I115" s="801"/>
      <c r="J115" s="801"/>
      <c r="K115" s="801"/>
      <c r="L115" s="801"/>
      <c r="M115" s="801"/>
      <c r="N115" s="801"/>
      <c r="O115" s="801"/>
      <c r="P115" s="801"/>
      <c r="Q115" s="801"/>
      <c r="R115" s="801"/>
      <c r="S115" s="801"/>
      <c r="T115" s="801"/>
      <c r="U115" s="801"/>
      <c r="V115" s="801"/>
      <c r="W115" s="827"/>
      <c r="X115" s="807"/>
      <c r="Y115" s="807"/>
      <c r="Z115" s="807"/>
      <c r="AA115" s="807"/>
      <c r="AB115" s="807"/>
      <c r="AC115" s="807"/>
      <c r="AD115" s="808"/>
      <c r="AE115" s="807"/>
    </row>
    <row r="116" spans="1:31" s="806" customFormat="1" x14ac:dyDescent="0.3">
      <c r="A116" s="807"/>
      <c r="B116" s="807"/>
      <c r="C116" s="807"/>
      <c r="E116" s="807"/>
      <c r="F116" s="801"/>
      <c r="G116" s="801"/>
      <c r="H116" s="801"/>
      <c r="I116" s="801"/>
      <c r="J116" s="801"/>
      <c r="K116" s="801"/>
      <c r="L116" s="801"/>
      <c r="M116" s="801"/>
      <c r="N116" s="801"/>
      <c r="O116" s="801"/>
      <c r="P116" s="801"/>
      <c r="Q116" s="801"/>
      <c r="R116" s="801"/>
      <c r="S116" s="801"/>
      <c r="T116" s="801"/>
      <c r="U116" s="801"/>
      <c r="V116" s="801"/>
      <c r="W116" s="827"/>
      <c r="X116" s="807"/>
      <c r="Y116" s="807"/>
      <c r="Z116" s="807"/>
      <c r="AA116" s="807"/>
      <c r="AB116" s="807"/>
      <c r="AC116" s="807"/>
      <c r="AD116" s="808"/>
      <c r="AE116" s="807"/>
    </row>
    <row r="117" spans="1:31" s="806" customFormat="1" x14ac:dyDescent="0.3">
      <c r="A117" s="807"/>
      <c r="B117" s="807"/>
      <c r="C117" s="807"/>
      <c r="E117" s="807"/>
      <c r="F117" s="801"/>
      <c r="G117" s="801"/>
      <c r="H117" s="801"/>
      <c r="I117" s="801"/>
      <c r="J117" s="801"/>
      <c r="K117" s="801"/>
      <c r="L117" s="801"/>
      <c r="M117" s="801"/>
      <c r="N117" s="801"/>
      <c r="O117" s="801"/>
      <c r="P117" s="801"/>
      <c r="Q117" s="801"/>
      <c r="R117" s="801"/>
      <c r="S117" s="801"/>
      <c r="T117" s="801"/>
      <c r="U117" s="801"/>
      <c r="V117" s="801"/>
      <c r="W117" s="827"/>
      <c r="X117" s="807"/>
      <c r="Y117" s="807"/>
      <c r="Z117" s="807"/>
      <c r="AA117" s="807"/>
      <c r="AB117" s="807"/>
      <c r="AC117" s="807"/>
      <c r="AD117" s="808"/>
      <c r="AE117" s="807"/>
    </row>
    <row r="118" spans="1:31" s="806" customFormat="1" x14ac:dyDescent="0.3">
      <c r="A118" s="807"/>
      <c r="B118" s="807"/>
      <c r="C118" s="807"/>
      <c r="E118" s="807"/>
      <c r="F118" s="801"/>
      <c r="G118" s="801"/>
      <c r="H118" s="801"/>
      <c r="I118" s="801"/>
      <c r="J118" s="801"/>
      <c r="K118" s="801"/>
      <c r="L118" s="801"/>
      <c r="M118" s="801"/>
      <c r="N118" s="801"/>
      <c r="O118" s="801"/>
      <c r="P118" s="801"/>
      <c r="Q118" s="801"/>
      <c r="R118" s="801"/>
      <c r="S118" s="801"/>
      <c r="T118" s="801"/>
      <c r="U118" s="801"/>
      <c r="V118" s="801"/>
      <c r="W118" s="827"/>
      <c r="X118" s="807"/>
      <c r="Y118" s="807"/>
      <c r="Z118" s="807"/>
      <c r="AA118" s="807"/>
      <c r="AB118" s="807"/>
      <c r="AC118" s="807"/>
      <c r="AD118" s="808"/>
      <c r="AE118" s="807"/>
    </row>
    <row r="119" spans="1:31" s="806" customFormat="1" x14ac:dyDescent="0.3">
      <c r="A119" s="807"/>
      <c r="B119" s="807"/>
      <c r="C119" s="807"/>
      <c r="E119" s="807"/>
      <c r="F119" s="801"/>
      <c r="G119" s="801"/>
      <c r="H119" s="801"/>
      <c r="I119" s="801"/>
      <c r="J119" s="801"/>
      <c r="K119" s="801"/>
      <c r="L119" s="801"/>
      <c r="M119" s="801"/>
      <c r="N119" s="801"/>
      <c r="O119" s="801"/>
      <c r="P119" s="801"/>
      <c r="Q119" s="801"/>
      <c r="R119" s="801"/>
      <c r="S119" s="801"/>
      <c r="T119" s="801"/>
      <c r="U119" s="801"/>
      <c r="V119" s="801"/>
      <c r="W119" s="827"/>
      <c r="X119" s="807"/>
      <c r="Y119" s="807"/>
      <c r="Z119" s="807"/>
      <c r="AA119" s="807"/>
      <c r="AB119" s="807"/>
      <c r="AC119" s="807"/>
      <c r="AD119" s="808"/>
      <c r="AE119" s="807"/>
    </row>
    <row r="120" spans="1:31" s="806" customFormat="1" x14ac:dyDescent="0.3">
      <c r="A120" s="807"/>
      <c r="B120" s="807"/>
      <c r="C120" s="807"/>
      <c r="E120" s="807"/>
      <c r="F120" s="801"/>
      <c r="G120" s="801"/>
      <c r="H120" s="801"/>
      <c r="I120" s="801"/>
      <c r="J120" s="801"/>
      <c r="K120" s="801"/>
      <c r="L120" s="801"/>
      <c r="M120" s="801"/>
      <c r="N120" s="801"/>
      <c r="O120" s="801"/>
      <c r="P120" s="801"/>
      <c r="Q120" s="801"/>
      <c r="R120" s="801"/>
      <c r="S120" s="801"/>
      <c r="T120" s="801"/>
      <c r="U120" s="801"/>
      <c r="V120" s="801"/>
      <c r="W120" s="827"/>
      <c r="X120" s="807"/>
      <c r="Y120" s="807"/>
      <c r="Z120" s="807"/>
      <c r="AA120" s="807"/>
      <c r="AB120" s="807"/>
      <c r="AC120" s="807"/>
      <c r="AD120" s="808"/>
      <c r="AE120" s="807"/>
    </row>
    <row r="121" spans="1:31" s="806" customFormat="1" x14ac:dyDescent="0.3">
      <c r="A121" s="807"/>
      <c r="B121" s="807"/>
      <c r="C121" s="807"/>
      <c r="E121" s="807"/>
      <c r="F121" s="801"/>
      <c r="G121" s="801"/>
      <c r="H121" s="801"/>
      <c r="I121" s="801"/>
      <c r="J121" s="801"/>
      <c r="K121" s="801"/>
      <c r="L121" s="801"/>
      <c r="M121" s="801"/>
      <c r="N121" s="801"/>
      <c r="O121" s="801"/>
      <c r="P121" s="801"/>
      <c r="Q121" s="801"/>
      <c r="R121" s="801"/>
      <c r="S121" s="801"/>
      <c r="T121" s="801"/>
      <c r="U121" s="801"/>
      <c r="V121" s="801"/>
      <c r="W121" s="827"/>
      <c r="X121" s="807"/>
      <c r="Y121" s="807"/>
      <c r="Z121" s="807"/>
      <c r="AA121" s="807"/>
      <c r="AB121" s="807"/>
      <c r="AC121" s="807"/>
      <c r="AD121" s="808"/>
      <c r="AE121" s="807"/>
    </row>
    <row r="122" spans="1:31" s="806" customFormat="1" x14ac:dyDescent="0.3">
      <c r="A122" s="807"/>
      <c r="B122" s="807"/>
      <c r="C122" s="807"/>
      <c r="E122" s="807"/>
      <c r="F122" s="801"/>
      <c r="G122" s="801"/>
      <c r="H122" s="801"/>
      <c r="I122" s="801"/>
      <c r="J122" s="801"/>
      <c r="K122" s="801"/>
      <c r="L122" s="801"/>
      <c r="M122" s="801"/>
      <c r="N122" s="801"/>
      <c r="O122" s="801"/>
      <c r="P122" s="801"/>
      <c r="Q122" s="801"/>
      <c r="R122" s="801"/>
      <c r="S122" s="801"/>
      <c r="T122" s="801"/>
      <c r="U122" s="801"/>
      <c r="V122" s="801"/>
      <c r="W122" s="827"/>
      <c r="X122" s="807"/>
      <c r="Y122" s="807"/>
      <c r="Z122" s="807"/>
      <c r="AA122" s="807"/>
      <c r="AB122" s="807"/>
      <c r="AC122" s="807"/>
      <c r="AD122" s="808"/>
      <c r="AE122" s="807"/>
    </row>
    <row r="123" spans="1:31" s="806" customFormat="1" x14ac:dyDescent="0.3">
      <c r="A123" s="807"/>
      <c r="B123" s="807"/>
      <c r="C123" s="807"/>
      <c r="E123" s="807"/>
      <c r="F123" s="801"/>
      <c r="G123" s="801"/>
      <c r="H123" s="801"/>
      <c r="I123" s="801"/>
      <c r="J123" s="801"/>
      <c r="K123" s="801"/>
      <c r="L123" s="801"/>
      <c r="M123" s="801"/>
      <c r="N123" s="801"/>
      <c r="O123" s="801"/>
      <c r="P123" s="801"/>
      <c r="Q123" s="801"/>
      <c r="R123" s="801"/>
      <c r="S123" s="801"/>
      <c r="T123" s="801"/>
      <c r="U123" s="801"/>
      <c r="V123" s="801"/>
      <c r="W123" s="827"/>
      <c r="X123" s="807"/>
      <c r="Y123" s="807"/>
      <c r="Z123" s="807"/>
      <c r="AA123" s="807"/>
      <c r="AB123" s="807"/>
      <c r="AC123" s="807"/>
      <c r="AD123" s="808"/>
      <c r="AE123" s="807"/>
    </row>
    <row r="124" spans="1:31" s="806" customFormat="1" x14ac:dyDescent="0.3">
      <c r="A124" s="807"/>
      <c r="B124" s="807"/>
      <c r="C124" s="807"/>
      <c r="E124" s="807"/>
      <c r="F124" s="801"/>
      <c r="G124" s="801"/>
      <c r="H124" s="801"/>
      <c r="I124" s="801"/>
      <c r="J124" s="801"/>
      <c r="K124" s="801"/>
      <c r="L124" s="801"/>
      <c r="M124" s="801"/>
      <c r="N124" s="801"/>
      <c r="O124" s="801"/>
      <c r="P124" s="801"/>
      <c r="Q124" s="801"/>
      <c r="R124" s="801"/>
      <c r="S124" s="801"/>
      <c r="T124" s="801"/>
      <c r="U124" s="801"/>
      <c r="V124" s="801"/>
      <c r="W124" s="827"/>
      <c r="X124" s="807"/>
      <c r="Y124" s="807"/>
      <c r="Z124" s="807"/>
      <c r="AA124" s="807"/>
      <c r="AB124" s="807"/>
      <c r="AC124" s="807"/>
      <c r="AD124" s="808"/>
      <c r="AE124" s="807"/>
    </row>
    <row r="125" spans="1:31" s="806" customFormat="1" x14ac:dyDescent="0.3">
      <c r="A125" s="807"/>
      <c r="B125" s="807"/>
      <c r="C125" s="807"/>
      <c r="E125" s="807"/>
      <c r="F125" s="801"/>
      <c r="G125" s="801"/>
      <c r="H125" s="801"/>
      <c r="I125" s="801"/>
      <c r="J125" s="801"/>
      <c r="K125" s="801"/>
      <c r="L125" s="801"/>
      <c r="M125" s="801"/>
      <c r="N125" s="801"/>
      <c r="O125" s="801"/>
      <c r="P125" s="801"/>
      <c r="Q125" s="801"/>
      <c r="R125" s="801"/>
      <c r="S125" s="801"/>
      <c r="T125" s="801"/>
      <c r="U125" s="801"/>
      <c r="V125" s="801"/>
      <c r="W125" s="827"/>
      <c r="X125" s="807"/>
      <c r="Y125" s="807"/>
      <c r="Z125" s="807"/>
      <c r="AA125" s="807"/>
      <c r="AB125" s="807"/>
      <c r="AC125" s="807"/>
      <c r="AD125" s="808"/>
      <c r="AE125" s="807"/>
    </row>
    <row r="126" spans="1:31" s="806" customFormat="1" x14ac:dyDescent="0.3">
      <c r="A126" s="807"/>
      <c r="B126" s="807"/>
      <c r="C126" s="807"/>
      <c r="E126" s="807"/>
      <c r="F126" s="801"/>
      <c r="G126" s="801"/>
      <c r="H126" s="801"/>
      <c r="I126" s="801"/>
      <c r="J126" s="801"/>
      <c r="K126" s="801"/>
      <c r="L126" s="801"/>
      <c r="M126" s="801"/>
      <c r="N126" s="801"/>
      <c r="O126" s="801"/>
      <c r="P126" s="801"/>
      <c r="Q126" s="801"/>
      <c r="R126" s="801"/>
      <c r="S126" s="801"/>
      <c r="T126" s="801"/>
      <c r="U126" s="801"/>
      <c r="V126" s="801"/>
      <c r="W126" s="827"/>
      <c r="X126" s="807"/>
      <c r="Y126" s="807"/>
      <c r="Z126" s="807"/>
      <c r="AA126" s="807"/>
      <c r="AB126" s="807"/>
      <c r="AC126" s="807"/>
      <c r="AD126" s="808"/>
      <c r="AE126" s="807"/>
    </row>
    <row r="127" spans="1:31" s="806" customFormat="1" x14ac:dyDescent="0.3">
      <c r="A127" s="807"/>
      <c r="B127" s="807"/>
      <c r="C127" s="807"/>
      <c r="E127" s="807"/>
      <c r="F127" s="801"/>
      <c r="G127" s="801"/>
      <c r="H127" s="801"/>
      <c r="I127" s="801"/>
      <c r="J127" s="801"/>
      <c r="K127" s="801"/>
      <c r="L127" s="801"/>
      <c r="M127" s="801"/>
      <c r="N127" s="801"/>
      <c r="O127" s="801"/>
      <c r="P127" s="801"/>
      <c r="Q127" s="801"/>
      <c r="R127" s="801"/>
      <c r="S127" s="801"/>
      <c r="T127" s="801"/>
      <c r="U127" s="801"/>
      <c r="V127" s="801"/>
      <c r="W127" s="827"/>
      <c r="X127" s="807"/>
      <c r="Y127" s="807"/>
      <c r="Z127" s="807"/>
      <c r="AA127" s="807"/>
      <c r="AB127" s="807"/>
      <c r="AC127" s="807"/>
      <c r="AD127" s="808"/>
      <c r="AE127" s="807"/>
    </row>
    <row r="128" spans="1:31" s="806" customFormat="1" x14ac:dyDescent="0.3">
      <c r="A128" s="807"/>
      <c r="B128" s="807"/>
      <c r="C128" s="807"/>
      <c r="E128" s="807"/>
      <c r="F128" s="801"/>
      <c r="G128" s="801"/>
      <c r="H128" s="801"/>
      <c r="I128" s="801"/>
      <c r="J128" s="801"/>
      <c r="K128" s="801"/>
      <c r="L128" s="801"/>
      <c r="M128" s="801"/>
      <c r="N128" s="801"/>
      <c r="O128" s="801"/>
      <c r="P128" s="801"/>
      <c r="Q128" s="801"/>
      <c r="R128" s="801"/>
      <c r="S128" s="801"/>
      <c r="T128" s="801"/>
      <c r="U128" s="801"/>
      <c r="V128" s="801"/>
      <c r="W128" s="827"/>
      <c r="X128" s="807"/>
      <c r="Y128" s="807"/>
      <c r="Z128" s="807"/>
      <c r="AA128" s="807"/>
      <c r="AB128" s="807"/>
      <c r="AC128" s="807"/>
      <c r="AD128" s="808"/>
      <c r="AE128" s="807"/>
    </row>
    <row r="129" spans="1:31" s="806" customFormat="1" x14ac:dyDescent="0.3">
      <c r="A129" s="807"/>
      <c r="B129" s="807"/>
      <c r="C129" s="807"/>
      <c r="E129" s="807"/>
      <c r="F129" s="801"/>
      <c r="G129" s="801"/>
      <c r="H129" s="801"/>
      <c r="I129" s="801"/>
      <c r="J129" s="801"/>
      <c r="K129" s="801"/>
      <c r="L129" s="801"/>
      <c r="M129" s="801"/>
      <c r="N129" s="801"/>
      <c r="O129" s="801"/>
      <c r="P129" s="801"/>
      <c r="Q129" s="801"/>
      <c r="R129" s="801"/>
      <c r="S129" s="801"/>
      <c r="T129" s="801"/>
      <c r="U129" s="801"/>
      <c r="V129" s="801"/>
      <c r="W129" s="827"/>
      <c r="X129" s="807"/>
      <c r="Y129" s="807"/>
      <c r="Z129" s="807"/>
      <c r="AA129" s="807"/>
      <c r="AB129" s="807"/>
      <c r="AC129" s="807"/>
      <c r="AD129" s="808"/>
      <c r="AE129" s="807"/>
    </row>
    <row r="130" spans="1:31" s="806" customFormat="1" x14ac:dyDescent="0.3">
      <c r="A130" s="807"/>
      <c r="B130" s="807"/>
      <c r="C130" s="807"/>
      <c r="E130" s="807"/>
      <c r="F130" s="801"/>
      <c r="G130" s="801"/>
      <c r="H130" s="801"/>
      <c r="I130" s="801"/>
      <c r="J130" s="801"/>
      <c r="K130" s="801"/>
      <c r="L130" s="801"/>
      <c r="M130" s="801"/>
      <c r="N130" s="801"/>
      <c r="O130" s="801"/>
      <c r="P130" s="801"/>
      <c r="Q130" s="801"/>
      <c r="R130" s="801"/>
      <c r="S130" s="801"/>
      <c r="T130" s="801"/>
      <c r="U130" s="801"/>
      <c r="V130" s="801"/>
      <c r="W130" s="827"/>
      <c r="X130" s="807"/>
      <c r="Y130" s="807"/>
      <c r="Z130" s="807"/>
      <c r="AA130" s="807"/>
      <c r="AB130" s="807"/>
      <c r="AC130" s="807"/>
      <c r="AD130" s="808"/>
      <c r="AE130" s="807"/>
    </row>
    <row r="131" spans="1:31" s="806" customFormat="1" x14ac:dyDescent="0.3">
      <c r="A131" s="807"/>
      <c r="B131" s="807"/>
      <c r="C131" s="807"/>
      <c r="E131" s="807"/>
      <c r="F131" s="801"/>
      <c r="G131" s="801"/>
      <c r="H131" s="801"/>
      <c r="I131" s="801"/>
      <c r="J131" s="801"/>
      <c r="K131" s="801"/>
      <c r="L131" s="801"/>
      <c r="M131" s="801"/>
      <c r="N131" s="801"/>
      <c r="O131" s="801"/>
      <c r="P131" s="801"/>
      <c r="Q131" s="801"/>
      <c r="R131" s="801"/>
      <c r="S131" s="801"/>
      <c r="T131" s="801"/>
      <c r="U131" s="801"/>
      <c r="V131" s="801"/>
      <c r="W131" s="827"/>
      <c r="X131" s="807"/>
      <c r="Y131" s="807"/>
      <c r="Z131" s="807"/>
      <c r="AA131" s="807"/>
      <c r="AB131" s="807"/>
      <c r="AC131" s="807"/>
      <c r="AD131" s="808"/>
      <c r="AE131" s="807"/>
    </row>
    <row r="132" spans="1:31" s="806" customFormat="1" x14ac:dyDescent="0.3">
      <c r="A132" s="807"/>
      <c r="B132" s="807"/>
      <c r="C132" s="807"/>
      <c r="E132" s="807"/>
      <c r="F132" s="801"/>
      <c r="G132" s="801"/>
      <c r="H132" s="801"/>
      <c r="I132" s="801"/>
      <c r="J132" s="801"/>
      <c r="K132" s="801"/>
      <c r="L132" s="801"/>
      <c r="M132" s="801"/>
      <c r="N132" s="801"/>
      <c r="O132" s="801"/>
      <c r="P132" s="801"/>
      <c r="Q132" s="801"/>
      <c r="R132" s="801"/>
      <c r="S132" s="801"/>
      <c r="T132" s="801"/>
      <c r="U132" s="801"/>
      <c r="V132" s="801"/>
      <c r="W132" s="827"/>
      <c r="X132" s="807"/>
      <c r="Y132" s="807"/>
      <c r="Z132" s="807"/>
      <c r="AA132" s="807"/>
      <c r="AB132" s="807"/>
      <c r="AC132" s="807"/>
      <c r="AD132" s="808"/>
      <c r="AE132" s="807"/>
    </row>
    <row r="133" spans="1:31" s="806" customFormat="1" x14ac:dyDescent="0.3">
      <c r="A133" s="807"/>
      <c r="B133" s="807"/>
      <c r="C133" s="807"/>
      <c r="E133" s="807"/>
      <c r="F133" s="801"/>
      <c r="G133" s="801"/>
      <c r="H133" s="801"/>
      <c r="I133" s="801"/>
      <c r="J133" s="801"/>
      <c r="K133" s="801"/>
      <c r="L133" s="801"/>
      <c r="M133" s="801"/>
      <c r="N133" s="801"/>
      <c r="O133" s="801"/>
      <c r="P133" s="801"/>
      <c r="Q133" s="801"/>
      <c r="R133" s="801"/>
      <c r="S133" s="801"/>
      <c r="T133" s="801"/>
      <c r="U133" s="801"/>
      <c r="V133" s="801"/>
      <c r="W133" s="827"/>
      <c r="X133" s="807"/>
      <c r="Y133" s="807"/>
      <c r="Z133" s="807"/>
      <c r="AA133" s="807"/>
      <c r="AB133" s="807"/>
      <c r="AC133" s="807"/>
      <c r="AD133" s="808"/>
      <c r="AE133" s="807"/>
    </row>
    <row r="134" spans="1:31" s="806" customFormat="1" x14ac:dyDescent="0.3">
      <c r="A134" s="807"/>
      <c r="B134" s="807"/>
      <c r="C134" s="807"/>
      <c r="E134" s="807"/>
      <c r="F134" s="801"/>
      <c r="G134" s="801"/>
      <c r="H134" s="801"/>
      <c r="I134" s="801"/>
      <c r="J134" s="801"/>
      <c r="K134" s="801"/>
      <c r="L134" s="801"/>
      <c r="M134" s="801"/>
      <c r="N134" s="801"/>
      <c r="O134" s="801"/>
      <c r="P134" s="801"/>
      <c r="Q134" s="801"/>
      <c r="R134" s="801"/>
      <c r="S134" s="801"/>
      <c r="T134" s="801"/>
      <c r="U134" s="801"/>
      <c r="V134" s="801"/>
      <c r="W134" s="827"/>
      <c r="X134" s="807"/>
      <c r="Y134" s="807"/>
      <c r="Z134" s="807"/>
      <c r="AA134" s="807"/>
      <c r="AB134" s="807"/>
      <c r="AC134" s="807"/>
      <c r="AD134" s="808"/>
      <c r="AE134" s="807"/>
    </row>
    <row r="135" spans="1:31" s="806" customFormat="1" x14ac:dyDescent="0.3">
      <c r="A135" s="807"/>
      <c r="B135" s="807"/>
      <c r="C135" s="807"/>
      <c r="E135" s="807"/>
      <c r="F135" s="801"/>
      <c r="G135" s="801"/>
      <c r="H135" s="801"/>
      <c r="I135" s="801"/>
      <c r="J135" s="801"/>
      <c r="K135" s="801"/>
      <c r="L135" s="801"/>
      <c r="M135" s="801"/>
      <c r="N135" s="801"/>
      <c r="O135" s="801"/>
      <c r="P135" s="801"/>
      <c r="Q135" s="801"/>
      <c r="R135" s="801"/>
      <c r="S135" s="801"/>
      <c r="T135" s="801"/>
      <c r="U135" s="801"/>
      <c r="V135" s="801"/>
      <c r="W135" s="827"/>
      <c r="X135" s="807"/>
      <c r="Y135" s="807"/>
      <c r="Z135" s="807"/>
      <c r="AA135" s="807"/>
      <c r="AB135" s="807"/>
      <c r="AC135" s="807"/>
      <c r="AD135" s="808"/>
      <c r="AE135" s="807"/>
    </row>
    <row r="136" spans="1:31" s="806" customFormat="1" x14ac:dyDescent="0.3">
      <c r="A136" s="807"/>
      <c r="B136" s="807"/>
      <c r="C136" s="807"/>
      <c r="E136" s="807"/>
      <c r="F136" s="801"/>
      <c r="G136" s="801"/>
      <c r="H136" s="801"/>
      <c r="I136" s="801"/>
      <c r="J136" s="801"/>
      <c r="K136" s="801"/>
      <c r="L136" s="801"/>
      <c r="M136" s="801"/>
      <c r="N136" s="801"/>
      <c r="O136" s="801"/>
      <c r="P136" s="801"/>
      <c r="Q136" s="801"/>
      <c r="R136" s="801"/>
      <c r="S136" s="801"/>
      <c r="T136" s="801"/>
      <c r="U136" s="801"/>
      <c r="V136" s="801"/>
      <c r="W136" s="827"/>
      <c r="X136" s="807"/>
      <c r="Y136" s="807"/>
      <c r="Z136" s="807"/>
      <c r="AA136" s="807"/>
      <c r="AB136" s="807"/>
      <c r="AC136" s="807"/>
      <c r="AD136" s="808"/>
      <c r="AE136" s="807"/>
    </row>
    <row r="137" spans="1:31" s="806" customFormat="1" x14ac:dyDescent="0.3">
      <c r="A137" s="807"/>
      <c r="B137" s="807"/>
      <c r="C137" s="807"/>
      <c r="E137" s="807"/>
      <c r="F137" s="801"/>
      <c r="G137" s="801"/>
      <c r="H137" s="801"/>
      <c r="I137" s="801"/>
      <c r="J137" s="801"/>
      <c r="K137" s="801"/>
      <c r="L137" s="801"/>
      <c r="M137" s="801"/>
      <c r="N137" s="801"/>
      <c r="O137" s="801"/>
      <c r="P137" s="801"/>
      <c r="Q137" s="801"/>
      <c r="R137" s="801"/>
      <c r="S137" s="801"/>
      <c r="T137" s="801"/>
      <c r="U137" s="801"/>
      <c r="V137" s="801"/>
      <c r="W137" s="827"/>
      <c r="X137" s="807"/>
      <c r="Y137" s="807"/>
      <c r="Z137" s="807"/>
      <c r="AA137" s="807"/>
      <c r="AB137" s="807"/>
      <c r="AC137" s="807"/>
      <c r="AD137" s="808"/>
      <c r="AE137" s="807"/>
    </row>
    <row r="138" spans="1:31" s="806" customFormat="1" x14ac:dyDescent="0.3">
      <c r="A138" s="807"/>
      <c r="B138" s="807"/>
      <c r="C138" s="807"/>
      <c r="E138" s="807"/>
      <c r="F138" s="801"/>
      <c r="G138" s="801"/>
      <c r="H138" s="801"/>
      <c r="I138" s="801"/>
      <c r="J138" s="801"/>
      <c r="K138" s="801"/>
      <c r="L138" s="801"/>
      <c r="M138" s="801"/>
      <c r="N138" s="801"/>
      <c r="O138" s="801"/>
      <c r="P138" s="801"/>
      <c r="Q138" s="801"/>
      <c r="R138" s="801"/>
      <c r="S138" s="801"/>
      <c r="T138" s="801"/>
      <c r="U138" s="801"/>
      <c r="V138" s="801"/>
      <c r="W138" s="827"/>
      <c r="X138" s="807"/>
      <c r="Y138" s="807"/>
      <c r="Z138" s="807"/>
      <c r="AA138" s="807"/>
      <c r="AB138" s="807"/>
      <c r="AC138" s="807"/>
      <c r="AD138" s="808"/>
      <c r="AE138" s="807"/>
    </row>
    <row r="139" spans="1:31" s="806" customFormat="1" x14ac:dyDescent="0.3">
      <c r="A139" s="807"/>
      <c r="B139" s="807"/>
      <c r="C139" s="807"/>
      <c r="E139" s="807"/>
      <c r="F139" s="801"/>
      <c r="G139" s="801"/>
      <c r="H139" s="801"/>
      <c r="I139" s="801"/>
      <c r="J139" s="801"/>
      <c r="K139" s="801"/>
      <c r="L139" s="801"/>
      <c r="M139" s="801"/>
      <c r="N139" s="801"/>
      <c r="O139" s="801"/>
      <c r="P139" s="801"/>
      <c r="Q139" s="801"/>
      <c r="R139" s="801"/>
      <c r="S139" s="801"/>
      <c r="T139" s="801"/>
      <c r="U139" s="801"/>
      <c r="V139" s="801"/>
      <c r="W139" s="827"/>
      <c r="X139" s="807"/>
      <c r="Y139" s="807"/>
      <c r="Z139" s="807"/>
      <c r="AA139" s="807"/>
      <c r="AB139" s="807"/>
      <c r="AC139" s="807"/>
      <c r="AD139" s="808"/>
      <c r="AE139" s="807"/>
    </row>
    <row r="140" spans="1:31" s="806" customFormat="1" x14ac:dyDescent="0.3">
      <c r="A140" s="807"/>
      <c r="B140" s="807"/>
      <c r="C140" s="807"/>
      <c r="E140" s="807"/>
      <c r="F140" s="801"/>
      <c r="G140" s="801"/>
      <c r="H140" s="801"/>
      <c r="I140" s="801"/>
      <c r="J140" s="801"/>
      <c r="K140" s="801"/>
      <c r="L140" s="801"/>
      <c r="M140" s="801"/>
      <c r="N140" s="801"/>
      <c r="O140" s="801"/>
      <c r="P140" s="801"/>
      <c r="Q140" s="801"/>
      <c r="R140" s="801"/>
      <c r="S140" s="801"/>
      <c r="T140" s="801"/>
      <c r="U140" s="801"/>
      <c r="V140" s="801"/>
      <c r="W140" s="827"/>
      <c r="X140" s="807"/>
      <c r="Y140" s="807"/>
      <c r="Z140" s="807"/>
      <c r="AA140" s="807"/>
      <c r="AB140" s="807"/>
      <c r="AC140" s="807"/>
      <c r="AD140" s="808"/>
      <c r="AE140" s="807"/>
    </row>
    <row r="141" spans="1:31" s="806" customFormat="1" x14ac:dyDescent="0.3">
      <c r="A141" s="807"/>
      <c r="B141" s="807"/>
      <c r="C141" s="807"/>
      <c r="E141" s="807"/>
      <c r="F141" s="801"/>
      <c r="G141" s="801"/>
      <c r="H141" s="801"/>
      <c r="I141" s="801"/>
      <c r="J141" s="801"/>
      <c r="K141" s="801"/>
      <c r="L141" s="801"/>
      <c r="M141" s="801"/>
      <c r="N141" s="801"/>
      <c r="O141" s="801"/>
      <c r="P141" s="801"/>
      <c r="Q141" s="801"/>
      <c r="R141" s="801"/>
      <c r="S141" s="801"/>
      <c r="T141" s="801"/>
      <c r="U141" s="801"/>
      <c r="V141" s="801"/>
      <c r="W141" s="827"/>
      <c r="X141" s="807"/>
      <c r="Y141" s="807"/>
      <c r="Z141" s="807"/>
      <c r="AA141" s="807"/>
      <c r="AB141" s="807"/>
      <c r="AC141" s="807"/>
      <c r="AD141" s="808"/>
      <c r="AE141" s="807"/>
    </row>
    <row r="142" spans="1:31" s="806" customFormat="1" x14ac:dyDescent="0.3">
      <c r="A142" s="807"/>
      <c r="B142" s="807"/>
      <c r="C142" s="807"/>
      <c r="E142" s="807"/>
      <c r="F142" s="801"/>
      <c r="G142" s="801"/>
      <c r="H142" s="801"/>
      <c r="I142" s="801"/>
      <c r="J142" s="801"/>
      <c r="K142" s="801"/>
      <c r="L142" s="801"/>
      <c r="M142" s="801"/>
      <c r="N142" s="801"/>
      <c r="O142" s="801"/>
      <c r="P142" s="801"/>
      <c r="Q142" s="801"/>
      <c r="R142" s="801"/>
      <c r="S142" s="801"/>
      <c r="T142" s="801"/>
      <c r="U142" s="801"/>
      <c r="V142" s="801"/>
      <c r="W142" s="827"/>
      <c r="X142" s="807"/>
      <c r="Y142" s="807"/>
      <c r="Z142" s="807"/>
      <c r="AA142" s="807"/>
      <c r="AB142" s="807"/>
      <c r="AC142" s="807"/>
      <c r="AD142" s="808"/>
      <c r="AE142" s="807"/>
    </row>
    <row r="143" spans="1:31" s="806" customFormat="1" x14ac:dyDescent="0.3">
      <c r="A143" s="807"/>
      <c r="B143" s="807"/>
      <c r="C143" s="807"/>
      <c r="E143" s="807"/>
      <c r="F143" s="801"/>
      <c r="G143" s="801"/>
      <c r="H143" s="801"/>
      <c r="I143" s="801"/>
      <c r="J143" s="801"/>
      <c r="K143" s="801"/>
      <c r="L143" s="801"/>
      <c r="M143" s="801"/>
      <c r="N143" s="801"/>
      <c r="O143" s="801"/>
      <c r="P143" s="801"/>
      <c r="Q143" s="801"/>
      <c r="R143" s="801"/>
      <c r="S143" s="801"/>
      <c r="T143" s="801"/>
      <c r="U143" s="801"/>
      <c r="V143" s="801"/>
      <c r="W143" s="827"/>
      <c r="X143" s="807"/>
      <c r="Y143" s="807"/>
      <c r="Z143" s="807"/>
      <c r="AA143" s="807"/>
      <c r="AB143" s="807"/>
      <c r="AC143" s="807"/>
      <c r="AD143" s="808"/>
      <c r="AE143" s="807"/>
    </row>
    <row r="144" spans="1:31" s="806" customFormat="1" x14ac:dyDescent="0.3">
      <c r="A144" s="807"/>
      <c r="B144" s="807"/>
      <c r="C144" s="807"/>
      <c r="E144" s="807"/>
      <c r="F144" s="801"/>
      <c r="G144" s="801"/>
      <c r="H144" s="801"/>
      <c r="I144" s="801"/>
      <c r="J144" s="801"/>
      <c r="K144" s="801"/>
      <c r="L144" s="801"/>
      <c r="M144" s="801"/>
      <c r="N144" s="801"/>
      <c r="O144" s="801"/>
      <c r="P144" s="801"/>
      <c r="Q144" s="801"/>
      <c r="R144" s="801"/>
      <c r="S144" s="801"/>
      <c r="T144" s="801"/>
      <c r="U144" s="801"/>
      <c r="V144" s="801"/>
      <c r="W144" s="827"/>
      <c r="X144" s="807"/>
      <c r="Y144" s="807"/>
      <c r="Z144" s="807"/>
      <c r="AA144" s="807"/>
      <c r="AB144" s="807"/>
      <c r="AC144" s="807"/>
      <c r="AD144" s="808"/>
      <c r="AE144" s="807"/>
    </row>
    <row r="145" spans="1:31" s="806" customFormat="1" x14ac:dyDescent="0.3">
      <c r="A145" s="807"/>
      <c r="B145" s="807"/>
      <c r="C145" s="807"/>
      <c r="E145" s="807"/>
      <c r="F145" s="801"/>
      <c r="G145" s="801"/>
      <c r="H145" s="801"/>
      <c r="I145" s="801"/>
      <c r="J145" s="801"/>
      <c r="K145" s="801"/>
      <c r="L145" s="801"/>
      <c r="M145" s="801"/>
      <c r="N145" s="801"/>
      <c r="O145" s="801"/>
      <c r="P145" s="801"/>
      <c r="Q145" s="801"/>
      <c r="R145" s="801"/>
      <c r="S145" s="801"/>
      <c r="T145" s="801"/>
      <c r="U145" s="801"/>
      <c r="V145" s="801"/>
      <c r="W145" s="827"/>
      <c r="X145" s="807"/>
      <c r="Y145" s="807"/>
      <c r="Z145" s="807"/>
      <c r="AA145" s="807"/>
      <c r="AB145" s="807"/>
      <c r="AC145" s="807"/>
      <c r="AD145" s="808"/>
      <c r="AE145" s="807"/>
    </row>
    <row r="146" spans="1:31" s="806" customFormat="1" x14ac:dyDescent="0.3">
      <c r="A146" s="807"/>
      <c r="B146" s="807"/>
      <c r="C146" s="807"/>
      <c r="E146" s="807"/>
      <c r="F146" s="801"/>
      <c r="G146" s="801"/>
      <c r="H146" s="801"/>
      <c r="I146" s="801"/>
      <c r="J146" s="801"/>
      <c r="K146" s="801"/>
      <c r="L146" s="801"/>
      <c r="M146" s="801"/>
      <c r="N146" s="801"/>
      <c r="O146" s="801"/>
      <c r="P146" s="801"/>
      <c r="Q146" s="801"/>
      <c r="R146" s="801"/>
      <c r="S146" s="801"/>
      <c r="T146" s="801"/>
      <c r="U146" s="801"/>
      <c r="V146" s="801"/>
      <c r="W146" s="827"/>
      <c r="X146" s="807"/>
      <c r="Y146" s="807"/>
      <c r="Z146" s="807"/>
      <c r="AA146" s="807"/>
      <c r="AB146" s="807"/>
      <c r="AC146" s="807"/>
      <c r="AD146" s="808"/>
      <c r="AE146" s="807"/>
    </row>
    <row r="147" spans="1:31" s="806" customFormat="1" x14ac:dyDescent="0.3">
      <c r="A147" s="807"/>
      <c r="B147" s="807"/>
      <c r="C147" s="807"/>
      <c r="E147" s="807"/>
      <c r="F147" s="801"/>
      <c r="G147" s="801"/>
      <c r="H147" s="801"/>
      <c r="I147" s="801"/>
      <c r="J147" s="801"/>
      <c r="K147" s="801"/>
      <c r="L147" s="801"/>
      <c r="M147" s="801"/>
      <c r="N147" s="801"/>
      <c r="O147" s="801"/>
      <c r="P147" s="801"/>
      <c r="Q147" s="801"/>
      <c r="R147" s="801"/>
      <c r="S147" s="801"/>
      <c r="T147" s="801"/>
      <c r="U147" s="801"/>
      <c r="V147" s="801"/>
      <c r="W147" s="827"/>
      <c r="X147" s="807"/>
      <c r="Y147" s="807"/>
      <c r="Z147" s="807"/>
      <c r="AA147" s="807"/>
      <c r="AB147" s="807"/>
      <c r="AC147" s="807"/>
      <c r="AD147" s="808"/>
      <c r="AE147" s="807"/>
    </row>
    <row r="148" spans="1:31" s="806" customFormat="1" x14ac:dyDescent="0.3">
      <c r="A148" s="807"/>
      <c r="B148" s="807"/>
      <c r="C148" s="807"/>
      <c r="E148" s="807"/>
      <c r="F148" s="801"/>
      <c r="G148" s="801"/>
      <c r="H148" s="801"/>
      <c r="I148" s="801"/>
      <c r="J148" s="801"/>
      <c r="K148" s="801"/>
      <c r="L148" s="801"/>
      <c r="M148" s="801"/>
      <c r="N148" s="801"/>
      <c r="O148" s="801"/>
      <c r="P148" s="801"/>
      <c r="Q148" s="801"/>
      <c r="R148" s="801"/>
      <c r="S148" s="801"/>
      <c r="T148" s="801"/>
      <c r="U148" s="801"/>
      <c r="V148" s="801"/>
      <c r="W148" s="827"/>
      <c r="X148" s="807"/>
      <c r="Y148" s="807"/>
      <c r="Z148" s="807"/>
      <c r="AA148" s="807"/>
      <c r="AB148" s="807"/>
      <c r="AC148" s="807"/>
      <c r="AD148" s="808"/>
      <c r="AE148" s="807"/>
    </row>
    <row r="149" spans="1:31" s="806" customFormat="1" x14ac:dyDescent="0.3">
      <c r="A149" s="807"/>
      <c r="B149" s="807"/>
      <c r="C149" s="807"/>
      <c r="E149" s="807"/>
      <c r="F149" s="801"/>
      <c r="G149" s="801"/>
      <c r="H149" s="801"/>
      <c r="I149" s="801"/>
      <c r="J149" s="801"/>
      <c r="K149" s="801"/>
      <c r="L149" s="801"/>
      <c r="M149" s="801"/>
      <c r="N149" s="801"/>
      <c r="O149" s="801"/>
      <c r="P149" s="801"/>
      <c r="Q149" s="801"/>
      <c r="R149" s="801"/>
      <c r="S149" s="801"/>
      <c r="T149" s="801"/>
      <c r="U149" s="801"/>
      <c r="V149" s="801"/>
      <c r="W149" s="827"/>
      <c r="X149" s="807"/>
      <c r="Y149" s="807"/>
      <c r="Z149" s="807"/>
      <c r="AA149" s="807"/>
      <c r="AB149" s="807"/>
      <c r="AC149" s="807"/>
      <c r="AD149" s="808"/>
      <c r="AE149" s="807"/>
    </row>
    <row r="150" spans="1:31" s="806" customFormat="1" x14ac:dyDescent="0.3">
      <c r="A150" s="807"/>
      <c r="B150" s="807"/>
      <c r="C150" s="807"/>
      <c r="E150" s="807"/>
      <c r="F150" s="801"/>
      <c r="G150" s="801"/>
      <c r="H150" s="801"/>
      <c r="I150" s="801"/>
      <c r="J150" s="801"/>
      <c r="K150" s="801"/>
      <c r="L150" s="801"/>
      <c r="M150" s="801"/>
      <c r="N150" s="801"/>
      <c r="O150" s="801"/>
      <c r="P150" s="801"/>
      <c r="Q150" s="801"/>
      <c r="R150" s="801"/>
      <c r="S150" s="801"/>
      <c r="T150" s="801"/>
      <c r="U150" s="801"/>
      <c r="V150" s="801"/>
      <c r="W150" s="827"/>
      <c r="X150" s="807"/>
      <c r="Y150" s="807"/>
      <c r="Z150" s="807"/>
      <c r="AA150" s="807"/>
      <c r="AB150" s="807"/>
      <c r="AC150" s="807"/>
      <c r="AD150" s="808"/>
      <c r="AE150" s="807"/>
    </row>
    <row r="151" spans="1:31" s="806" customFormat="1" x14ac:dyDescent="0.3">
      <c r="A151" s="807"/>
      <c r="B151" s="807"/>
      <c r="C151" s="807"/>
      <c r="E151" s="807"/>
      <c r="F151" s="801"/>
      <c r="G151" s="801"/>
      <c r="H151" s="801"/>
      <c r="I151" s="801"/>
      <c r="J151" s="801"/>
      <c r="K151" s="801"/>
      <c r="L151" s="801"/>
      <c r="M151" s="801"/>
      <c r="N151" s="801"/>
      <c r="O151" s="801"/>
      <c r="P151" s="801"/>
      <c r="Q151" s="801"/>
      <c r="R151" s="801"/>
      <c r="S151" s="801"/>
      <c r="T151" s="801"/>
      <c r="U151" s="801"/>
      <c r="V151" s="801"/>
      <c r="W151" s="827"/>
      <c r="X151" s="807"/>
      <c r="Y151" s="807"/>
      <c r="Z151" s="807"/>
      <c r="AA151" s="807"/>
      <c r="AB151" s="807"/>
      <c r="AC151" s="807"/>
      <c r="AD151" s="808"/>
      <c r="AE151" s="807"/>
    </row>
    <row r="152" spans="1:31" s="806" customFormat="1" x14ac:dyDescent="0.3">
      <c r="A152" s="807"/>
      <c r="B152" s="807"/>
      <c r="C152" s="807"/>
      <c r="E152" s="807"/>
      <c r="F152" s="801"/>
      <c r="G152" s="801"/>
      <c r="H152" s="801"/>
      <c r="I152" s="801"/>
      <c r="J152" s="801"/>
      <c r="K152" s="801"/>
      <c r="L152" s="801"/>
      <c r="M152" s="801"/>
      <c r="N152" s="801"/>
      <c r="O152" s="801"/>
      <c r="P152" s="801"/>
      <c r="Q152" s="801"/>
      <c r="R152" s="801"/>
      <c r="S152" s="801"/>
      <c r="T152" s="801"/>
      <c r="U152" s="801"/>
      <c r="V152" s="801"/>
      <c r="W152" s="827"/>
      <c r="X152" s="807"/>
      <c r="Y152" s="807"/>
      <c r="Z152" s="807"/>
      <c r="AA152" s="807"/>
      <c r="AB152" s="807"/>
      <c r="AC152" s="807"/>
      <c r="AD152" s="808"/>
      <c r="AE152" s="807"/>
    </row>
    <row r="153" spans="1:31" s="806" customFormat="1" x14ac:dyDescent="0.3">
      <c r="A153" s="807"/>
      <c r="B153" s="807"/>
      <c r="C153" s="807"/>
      <c r="E153" s="807"/>
      <c r="F153" s="801"/>
      <c r="G153" s="801"/>
      <c r="H153" s="801"/>
      <c r="I153" s="801"/>
      <c r="J153" s="801"/>
      <c r="K153" s="801"/>
      <c r="L153" s="801"/>
      <c r="M153" s="801"/>
      <c r="N153" s="801"/>
      <c r="O153" s="801"/>
      <c r="P153" s="801"/>
      <c r="Q153" s="801"/>
      <c r="R153" s="801"/>
      <c r="S153" s="801"/>
      <c r="T153" s="801"/>
      <c r="U153" s="801"/>
      <c r="V153" s="801"/>
      <c r="W153" s="827"/>
      <c r="X153" s="807"/>
      <c r="Y153" s="807"/>
      <c r="Z153" s="807"/>
      <c r="AA153" s="807"/>
      <c r="AB153" s="807"/>
      <c r="AC153" s="807"/>
      <c r="AD153" s="808"/>
      <c r="AE153" s="807"/>
    </row>
    <row r="154" spans="1:31" s="806" customFormat="1" x14ac:dyDescent="0.3">
      <c r="A154" s="807"/>
      <c r="B154" s="807"/>
      <c r="C154" s="807"/>
      <c r="E154" s="807"/>
      <c r="F154" s="801"/>
      <c r="G154" s="801"/>
      <c r="H154" s="801"/>
      <c r="I154" s="801"/>
      <c r="J154" s="801"/>
      <c r="K154" s="801"/>
      <c r="L154" s="801"/>
      <c r="M154" s="801"/>
      <c r="N154" s="801"/>
      <c r="O154" s="801"/>
      <c r="P154" s="801"/>
      <c r="Q154" s="801"/>
      <c r="R154" s="801"/>
      <c r="S154" s="801"/>
      <c r="T154" s="801"/>
      <c r="U154" s="801"/>
      <c r="V154" s="801"/>
      <c r="W154" s="827"/>
      <c r="X154" s="807"/>
      <c r="Y154" s="807"/>
      <c r="Z154" s="807"/>
      <c r="AA154" s="807"/>
      <c r="AB154" s="807"/>
      <c r="AC154" s="807"/>
      <c r="AD154" s="808"/>
      <c r="AE154" s="807"/>
    </row>
    <row r="155" spans="1:31" s="806" customFormat="1" x14ac:dyDescent="0.3">
      <c r="A155" s="807"/>
      <c r="B155" s="807"/>
      <c r="C155" s="807"/>
      <c r="E155" s="807"/>
      <c r="F155" s="801"/>
      <c r="G155" s="801"/>
      <c r="H155" s="801"/>
      <c r="I155" s="801"/>
      <c r="J155" s="801"/>
      <c r="K155" s="801"/>
      <c r="L155" s="801"/>
      <c r="M155" s="801"/>
      <c r="N155" s="801"/>
      <c r="O155" s="801"/>
      <c r="P155" s="801"/>
      <c r="Q155" s="801"/>
      <c r="R155" s="801"/>
      <c r="S155" s="801"/>
      <c r="T155" s="801"/>
      <c r="U155" s="801"/>
      <c r="V155" s="801"/>
      <c r="W155" s="827"/>
      <c r="X155" s="807"/>
      <c r="Y155" s="807"/>
      <c r="Z155" s="807"/>
      <c r="AA155" s="807"/>
      <c r="AB155" s="807"/>
      <c r="AC155" s="807"/>
      <c r="AD155" s="808"/>
      <c r="AE155" s="807"/>
    </row>
    <row r="156" spans="1:31" s="806" customFormat="1" x14ac:dyDescent="0.3">
      <c r="A156" s="807"/>
      <c r="B156" s="807"/>
      <c r="C156" s="807"/>
      <c r="E156" s="807"/>
      <c r="F156" s="801"/>
      <c r="G156" s="801"/>
      <c r="H156" s="801"/>
      <c r="I156" s="801"/>
      <c r="J156" s="801"/>
      <c r="K156" s="801"/>
      <c r="L156" s="801"/>
      <c r="M156" s="801"/>
      <c r="N156" s="801"/>
      <c r="O156" s="801"/>
      <c r="P156" s="801"/>
      <c r="Q156" s="801"/>
      <c r="R156" s="801"/>
      <c r="S156" s="801"/>
      <c r="T156" s="801"/>
      <c r="U156" s="801"/>
      <c r="V156" s="801"/>
      <c r="W156" s="827"/>
      <c r="X156" s="807"/>
      <c r="Y156" s="807"/>
      <c r="Z156" s="807"/>
      <c r="AA156" s="807"/>
      <c r="AB156" s="807"/>
      <c r="AC156" s="807"/>
      <c r="AD156" s="808"/>
      <c r="AE156" s="807"/>
    </row>
    <row r="157" spans="1:31" s="806" customFormat="1" x14ac:dyDescent="0.3">
      <c r="A157" s="807"/>
      <c r="B157" s="807"/>
      <c r="C157" s="807"/>
      <c r="E157" s="807"/>
      <c r="F157" s="801"/>
      <c r="G157" s="801"/>
      <c r="H157" s="801"/>
      <c r="I157" s="801"/>
      <c r="J157" s="801"/>
      <c r="K157" s="801"/>
      <c r="L157" s="801"/>
      <c r="M157" s="801"/>
      <c r="N157" s="801"/>
      <c r="O157" s="801"/>
      <c r="P157" s="801"/>
      <c r="Q157" s="801"/>
      <c r="R157" s="801"/>
      <c r="S157" s="801"/>
      <c r="T157" s="801"/>
      <c r="U157" s="801"/>
      <c r="V157" s="801"/>
      <c r="W157" s="827"/>
      <c r="X157" s="807"/>
      <c r="Y157" s="807"/>
      <c r="Z157" s="807"/>
      <c r="AA157" s="807"/>
      <c r="AB157" s="807"/>
      <c r="AC157" s="807"/>
      <c r="AD157" s="808"/>
      <c r="AE157" s="807"/>
    </row>
    <row r="158" spans="1:31" s="806" customFormat="1" x14ac:dyDescent="0.3">
      <c r="A158" s="807"/>
      <c r="B158" s="807"/>
      <c r="C158" s="807"/>
      <c r="E158" s="807"/>
      <c r="F158" s="801"/>
      <c r="G158" s="801"/>
      <c r="H158" s="801"/>
      <c r="I158" s="801"/>
      <c r="J158" s="801"/>
      <c r="K158" s="801"/>
      <c r="L158" s="801"/>
      <c r="M158" s="801"/>
      <c r="N158" s="801"/>
      <c r="O158" s="801"/>
      <c r="P158" s="801"/>
      <c r="Q158" s="801"/>
      <c r="R158" s="801"/>
      <c r="S158" s="801"/>
      <c r="T158" s="801"/>
      <c r="U158" s="801"/>
      <c r="V158" s="801"/>
      <c r="W158" s="827"/>
      <c r="X158" s="807"/>
      <c r="Y158" s="807"/>
      <c r="Z158" s="807"/>
      <c r="AA158" s="807"/>
      <c r="AB158" s="807"/>
      <c r="AC158" s="807"/>
      <c r="AD158" s="808"/>
      <c r="AE158" s="807"/>
    </row>
    <row r="159" spans="1:31" s="806" customFormat="1" x14ac:dyDescent="0.3">
      <c r="A159" s="807"/>
      <c r="B159" s="807"/>
      <c r="C159" s="807"/>
      <c r="E159" s="807"/>
      <c r="F159" s="801"/>
      <c r="G159" s="801"/>
      <c r="H159" s="801"/>
      <c r="I159" s="801"/>
      <c r="J159" s="801"/>
      <c r="K159" s="801"/>
      <c r="L159" s="801"/>
      <c r="M159" s="801"/>
      <c r="N159" s="801"/>
      <c r="O159" s="801"/>
      <c r="P159" s="801"/>
      <c r="Q159" s="801"/>
      <c r="R159" s="801"/>
      <c r="S159" s="801"/>
      <c r="T159" s="801"/>
      <c r="U159" s="801"/>
      <c r="V159" s="801"/>
      <c r="W159" s="827"/>
      <c r="X159" s="807"/>
      <c r="Y159" s="807"/>
      <c r="Z159" s="807"/>
      <c r="AA159" s="807"/>
      <c r="AB159" s="807"/>
      <c r="AC159" s="807"/>
      <c r="AD159" s="808"/>
      <c r="AE159" s="807"/>
    </row>
    <row r="160" spans="1:31" s="806" customFormat="1" x14ac:dyDescent="0.3">
      <c r="A160" s="807"/>
      <c r="B160" s="807"/>
      <c r="C160" s="807"/>
      <c r="E160" s="807"/>
      <c r="F160" s="801"/>
      <c r="G160" s="801"/>
      <c r="H160" s="801"/>
      <c r="I160" s="801"/>
      <c r="J160" s="801"/>
      <c r="K160" s="801"/>
      <c r="L160" s="801"/>
      <c r="M160" s="801"/>
      <c r="N160" s="801"/>
      <c r="O160" s="801"/>
      <c r="P160" s="801"/>
      <c r="Q160" s="801"/>
      <c r="R160" s="801"/>
      <c r="S160" s="801"/>
      <c r="T160" s="801"/>
      <c r="U160" s="801"/>
      <c r="V160" s="801"/>
      <c r="W160" s="827"/>
      <c r="X160" s="807"/>
      <c r="Y160" s="807"/>
      <c r="Z160" s="807"/>
      <c r="AA160" s="807"/>
      <c r="AB160" s="807"/>
      <c r="AC160" s="807"/>
      <c r="AD160" s="808"/>
      <c r="AE160" s="807"/>
    </row>
    <row r="161" spans="1:31" s="806" customFormat="1" x14ac:dyDescent="0.3">
      <c r="A161" s="807"/>
      <c r="B161" s="807"/>
      <c r="C161" s="807"/>
      <c r="E161" s="807"/>
      <c r="F161" s="801"/>
      <c r="G161" s="801"/>
      <c r="H161" s="801"/>
      <c r="I161" s="801"/>
      <c r="J161" s="801"/>
      <c r="K161" s="801"/>
      <c r="L161" s="801"/>
      <c r="M161" s="801"/>
      <c r="N161" s="801"/>
      <c r="O161" s="801"/>
      <c r="P161" s="801"/>
      <c r="Q161" s="801"/>
      <c r="R161" s="801"/>
      <c r="S161" s="801"/>
      <c r="T161" s="801"/>
      <c r="U161" s="801"/>
      <c r="V161" s="801"/>
      <c r="W161" s="827"/>
      <c r="X161" s="807"/>
      <c r="Y161" s="807"/>
      <c r="Z161" s="807"/>
      <c r="AA161" s="807"/>
      <c r="AB161" s="807"/>
      <c r="AC161" s="807"/>
      <c r="AD161" s="808"/>
      <c r="AE161" s="807"/>
    </row>
    <row r="162" spans="1:31" s="806" customFormat="1" x14ac:dyDescent="0.3">
      <c r="A162" s="807"/>
      <c r="B162" s="807"/>
      <c r="C162" s="807"/>
      <c r="E162" s="807"/>
      <c r="F162" s="801"/>
      <c r="G162" s="801"/>
      <c r="H162" s="801"/>
      <c r="I162" s="801"/>
      <c r="J162" s="801"/>
      <c r="K162" s="801"/>
      <c r="L162" s="801"/>
      <c r="M162" s="801"/>
      <c r="N162" s="801"/>
      <c r="O162" s="801"/>
      <c r="P162" s="801"/>
      <c r="Q162" s="801"/>
      <c r="R162" s="801"/>
      <c r="S162" s="801"/>
      <c r="T162" s="801"/>
      <c r="U162" s="801"/>
      <c r="V162" s="801"/>
      <c r="W162" s="827"/>
      <c r="X162" s="807"/>
      <c r="Y162" s="807"/>
      <c r="Z162" s="807"/>
      <c r="AA162" s="807"/>
      <c r="AB162" s="807"/>
      <c r="AC162" s="807"/>
      <c r="AD162" s="808"/>
      <c r="AE162" s="807"/>
    </row>
    <row r="163" spans="1:31" s="806" customFormat="1" x14ac:dyDescent="0.3">
      <c r="A163" s="807"/>
      <c r="B163" s="807"/>
      <c r="C163" s="807"/>
      <c r="E163" s="807"/>
      <c r="F163" s="801"/>
      <c r="G163" s="801"/>
      <c r="H163" s="801"/>
      <c r="I163" s="801"/>
      <c r="J163" s="801"/>
      <c r="K163" s="801"/>
      <c r="L163" s="801"/>
      <c r="M163" s="801"/>
      <c r="N163" s="801"/>
      <c r="O163" s="801"/>
      <c r="P163" s="801"/>
      <c r="Q163" s="801"/>
      <c r="R163" s="801"/>
      <c r="S163" s="801"/>
      <c r="T163" s="801"/>
      <c r="U163" s="801"/>
      <c r="V163" s="801"/>
      <c r="W163" s="827"/>
      <c r="X163" s="807"/>
      <c r="Y163" s="807"/>
      <c r="Z163" s="807"/>
      <c r="AA163" s="807"/>
      <c r="AB163" s="807"/>
      <c r="AC163" s="807"/>
      <c r="AD163" s="808"/>
      <c r="AE163" s="807"/>
    </row>
    <row r="164" spans="1:31" s="806" customFormat="1" x14ac:dyDescent="0.3">
      <c r="A164" s="807"/>
      <c r="B164" s="807"/>
      <c r="C164" s="807"/>
      <c r="E164" s="807"/>
      <c r="F164" s="801"/>
      <c r="G164" s="801"/>
      <c r="H164" s="801"/>
      <c r="I164" s="801"/>
      <c r="J164" s="801"/>
      <c r="K164" s="801"/>
      <c r="L164" s="801"/>
      <c r="M164" s="801"/>
      <c r="N164" s="801"/>
      <c r="O164" s="801"/>
      <c r="P164" s="801"/>
      <c r="Q164" s="801"/>
      <c r="R164" s="801"/>
      <c r="S164" s="801"/>
      <c r="T164" s="801"/>
      <c r="U164" s="801"/>
      <c r="V164" s="801"/>
      <c r="W164" s="827"/>
      <c r="X164" s="807"/>
      <c r="Y164" s="807"/>
      <c r="Z164" s="807"/>
      <c r="AA164" s="807"/>
      <c r="AB164" s="807"/>
      <c r="AC164" s="807"/>
      <c r="AD164" s="808"/>
      <c r="AE164" s="807"/>
    </row>
    <row r="165" spans="1:31" s="806" customFormat="1" x14ac:dyDescent="0.3">
      <c r="A165" s="807"/>
      <c r="B165" s="807"/>
      <c r="C165" s="807"/>
      <c r="E165" s="807"/>
      <c r="F165" s="801"/>
      <c r="G165" s="801"/>
      <c r="H165" s="801"/>
      <c r="I165" s="801"/>
      <c r="J165" s="801"/>
      <c r="K165" s="801"/>
      <c r="L165" s="801"/>
      <c r="M165" s="801"/>
      <c r="N165" s="801"/>
      <c r="O165" s="801"/>
      <c r="P165" s="801"/>
      <c r="Q165" s="801"/>
      <c r="R165" s="801"/>
      <c r="S165" s="801"/>
      <c r="T165" s="801"/>
      <c r="U165" s="801"/>
      <c r="V165" s="801"/>
      <c r="W165" s="827"/>
      <c r="X165" s="807"/>
      <c r="Y165" s="807"/>
      <c r="Z165" s="807"/>
      <c r="AA165" s="807"/>
      <c r="AB165" s="807"/>
      <c r="AC165" s="807"/>
      <c r="AD165" s="808"/>
      <c r="AE165" s="807"/>
    </row>
    <row r="166" spans="1:31" s="806" customFormat="1" x14ac:dyDescent="0.3">
      <c r="A166" s="807"/>
      <c r="B166" s="807"/>
      <c r="C166" s="807"/>
      <c r="E166" s="807"/>
      <c r="F166" s="801"/>
      <c r="G166" s="801"/>
      <c r="H166" s="801"/>
      <c r="I166" s="801"/>
      <c r="J166" s="801"/>
      <c r="K166" s="801"/>
      <c r="L166" s="801"/>
      <c r="M166" s="801"/>
      <c r="N166" s="801"/>
      <c r="O166" s="801"/>
      <c r="P166" s="801"/>
      <c r="Q166" s="801"/>
      <c r="R166" s="801"/>
      <c r="S166" s="801"/>
      <c r="T166" s="801"/>
      <c r="U166" s="801"/>
      <c r="V166" s="801"/>
      <c r="W166" s="827"/>
      <c r="X166" s="807"/>
      <c r="Y166" s="807"/>
      <c r="Z166" s="807"/>
      <c r="AA166" s="807"/>
      <c r="AB166" s="807"/>
      <c r="AC166" s="807"/>
      <c r="AD166" s="808"/>
      <c r="AE166" s="807"/>
    </row>
    <row r="167" spans="1:31" s="806" customFormat="1" x14ac:dyDescent="0.3">
      <c r="A167" s="807"/>
      <c r="B167" s="807"/>
      <c r="C167" s="807"/>
      <c r="E167" s="807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27"/>
      <c r="X167" s="807"/>
      <c r="Y167" s="807"/>
      <c r="Z167" s="807"/>
      <c r="AA167" s="807"/>
      <c r="AB167" s="807"/>
      <c r="AC167" s="807"/>
      <c r="AD167" s="808"/>
      <c r="AE167" s="807"/>
    </row>
    <row r="168" spans="1:31" s="806" customFormat="1" x14ac:dyDescent="0.3">
      <c r="A168" s="807"/>
      <c r="B168" s="807"/>
      <c r="C168" s="807"/>
      <c r="E168" s="807"/>
      <c r="F168" s="801"/>
      <c r="G168" s="801"/>
      <c r="H168" s="801"/>
      <c r="I168" s="801"/>
      <c r="J168" s="801"/>
      <c r="K168" s="801"/>
      <c r="L168" s="801"/>
      <c r="M168" s="801"/>
      <c r="N168" s="801"/>
      <c r="O168" s="801"/>
      <c r="P168" s="801"/>
      <c r="Q168" s="801"/>
      <c r="R168" s="801"/>
      <c r="S168" s="801"/>
      <c r="T168" s="801"/>
      <c r="U168" s="801"/>
      <c r="V168" s="801"/>
      <c r="W168" s="827"/>
      <c r="X168" s="807"/>
      <c r="Y168" s="807"/>
      <c r="Z168" s="807"/>
      <c r="AA168" s="807"/>
      <c r="AB168" s="807"/>
      <c r="AC168" s="807"/>
      <c r="AD168" s="808"/>
      <c r="AE168" s="807"/>
    </row>
    <row r="169" spans="1:31" s="806" customFormat="1" x14ac:dyDescent="0.3">
      <c r="A169" s="807"/>
      <c r="B169" s="807"/>
      <c r="C169" s="807"/>
      <c r="E169" s="807"/>
      <c r="F169" s="801"/>
      <c r="G169" s="801"/>
      <c r="H169" s="801"/>
      <c r="I169" s="801"/>
      <c r="J169" s="801"/>
      <c r="K169" s="801"/>
      <c r="L169" s="801"/>
      <c r="M169" s="801"/>
      <c r="N169" s="801"/>
      <c r="O169" s="801"/>
      <c r="P169" s="801"/>
      <c r="Q169" s="801"/>
      <c r="R169" s="801"/>
      <c r="S169" s="801"/>
      <c r="T169" s="801"/>
      <c r="U169" s="801"/>
      <c r="V169" s="801"/>
      <c r="W169" s="827"/>
      <c r="X169" s="807"/>
      <c r="Y169" s="807"/>
      <c r="Z169" s="807"/>
      <c r="AA169" s="807"/>
      <c r="AB169" s="807"/>
      <c r="AC169" s="807"/>
      <c r="AD169" s="808"/>
      <c r="AE169" s="807"/>
    </row>
    <row r="170" spans="1:31" s="806" customFormat="1" x14ac:dyDescent="0.3">
      <c r="A170" s="807"/>
      <c r="B170" s="807"/>
      <c r="C170" s="807"/>
      <c r="E170" s="807"/>
      <c r="F170" s="801"/>
      <c r="G170" s="801"/>
      <c r="H170" s="801"/>
      <c r="I170" s="801"/>
      <c r="J170" s="801"/>
      <c r="K170" s="801"/>
      <c r="L170" s="801"/>
      <c r="M170" s="801"/>
      <c r="N170" s="801"/>
      <c r="O170" s="801"/>
      <c r="P170" s="801"/>
      <c r="Q170" s="801"/>
      <c r="R170" s="801"/>
      <c r="S170" s="801"/>
      <c r="T170" s="801"/>
      <c r="U170" s="801"/>
      <c r="V170" s="801"/>
      <c r="W170" s="827"/>
      <c r="X170" s="807"/>
      <c r="Y170" s="807"/>
      <c r="Z170" s="807"/>
      <c r="AA170" s="807"/>
      <c r="AB170" s="807"/>
      <c r="AC170" s="807"/>
      <c r="AD170" s="808"/>
      <c r="AE170" s="807"/>
    </row>
    <row r="171" spans="1:31" s="806" customFormat="1" x14ac:dyDescent="0.3">
      <c r="A171" s="807"/>
      <c r="B171" s="807"/>
      <c r="C171" s="807"/>
      <c r="E171" s="807"/>
      <c r="F171" s="801"/>
      <c r="G171" s="801"/>
      <c r="H171" s="801"/>
      <c r="I171" s="801"/>
      <c r="J171" s="801"/>
      <c r="K171" s="801"/>
      <c r="L171" s="801"/>
      <c r="M171" s="801"/>
      <c r="N171" s="801"/>
      <c r="O171" s="801"/>
      <c r="P171" s="801"/>
      <c r="Q171" s="801"/>
      <c r="R171" s="801"/>
      <c r="S171" s="801"/>
      <c r="T171" s="801"/>
      <c r="U171" s="801"/>
      <c r="V171" s="801"/>
      <c r="W171" s="827"/>
      <c r="X171" s="807"/>
      <c r="Y171" s="807"/>
      <c r="Z171" s="807"/>
      <c r="AA171" s="807"/>
      <c r="AB171" s="807"/>
      <c r="AC171" s="807"/>
      <c r="AD171" s="808"/>
      <c r="AE171" s="807"/>
    </row>
    <row r="172" spans="1:31" s="806" customFormat="1" x14ac:dyDescent="0.3">
      <c r="A172" s="807"/>
      <c r="B172" s="807"/>
      <c r="C172" s="807"/>
      <c r="E172" s="807"/>
      <c r="F172" s="801"/>
      <c r="G172" s="801"/>
      <c r="H172" s="801"/>
      <c r="I172" s="801"/>
      <c r="J172" s="801"/>
      <c r="K172" s="801"/>
      <c r="L172" s="801"/>
      <c r="M172" s="801"/>
      <c r="N172" s="801"/>
      <c r="O172" s="801"/>
      <c r="P172" s="801"/>
      <c r="Q172" s="801"/>
      <c r="R172" s="801"/>
      <c r="S172" s="801"/>
      <c r="T172" s="801"/>
      <c r="U172" s="801"/>
      <c r="V172" s="801"/>
      <c r="W172" s="827"/>
      <c r="X172" s="807"/>
      <c r="Y172" s="807"/>
      <c r="Z172" s="807"/>
      <c r="AA172" s="807"/>
      <c r="AB172" s="807"/>
      <c r="AC172" s="807"/>
      <c r="AD172" s="808"/>
      <c r="AE172" s="807"/>
    </row>
    <row r="173" spans="1:31" s="806" customFormat="1" x14ac:dyDescent="0.3">
      <c r="A173" s="807"/>
      <c r="B173" s="807"/>
      <c r="C173" s="807"/>
      <c r="E173" s="807"/>
      <c r="F173" s="801"/>
      <c r="G173" s="801"/>
      <c r="H173" s="801"/>
      <c r="I173" s="801"/>
      <c r="J173" s="801"/>
      <c r="K173" s="801"/>
      <c r="L173" s="801"/>
      <c r="M173" s="801"/>
      <c r="N173" s="801"/>
      <c r="O173" s="801"/>
      <c r="P173" s="801"/>
      <c r="Q173" s="801"/>
      <c r="R173" s="801"/>
      <c r="S173" s="801"/>
      <c r="T173" s="801"/>
      <c r="U173" s="801"/>
      <c r="V173" s="801"/>
      <c r="W173" s="827"/>
      <c r="X173" s="807"/>
      <c r="Y173" s="807"/>
      <c r="Z173" s="807"/>
      <c r="AA173" s="807"/>
      <c r="AB173" s="807"/>
      <c r="AC173" s="807"/>
      <c r="AD173" s="808"/>
      <c r="AE173" s="807"/>
    </row>
    <row r="174" spans="1:31" s="806" customFormat="1" x14ac:dyDescent="0.3">
      <c r="A174" s="807"/>
      <c r="B174" s="807"/>
      <c r="C174" s="807"/>
      <c r="E174" s="807"/>
      <c r="F174" s="801"/>
      <c r="G174" s="801"/>
      <c r="H174" s="801"/>
      <c r="I174" s="801"/>
      <c r="J174" s="801"/>
      <c r="K174" s="801"/>
      <c r="L174" s="801"/>
      <c r="M174" s="801"/>
      <c r="N174" s="801"/>
      <c r="O174" s="801"/>
      <c r="P174" s="801"/>
      <c r="Q174" s="801"/>
      <c r="R174" s="801"/>
      <c r="S174" s="801"/>
      <c r="T174" s="801"/>
      <c r="U174" s="801"/>
      <c r="V174" s="801"/>
      <c r="W174" s="827"/>
      <c r="X174" s="807"/>
      <c r="Y174" s="807"/>
      <c r="Z174" s="807"/>
      <c r="AA174" s="807"/>
      <c r="AB174" s="807"/>
      <c r="AC174" s="807"/>
      <c r="AD174" s="808"/>
      <c r="AE174" s="807"/>
    </row>
    <row r="175" spans="1:31" s="806" customFormat="1" x14ac:dyDescent="0.3">
      <c r="A175" s="807"/>
      <c r="B175" s="807"/>
      <c r="C175" s="807"/>
      <c r="E175" s="807"/>
      <c r="F175" s="801"/>
      <c r="G175" s="801"/>
      <c r="H175" s="801"/>
      <c r="I175" s="801"/>
      <c r="J175" s="801"/>
      <c r="K175" s="801"/>
      <c r="L175" s="801"/>
      <c r="M175" s="801"/>
      <c r="N175" s="801"/>
      <c r="O175" s="801"/>
      <c r="P175" s="801"/>
      <c r="Q175" s="801"/>
      <c r="R175" s="801"/>
      <c r="S175" s="801"/>
      <c r="T175" s="801"/>
      <c r="U175" s="801"/>
      <c r="V175" s="801"/>
      <c r="W175" s="827"/>
      <c r="X175" s="807"/>
      <c r="Y175" s="807"/>
      <c r="Z175" s="807"/>
      <c r="AA175" s="807"/>
      <c r="AB175" s="807"/>
      <c r="AC175" s="807"/>
      <c r="AD175" s="808"/>
      <c r="AE175" s="807"/>
    </row>
    <row r="176" spans="1:31" s="806" customFormat="1" x14ac:dyDescent="0.3">
      <c r="A176" s="807"/>
      <c r="B176" s="807"/>
      <c r="C176" s="807"/>
      <c r="E176" s="807"/>
      <c r="F176" s="801"/>
      <c r="G176" s="801"/>
      <c r="H176" s="801"/>
      <c r="I176" s="801"/>
      <c r="J176" s="801"/>
      <c r="K176" s="801"/>
      <c r="L176" s="801"/>
      <c r="M176" s="801"/>
      <c r="N176" s="801"/>
      <c r="O176" s="801"/>
      <c r="P176" s="801"/>
      <c r="Q176" s="801"/>
      <c r="R176" s="801"/>
      <c r="S176" s="801"/>
      <c r="T176" s="801"/>
      <c r="U176" s="801"/>
      <c r="V176" s="801"/>
      <c r="W176" s="827"/>
      <c r="X176" s="807"/>
      <c r="Y176" s="807"/>
      <c r="Z176" s="807"/>
      <c r="AA176" s="807"/>
      <c r="AB176" s="807"/>
      <c r="AC176" s="807"/>
      <c r="AD176" s="808"/>
      <c r="AE176" s="807"/>
    </row>
    <row r="177" spans="1:31" s="806" customFormat="1" x14ac:dyDescent="0.3">
      <c r="A177" s="807"/>
      <c r="B177" s="807"/>
      <c r="C177" s="807"/>
      <c r="E177" s="807"/>
      <c r="F177" s="801"/>
      <c r="G177" s="801"/>
      <c r="H177" s="801"/>
      <c r="I177" s="801"/>
      <c r="J177" s="801"/>
      <c r="K177" s="801"/>
      <c r="L177" s="801"/>
      <c r="M177" s="801"/>
      <c r="N177" s="801"/>
      <c r="O177" s="801"/>
      <c r="P177" s="801"/>
      <c r="Q177" s="801"/>
      <c r="R177" s="801"/>
      <c r="S177" s="801"/>
      <c r="T177" s="801"/>
      <c r="U177" s="801"/>
      <c r="V177" s="801"/>
      <c r="W177" s="827"/>
      <c r="X177" s="807"/>
      <c r="Y177" s="807"/>
      <c r="Z177" s="807"/>
      <c r="AA177" s="807"/>
      <c r="AB177" s="807"/>
      <c r="AC177" s="807"/>
      <c r="AD177" s="808"/>
      <c r="AE177" s="807"/>
    </row>
    <row r="178" spans="1:31" s="806" customFormat="1" x14ac:dyDescent="0.3">
      <c r="A178" s="807"/>
      <c r="B178" s="807"/>
      <c r="C178" s="807"/>
      <c r="E178" s="807"/>
      <c r="F178" s="801"/>
      <c r="G178" s="801"/>
      <c r="H178" s="801"/>
      <c r="I178" s="801"/>
      <c r="J178" s="801"/>
      <c r="K178" s="801"/>
      <c r="L178" s="801"/>
      <c r="M178" s="801"/>
      <c r="N178" s="801"/>
      <c r="O178" s="801"/>
      <c r="P178" s="801"/>
      <c r="Q178" s="801"/>
      <c r="R178" s="801"/>
      <c r="S178" s="801"/>
      <c r="T178" s="801"/>
      <c r="U178" s="801"/>
      <c r="V178" s="801"/>
      <c r="W178" s="827"/>
      <c r="X178" s="807"/>
      <c r="Y178" s="807"/>
      <c r="Z178" s="807"/>
      <c r="AA178" s="807"/>
      <c r="AB178" s="807"/>
      <c r="AC178" s="807"/>
      <c r="AD178" s="808"/>
      <c r="AE178" s="807"/>
    </row>
    <row r="179" spans="1:31" s="806" customFormat="1" x14ac:dyDescent="0.3">
      <c r="A179" s="807"/>
      <c r="B179" s="807"/>
      <c r="C179" s="807"/>
      <c r="E179" s="807"/>
      <c r="F179" s="801"/>
      <c r="G179" s="801"/>
      <c r="H179" s="801"/>
      <c r="I179" s="801"/>
      <c r="J179" s="801"/>
      <c r="K179" s="801"/>
      <c r="L179" s="801"/>
      <c r="M179" s="801"/>
      <c r="N179" s="801"/>
      <c r="O179" s="801"/>
      <c r="P179" s="801"/>
      <c r="Q179" s="801"/>
      <c r="R179" s="801"/>
      <c r="S179" s="801"/>
      <c r="T179" s="801"/>
      <c r="U179" s="801"/>
      <c r="V179" s="801"/>
      <c r="W179" s="827"/>
      <c r="X179" s="807"/>
      <c r="Y179" s="807"/>
      <c r="Z179" s="807"/>
      <c r="AA179" s="807"/>
      <c r="AB179" s="807"/>
      <c r="AC179" s="807"/>
      <c r="AD179" s="808"/>
      <c r="AE179" s="807"/>
    </row>
    <row r="180" spans="1:31" s="806" customFormat="1" x14ac:dyDescent="0.3">
      <c r="A180" s="807"/>
      <c r="B180" s="807"/>
      <c r="C180" s="807"/>
      <c r="E180" s="807"/>
      <c r="F180" s="801"/>
      <c r="G180" s="801"/>
      <c r="H180" s="801"/>
      <c r="I180" s="801"/>
      <c r="J180" s="801"/>
      <c r="K180" s="801"/>
      <c r="L180" s="801"/>
      <c r="M180" s="801"/>
      <c r="N180" s="801"/>
      <c r="O180" s="801"/>
      <c r="P180" s="801"/>
      <c r="Q180" s="801"/>
      <c r="R180" s="801"/>
      <c r="S180" s="801"/>
      <c r="T180" s="801"/>
      <c r="U180" s="801"/>
      <c r="V180" s="801"/>
      <c r="W180" s="827"/>
      <c r="X180" s="807"/>
      <c r="Y180" s="807"/>
      <c r="Z180" s="807"/>
      <c r="AA180" s="807"/>
      <c r="AB180" s="807"/>
      <c r="AC180" s="807"/>
      <c r="AD180" s="808"/>
      <c r="AE180" s="807"/>
    </row>
    <row r="181" spans="1:31" s="806" customFormat="1" x14ac:dyDescent="0.3">
      <c r="A181" s="807"/>
      <c r="B181" s="807"/>
      <c r="C181" s="807"/>
      <c r="E181" s="807"/>
      <c r="F181" s="801"/>
      <c r="G181" s="801"/>
      <c r="H181" s="801"/>
      <c r="I181" s="801"/>
      <c r="J181" s="801"/>
      <c r="K181" s="801"/>
      <c r="L181" s="801"/>
      <c r="M181" s="801"/>
      <c r="N181" s="801"/>
      <c r="O181" s="801"/>
      <c r="P181" s="801"/>
      <c r="Q181" s="801"/>
      <c r="R181" s="801"/>
      <c r="S181" s="801"/>
      <c r="T181" s="801"/>
      <c r="U181" s="801"/>
      <c r="V181" s="801"/>
      <c r="W181" s="827"/>
      <c r="X181" s="807"/>
      <c r="Y181" s="807"/>
      <c r="Z181" s="807"/>
      <c r="AA181" s="807"/>
      <c r="AB181" s="807"/>
      <c r="AC181" s="807"/>
      <c r="AD181" s="808"/>
      <c r="AE181" s="807"/>
    </row>
    <row r="182" spans="1:31" s="806" customFormat="1" x14ac:dyDescent="0.3">
      <c r="A182" s="807"/>
      <c r="B182" s="807"/>
      <c r="C182" s="807"/>
      <c r="E182" s="807"/>
      <c r="F182" s="801"/>
      <c r="G182" s="801"/>
      <c r="H182" s="801"/>
      <c r="I182" s="801"/>
      <c r="J182" s="801"/>
      <c r="K182" s="801"/>
      <c r="L182" s="801"/>
      <c r="M182" s="801"/>
      <c r="N182" s="801"/>
      <c r="O182" s="801"/>
      <c r="P182" s="801"/>
      <c r="Q182" s="801"/>
      <c r="R182" s="801"/>
      <c r="S182" s="801"/>
      <c r="T182" s="801"/>
      <c r="U182" s="801"/>
      <c r="V182" s="801"/>
      <c r="W182" s="827"/>
      <c r="X182" s="807"/>
      <c r="Y182" s="807"/>
      <c r="Z182" s="807"/>
      <c r="AA182" s="807"/>
      <c r="AB182" s="807"/>
      <c r="AC182" s="807"/>
      <c r="AD182" s="808"/>
      <c r="AE182" s="807"/>
    </row>
    <row r="183" spans="1:31" s="806" customFormat="1" x14ac:dyDescent="0.3">
      <c r="A183" s="807"/>
      <c r="B183" s="807"/>
      <c r="C183" s="807"/>
      <c r="E183" s="807"/>
      <c r="F183" s="801"/>
      <c r="G183" s="801"/>
      <c r="H183" s="801"/>
      <c r="I183" s="801"/>
      <c r="J183" s="801"/>
      <c r="K183" s="801"/>
      <c r="L183" s="801"/>
      <c r="M183" s="801"/>
      <c r="N183" s="801"/>
      <c r="O183" s="801"/>
      <c r="P183" s="801"/>
      <c r="Q183" s="801"/>
      <c r="R183" s="801"/>
      <c r="S183" s="801"/>
      <c r="T183" s="801"/>
      <c r="U183" s="801"/>
      <c r="V183" s="801"/>
      <c r="W183" s="827"/>
      <c r="X183" s="807"/>
      <c r="Y183" s="807"/>
      <c r="Z183" s="807"/>
      <c r="AA183" s="807"/>
      <c r="AB183" s="807"/>
      <c r="AC183" s="807"/>
      <c r="AD183" s="808"/>
      <c r="AE183" s="807"/>
    </row>
    <row r="184" spans="1:31" s="806" customFormat="1" x14ac:dyDescent="0.3">
      <c r="A184" s="807"/>
      <c r="B184" s="807"/>
      <c r="C184" s="807"/>
      <c r="E184" s="807"/>
      <c r="F184" s="801"/>
      <c r="G184" s="801"/>
      <c r="H184" s="801"/>
      <c r="I184" s="801"/>
      <c r="J184" s="801"/>
      <c r="K184" s="801"/>
      <c r="L184" s="801"/>
      <c r="M184" s="801"/>
      <c r="N184" s="801"/>
      <c r="O184" s="801"/>
      <c r="P184" s="801"/>
      <c r="Q184" s="801"/>
      <c r="R184" s="801"/>
      <c r="S184" s="801"/>
      <c r="T184" s="801"/>
      <c r="U184" s="801"/>
      <c r="V184" s="801"/>
      <c r="W184" s="827"/>
      <c r="X184" s="807"/>
      <c r="Y184" s="807"/>
      <c r="Z184" s="807"/>
      <c r="AA184" s="807"/>
      <c r="AB184" s="807"/>
      <c r="AC184" s="807"/>
      <c r="AD184" s="808"/>
      <c r="AE184" s="807"/>
    </row>
    <row r="185" spans="1:31" s="806" customFormat="1" x14ac:dyDescent="0.3">
      <c r="A185" s="807"/>
      <c r="B185" s="807"/>
      <c r="C185" s="807"/>
      <c r="E185" s="807"/>
      <c r="F185" s="801"/>
      <c r="G185" s="801"/>
      <c r="H185" s="801"/>
      <c r="I185" s="801"/>
      <c r="J185" s="801"/>
      <c r="K185" s="801"/>
      <c r="L185" s="801"/>
      <c r="M185" s="801"/>
      <c r="N185" s="801"/>
      <c r="O185" s="801"/>
      <c r="P185" s="801"/>
      <c r="Q185" s="801"/>
      <c r="R185" s="801"/>
      <c r="S185" s="801"/>
      <c r="T185" s="801"/>
      <c r="U185" s="801"/>
      <c r="V185" s="801"/>
      <c r="W185" s="827"/>
      <c r="X185" s="807"/>
      <c r="Y185" s="807"/>
      <c r="Z185" s="807"/>
      <c r="AA185" s="807"/>
      <c r="AB185" s="807"/>
      <c r="AC185" s="807"/>
      <c r="AD185" s="808"/>
      <c r="AE185" s="807"/>
    </row>
    <row r="186" spans="1:31" s="806" customFormat="1" x14ac:dyDescent="0.3">
      <c r="A186" s="807"/>
      <c r="B186" s="807"/>
      <c r="C186" s="807"/>
      <c r="E186" s="807"/>
      <c r="F186" s="801"/>
      <c r="G186" s="801"/>
      <c r="H186" s="801"/>
      <c r="I186" s="801"/>
      <c r="J186" s="801"/>
      <c r="K186" s="801"/>
      <c r="L186" s="801"/>
      <c r="M186" s="801"/>
      <c r="N186" s="801"/>
      <c r="O186" s="801"/>
      <c r="P186" s="801"/>
      <c r="Q186" s="801"/>
      <c r="R186" s="801"/>
      <c r="S186" s="801"/>
      <c r="T186" s="801"/>
      <c r="U186" s="801"/>
      <c r="V186" s="801"/>
      <c r="W186" s="827"/>
      <c r="X186" s="807"/>
      <c r="Y186" s="807"/>
      <c r="Z186" s="807"/>
      <c r="AA186" s="807"/>
      <c r="AB186" s="807"/>
      <c r="AC186" s="807"/>
      <c r="AD186" s="808"/>
      <c r="AE186" s="807"/>
    </row>
    <row r="187" spans="1:31" s="806" customFormat="1" x14ac:dyDescent="0.3">
      <c r="A187" s="807"/>
      <c r="B187" s="807"/>
      <c r="C187" s="807"/>
      <c r="E187" s="807"/>
      <c r="F187" s="801"/>
      <c r="G187" s="801"/>
      <c r="H187" s="801"/>
      <c r="I187" s="801"/>
      <c r="J187" s="801"/>
      <c r="K187" s="801"/>
      <c r="L187" s="801"/>
      <c r="M187" s="801"/>
      <c r="N187" s="801"/>
      <c r="O187" s="801"/>
      <c r="P187" s="801"/>
      <c r="Q187" s="801"/>
      <c r="R187" s="801"/>
      <c r="S187" s="801"/>
      <c r="T187" s="801"/>
      <c r="U187" s="801"/>
      <c r="V187" s="801"/>
      <c r="W187" s="827"/>
      <c r="X187" s="807"/>
      <c r="Y187" s="807"/>
      <c r="Z187" s="807"/>
      <c r="AA187" s="807"/>
      <c r="AB187" s="807"/>
      <c r="AC187" s="807"/>
      <c r="AD187" s="808"/>
      <c r="AE187" s="807"/>
    </row>
    <row r="188" spans="1:31" s="806" customFormat="1" x14ac:dyDescent="0.3">
      <c r="A188" s="807"/>
      <c r="B188" s="807"/>
      <c r="C188" s="807"/>
      <c r="E188" s="807"/>
      <c r="F188" s="801"/>
      <c r="G188" s="801"/>
      <c r="H188" s="801"/>
      <c r="I188" s="801"/>
      <c r="J188" s="801"/>
      <c r="K188" s="801"/>
      <c r="L188" s="801"/>
      <c r="M188" s="801"/>
      <c r="N188" s="801"/>
      <c r="O188" s="801"/>
      <c r="P188" s="801"/>
      <c r="Q188" s="801"/>
      <c r="R188" s="801"/>
      <c r="S188" s="801"/>
      <c r="T188" s="801"/>
      <c r="U188" s="801"/>
      <c r="V188" s="801"/>
      <c r="W188" s="827"/>
      <c r="X188" s="807"/>
      <c r="Y188" s="807"/>
      <c r="Z188" s="807"/>
      <c r="AA188" s="807"/>
      <c r="AB188" s="807"/>
      <c r="AC188" s="807"/>
      <c r="AD188" s="808"/>
      <c r="AE188" s="807"/>
    </row>
    <row r="189" spans="1:31" s="806" customFormat="1" x14ac:dyDescent="0.3">
      <c r="A189" s="807"/>
      <c r="B189" s="807"/>
      <c r="C189" s="807"/>
      <c r="E189" s="807"/>
      <c r="F189" s="801"/>
      <c r="G189" s="801"/>
      <c r="H189" s="801"/>
      <c r="I189" s="801"/>
      <c r="J189" s="801"/>
      <c r="K189" s="801"/>
      <c r="L189" s="801"/>
      <c r="M189" s="801"/>
      <c r="N189" s="801"/>
      <c r="O189" s="801"/>
      <c r="P189" s="801"/>
      <c r="Q189" s="801"/>
      <c r="R189" s="801"/>
      <c r="S189" s="801"/>
      <c r="T189" s="801"/>
      <c r="U189" s="801"/>
      <c r="V189" s="801"/>
      <c r="W189" s="827"/>
      <c r="X189" s="807"/>
      <c r="Y189" s="807"/>
      <c r="Z189" s="807"/>
      <c r="AA189" s="807"/>
      <c r="AB189" s="807"/>
      <c r="AC189" s="807"/>
      <c r="AD189" s="808"/>
      <c r="AE189" s="807"/>
    </row>
    <row r="190" spans="1:31" s="806" customFormat="1" x14ac:dyDescent="0.3">
      <c r="A190" s="807"/>
      <c r="B190" s="807"/>
      <c r="C190" s="807"/>
      <c r="E190" s="807"/>
      <c r="F190" s="801"/>
      <c r="G190" s="801"/>
      <c r="H190" s="801"/>
      <c r="I190" s="801"/>
      <c r="J190" s="801"/>
      <c r="K190" s="801"/>
      <c r="L190" s="801"/>
      <c r="M190" s="801"/>
      <c r="N190" s="801"/>
      <c r="O190" s="801"/>
      <c r="P190" s="801"/>
      <c r="Q190" s="801"/>
      <c r="R190" s="801"/>
      <c r="S190" s="801"/>
      <c r="T190" s="801"/>
      <c r="U190" s="801"/>
      <c r="V190" s="801"/>
      <c r="W190" s="827"/>
      <c r="X190" s="807"/>
      <c r="Y190" s="807"/>
      <c r="Z190" s="807"/>
      <c r="AA190" s="807"/>
      <c r="AB190" s="807"/>
      <c r="AC190" s="807"/>
      <c r="AD190" s="808"/>
      <c r="AE190" s="807"/>
    </row>
    <row r="191" spans="1:31" s="806" customFormat="1" x14ac:dyDescent="0.3">
      <c r="A191" s="807"/>
      <c r="B191" s="807"/>
      <c r="C191" s="807"/>
      <c r="E191" s="807"/>
      <c r="F191" s="801"/>
      <c r="G191" s="801"/>
      <c r="H191" s="801"/>
      <c r="I191" s="801"/>
      <c r="J191" s="801"/>
      <c r="K191" s="801"/>
      <c r="L191" s="801"/>
      <c r="M191" s="801"/>
      <c r="N191" s="801"/>
      <c r="O191" s="801"/>
      <c r="P191" s="801"/>
      <c r="Q191" s="801"/>
      <c r="R191" s="801"/>
      <c r="S191" s="801"/>
      <c r="T191" s="801"/>
      <c r="U191" s="801"/>
      <c r="V191" s="801"/>
      <c r="W191" s="827"/>
      <c r="X191" s="807"/>
      <c r="Y191" s="807"/>
      <c r="Z191" s="807"/>
      <c r="AA191" s="807"/>
      <c r="AB191" s="807"/>
      <c r="AC191" s="807"/>
      <c r="AD191" s="808"/>
      <c r="AE191" s="807"/>
    </row>
    <row r="192" spans="1:31" s="806" customFormat="1" x14ac:dyDescent="0.3">
      <c r="A192" s="807"/>
      <c r="B192" s="807"/>
      <c r="C192" s="807"/>
      <c r="E192" s="807"/>
      <c r="F192" s="801"/>
      <c r="G192" s="801"/>
      <c r="H192" s="801"/>
      <c r="I192" s="801"/>
      <c r="J192" s="801"/>
      <c r="K192" s="801"/>
      <c r="L192" s="801"/>
      <c r="M192" s="801"/>
      <c r="N192" s="801"/>
      <c r="O192" s="801"/>
      <c r="P192" s="801"/>
      <c r="Q192" s="801"/>
      <c r="R192" s="801"/>
      <c r="S192" s="801"/>
      <c r="T192" s="801"/>
      <c r="U192" s="801"/>
      <c r="V192" s="801"/>
      <c r="W192" s="827"/>
      <c r="X192" s="807"/>
      <c r="Y192" s="807"/>
      <c r="Z192" s="807"/>
      <c r="AA192" s="807"/>
      <c r="AB192" s="807"/>
      <c r="AC192" s="807"/>
      <c r="AD192" s="808"/>
      <c r="AE192" s="807"/>
    </row>
    <row r="193" spans="1:31" s="806" customFormat="1" x14ac:dyDescent="0.3">
      <c r="A193" s="807"/>
      <c r="B193" s="807"/>
      <c r="C193" s="807"/>
      <c r="E193" s="807"/>
      <c r="F193" s="801"/>
      <c r="G193" s="801"/>
      <c r="H193" s="801"/>
      <c r="I193" s="801"/>
      <c r="J193" s="801"/>
      <c r="K193" s="801"/>
      <c r="L193" s="801"/>
      <c r="M193" s="801"/>
      <c r="N193" s="801"/>
      <c r="O193" s="801"/>
      <c r="P193" s="801"/>
      <c r="Q193" s="801"/>
      <c r="R193" s="801"/>
      <c r="S193" s="801"/>
      <c r="T193" s="801"/>
      <c r="U193" s="801"/>
      <c r="V193" s="801"/>
      <c r="W193" s="827"/>
      <c r="X193" s="807"/>
      <c r="Y193" s="807"/>
      <c r="Z193" s="807"/>
      <c r="AA193" s="807"/>
      <c r="AB193" s="807"/>
      <c r="AC193" s="807"/>
      <c r="AD193" s="808"/>
      <c r="AE193" s="807"/>
    </row>
    <row r="194" spans="1:31" s="806" customFormat="1" x14ac:dyDescent="0.3">
      <c r="A194" s="807"/>
      <c r="B194" s="807"/>
      <c r="C194" s="807"/>
      <c r="E194" s="807"/>
      <c r="F194" s="801"/>
      <c r="G194" s="801"/>
      <c r="H194" s="801"/>
      <c r="I194" s="801"/>
      <c r="J194" s="801"/>
      <c r="K194" s="801"/>
      <c r="L194" s="801"/>
      <c r="M194" s="801"/>
      <c r="N194" s="801"/>
      <c r="O194" s="801"/>
      <c r="P194" s="801"/>
      <c r="Q194" s="801"/>
      <c r="R194" s="801"/>
      <c r="S194" s="801"/>
      <c r="T194" s="801"/>
      <c r="U194" s="801"/>
      <c r="V194" s="801"/>
      <c r="W194" s="827"/>
      <c r="X194" s="807"/>
      <c r="Y194" s="807"/>
      <c r="Z194" s="807"/>
      <c r="AA194" s="807"/>
      <c r="AB194" s="807"/>
      <c r="AC194" s="807"/>
      <c r="AD194" s="808"/>
      <c r="AE194" s="807"/>
    </row>
    <row r="195" spans="1:31" s="806" customFormat="1" x14ac:dyDescent="0.3">
      <c r="A195" s="807"/>
      <c r="B195" s="807"/>
      <c r="C195" s="807"/>
      <c r="E195" s="807"/>
      <c r="F195" s="801"/>
      <c r="G195" s="801"/>
      <c r="H195" s="801"/>
      <c r="I195" s="801"/>
      <c r="J195" s="801"/>
      <c r="K195" s="801"/>
      <c r="L195" s="801"/>
      <c r="M195" s="801"/>
      <c r="N195" s="801"/>
      <c r="O195" s="801"/>
      <c r="P195" s="801"/>
      <c r="Q195" s="801"/>
      <c r="R195" s="801"/>
      <c r="S195" s="801"/>
      <c r="T195" s="801"/>
      <c r="U195" s="801"/>
      <c r="V195" s="801"/>
      <c r="W195" s="827"/>
      <c r="X195" s="807"/>
      <c r="Y195" s="807"/>
      <c r="Z195" s="807"/>
      <c r="AA195" s="807"/>
      <c r="AB195" s="807"/>
      <c r="AC195" s="807"/>
      <c r="AD195" s="808"/>
      <c r="AE195" s="807"/>
    </row>
    <row r="196" spans="1:31" s="806" customFormat="1" x14ac:dyDescent="0.3">
      <c r="A196" s="807"/>
      <c r="B196" s="807"/>
      <c r="C196" s="807"/>
      <c r="E196" s="807"/>
      <c r="F196" s="801"/>
      <c r="G196" s="801"/>
      <c r="H196" s="801"/>
      <c r="I196" s="801"/>
      <c r="J196" s="801"/>
      <c r="K196" s="801"/>
      <c r="L196" s="801"/>
      <c r="M196" s="801"/>
      <c r="N196" s="801"/>
      <c r="O196" s="801"/>
      <c r="P196" s="801"/>
      <c r="Q196" s="801"/>
      <c r="R196" s="801"/>
      <c r="S196" s="801"/>
      <c r="T196" s="801"/>
      <c r="U196" s="801"/>
      <c r="V196" s="801"/>
      <c r="W196" s="827"/>
      <c r="X196" s="807"/>
      <c r="Y196" s="807"/>
      <c r="Z196" s="807"/>
      <c r="AA196" s="807"/>
      <c r="AB196" s="807"/>
      <c r="AC196" s="807"/>
      <c r="AD196" s="808"/>
      <c r="AE196" s="807"/>
    </row>
    <row r="197" spans="1:31" s="806" customFormat="1" x14ac:dyDescent="0.3">
      <c r="A197" s="807"/>
      <c r="B197" s="807"/>
      <c r="C197" s="807"/>
      <c r="E197" s="807"/>
      <c r="F197" s="801"/>
      <c r="G197" s="801"/>
      <c r="H197" s="801"/>
      <c r="I197" s="801"/>
      <c r="J197" s="801"/>
      <c r="K197" s="801"/>
      <c r="L197" s="801"/>
      <c r="M197" s="801"/>
      <c r="N197" s="801"/>
      <c r="O197" s="801"/>
      <c r="P197" s="801"/>
      <c r="Q197" s="801"/>
      <c r="R197" s="801"/>
      <c r="S197" s="801"/>
      <c r="T197" s="801"/>
      <c r="U197" s="801"/>
      <c r="V197" s="801"/>
      <c r="W197" s="827"/>
      <c r="X197" s="807"/>
      <c r="Y197" s="807"/>
      <c r="Z197" s="807"/>
      <c r="AA197" s="807"/>
      <c r="AB197" s="807"/>
      <c r="AC197" s="807"/>
      <c r="AD197" s="808"/>
      <c r="AE197" s="807"/>
    </row>
    <row r="198" spans="1:31" s="806" customFormat="1" x14ac:dyDescent="0.3">
      <c r="A198" s="807"/>
      <c r="B198" s="807"/>
      <c r="C198" s="807"/>
      <c r="E198" s="807"/>
      <c r="F198" s="801"/>
      <c r="G198" s="801"/>
      <c r="H198" s="801"/>
      <c r="I198" s="801"/>
      <c r="J198" s="801"/>
      <c r="K198" s="801"/>
      <c r="L198" s="801"/>
      <c r="M198" s="801"/>
      <c r="N198" s="801"/>
      <c r="O198" s="801"/>
      <c r="P198" s="801"/>
      <c r="Q198" s="801"/>
      <c r="R198" s="801"/>
      <c r="S198" s="801"/>
      <c r="T198" s="801"/>
      <c r="U198" s="801"/>
      <c r="V198" s="801"/>
      <c r="W198" s="827"/>
      <c r="X198" s="807"/>
      <c r="Y198" s="807"/>
      <c r="Z198" s="807"/>
      <c r="AA198" s="807"/>
      <c r="AB198" s="807"/>
      <c r="AC198" s="807"/>
      <c r="AD198" s="808"/>
      <c r="AE198" s="807"/>
    </row>
    <row r="199" spans="1:31" s="806" customFormat="1" x14ac:dyDescent="0.3">
      <c r="A199" s="807"/>
      <c r="B199" s="807"/>
      <c r="C199" s="807"/>
      <c r="E199" s="807"/>
      <c r="F199" s="801"/>
      <c r="G199" s="801"/>
      <c r="H199" s="801"/>
      <c r="I199" s="801"/>
      <c r="J199" s="801"/>
      <c r="K199" s="801"/>
      <c r="L199" s="801"/>
      <c r="M199" s="801"/>
      <c r="N199" s="801"/>
      <c r="O199" s="801"/>
      <c r="P199" s="801"/>
      <c r="Q199" s="801"/>
      <c r="R199" s="801"/>
      <c r="S199" s="801"/>
      <c r="T199" s="801"/>
      <c r="U199" s="801"/>
      <c r="V199" s="801"/>
      <c r="W199" s="827"/>
      <c r="X199" s="807"/>
      <c r="Y199" s="807"/>
      <c r="Z199" s="807"/>
      <c r="AA199" s="807"/>
      <c r="AB199" s="807"/>
      <c r="AC199" s="807"/>
      <c r="AD199" s="808"/>
      <c r="AE199" s="807"/>
    </row>
    <row r="200" spans="1:31" s="806" customFormat="1" x14ac:dyDescent="0.3">
      <c r="A200" s="807"/>
      <c r="B200" s="807"/>
      <c r="C200" s="807"/>
      <c r="E200" s="807"/>
      <c r="F200" s="801"/>
      <c r="G200" s="801"/>
      <c r="H200" s="801"/>
      <c r="I200" s="801"/>
      <c r="J200" s="801"/>
      <c r="K200" s="801"/>
      <c r="L200" s="801"/>
      <c r="M200" s="801"/>
      <c r="N200" s="801"/>
      <c r="O200" s="801"/>
      <c r="P200" s="801"/>
      <c r="Q200" s="801"/>
      <c r="R200" s="801"/>
      <c r="S200" s="801"/>
      <c r="T200" s="801"/>
      <c r="U200" s="801"/>
      <c r="V200" s="801"/>
      <c r="W200" s="827"/>
      <c r="X200" s="807"/>
      <c r="Y200" s="807"/>
      <c r="Z200" s="807"/>
      <c r="AA200" s="807"/>
      <c r="AB200" s="807"/>
      <c r="AC200" s="807"/>
      <c r="AD200" s="808"/>
      <c r="AE200" s="807"/>
    </row>
    <row r="201" spans="1:31" s="806" customFormat="1" x14ac:dyDescent="0.3">
      <c r="A201" s="807"/>
      <c r="B201" s="807"/>
      <c r="C201" s="807"/>
      <c r="E201" s="807"/>
      <c r="F201" s="801"/>
      <c r="G201" s="801"/>
      <c r="H201" s="801"/>
      <c r="I201" s="801"/>
      <c r="J201" s="801"/>
      <c r="K201" s="801"/>
      <c r="L201" s="801"/>
      <c r="M201" s="801"/>
      <c r="N201" s="801"/>
      <c r="O201" s="801"/>
      <c r="P201" s="801"/>
      <c r="Q201" s="801"/>
      <c r="R201" s="801"/>
      <c r="S201" s="801"/>
      <c r="T201" s="801"/>
      <c r="U201" s="801"/>
      <c r="V201" s="801"/>
      <c r="W201" s="827"/>
      <c r="X201" s="807"/>
      <c r="Y201" s="807"/>
      <c r="Z201" s="807"/>
      <c r="AA201" s="807"/>
      <c r="AB201" s="807"/>
      <c r="AC201" s="807"/>
      <c r="AD201" s="808"/>
      <c r="AE201" s="807"/>
    </row>
    <row r="202" spans="1:31" s="806" customFormat="1" x14ac:dyDescent="0.3">
      <c r="A202" s="807"/>
      <c r="B202" s="807"/>
      <c r="C202" s="807"/>
      <c r="E202" s="807"/>
      <c r="F202" s="801"/>
      <c r="G202" s="801"/>
      <c r="H202" s="801"/>
      <c r="I202" s="801"/>
      <c r="J202" s="801"/>
      <c r="K202" s="801"/>
      <c r="L202" s="801"/>
      <c r="M202" s="801"/>
      <c r="N202" s="801"/>
      <c r="O202" s="801"/>
      <c r="P202" s="801"/>
      <c r="Q202" s="801"/>
      <c r="R202" s="801"/>
      <c r="S202" s="801"/>
      <c r="T202" s="801"/>
      <c r="U202" s="801"/>
      <c r="V202" s="801"/>
      <c r="W202" s="827"/>
      <c r="X202" s="807"/>
      <c r="Y202" s="807"/>
      <c r="Z202" s="807"/>
      <c r="AA202" s="807"/>
      <c r="AB202" s="807"/>
      <c r="AC202" s="807"/>
      <c r="AD202" s="808"/>
      <c r="AE202" s="807"/>
    </row>
    <row r="203" spans="1:31" s="806" customFormat="1" x14ac:dyDescent="0.3">
      <c r="A203" s="807"/>
      <c r="B203" s="807"/>
      <c r="C203" s="807"/>
      <c r="E203" s="807"/>
      <c r="F203" s="801"/>
      <c r="G203" s="801"/>
      <c r="H203" s="801"/>
      <c r="I203" s="801"/>
      <c r="J203" s="801"/>
      <c r="K203" s="801"/>
      <c r="L203" s="801"/>
      <c r="M203" s="801"/>
      <c r="N203" s="801"/>
      <c r="O203" s="801"/>
      <c r="P203" s="801"/>
      <c r="Q203" s="801"/>
      <c r="R203" s="801"/>
      <c r="S203" s="801"/>
      <c r="T203" s="801"/>
      <c r="U203" s="801"/>
      <c r="V203" s="801"/>
      <c r="W203" s="827"/>
      <c r="X203" s="807"/>
      <c r="Y203" s="807"/>
      <c r="Z203" s="807"/>
      <c r="AA203" s="807"/>
      <c r="AB203" s="807"/>
      <c r="AC203" s="807"/>
      <c r="AD203" s="808"/>
      <c r="AE203" s="807"/>
    </row>
    <row r="204" spans="1:31" s="806" customFormat="1" x14ac:dyDescent="0.3">
      <c r="A204" s="807"/>
      <c r="B204" s="807"/>
      <c r="C204" s="807"/>
      <c r="E204" s="807"/>
      <c r="F204" s="801"/>
      <c r="G204" s="801"/>
      <c r="H204" s="801"/>
      <c r="I204" s="801"/>
      <c r="J204" s="801"/>
      <c r="K204" s="801"/>
      <c r="L204" s="801"/>
      <c r="M204" s="801"/>
      <c r="N204" s="801"/>
      <c r="O204" s="801"/>
      <c r="P204" s="801"/>
      <c r="Q204" s="801"/>
      <c r="R204" s="801"/>
      <c r="S204" s="801"/>
      <c r="T204" s="801"/>
      <c r="U204" s="801"/>
      <c r="V204" s="801"/>
      <c r="W204" s="827"/>
      <c r="X204" s="807"/>
      <c r="Y204" s="807"/>
      <c r="Z204" s="807"/>
      <c r="AA204" s="807"/>
      <c r="AB204" s="807"/>
      <c r="AC204" s="807"/>
      <c r="AD204" s="808"/>
      <c r="AE204" s="807"/>
    </row>
    <row r="205" spans="1:31" s="806" customFormat="1" x14ac:dyDescent="0.3">
      <c r="A205" s="807"/>
      <c r="B205" s="807"/>
      <c r="C205" s="807"/>
      <c r="E205" s="807"/>
      <c r="F205" s="801"/>
      <c r="G205" s="801"/>
      <c r="H205" s="801"/>
      <c r="I205" s="801"/>
      <c r="J205" s="801"/>
      <c r="K205" s="801"/>
      <c r="L205" s="801"/>
      <c r="M205" s="801"/>
      <c r="N205" s="801"/>
      <c r="O205" s="801"/>
      <c r="P205" s="801"/>
      <c r="Q205" s="801"/>
      <c r="R205" s="801"/>
      <c r="S205" s="801"/>
      <c r="T205" s="801"/>
      <c r="U205" s="801"/>
      <c r="V205" s="801"/>
      <c r="W205" s="827"/>
      <c r="X205" s="807"/>
      <c r="Y205" s="807"/>
      <c r="Z205" s="807"/>
      <c r="AA205" s="807"/>
      <c r="AB205" s="807"/>
      <c r="AC205" s="807"/>
      <c r="AD205" s="808"/>
      <c r="AE205" s="807"/>
    </row>
    <row r="206" spans="1:31" s="806" customFormat="1" x14ac:dyDescent="0.3">
      <c r="A206" s="807"/>
      <c r="B206" s="807"/>
      <c r="C206" s="807"/>
      <c r="E206" s="807"/>
      <c r="F206" s="801"/>
      <c r="G206" s="801"/>
      <c r="H206" s="801"/>
      <c r="I206" s="801"/>
      <c r="J206" s="801"/>
      <c r="K206" s="801"/>
      <c r="L206" s="801"/>
      <c r="M206" s="801"/>
      <c r="N206" s="801"/>
      <c r="O206" s="801"/>
      <c r="P206" s="801"/>
      <c r="Q206" s="801"/>
      <c r="R206" s="801"/>
      <c r="S206" s="801"/>
      <c r="T206" s="801"/>
      <c r="U206" s="801"/>
      <c r="V206" s="801"/>
      <c r="W206" s="827"/>
      <c r="X206" s="807"/>
      <c r="Y206" s="807"/>
      <c r="Z206" s="807"/>
      <c r="AA206" s="807"/>
      <c r="AB206" s="807"/>
      <c r="AC206" s="807"/>
      <c r="AD206" s="808"/>
      <c r="AE206" s="807"/>
    </row>
    <row r="207" spans="1:31" s="806" customFormat="1" x14ac:dyDescent="0.3">
      <c r="A207" s="807"/>
      <c r="B207" s="807"/>
      <c r="C207" s="807"/>
      <c r="E207" s="807"/>
      <c r="F207" s="801"/>
      <c r="G207" s="801"/>
      <c r="H207" s="801"/>
      <c r="I207" s="801"/>
      <c r="J207" s="801"/>
      <c r="K207" s="801"/>
      <c r="L207" s="801"/>
      <c r="M207" s="801"/>
      <c r="N207" s="801"/>
      <c r="O207" s="801"/>
      <c r="P207" s="801"/>
      <c r="Q207" s="801"/>
      <c r="R207" s="801"/>
      <c r="S207" s="801"/>
      <c r="T207" s="801"/>
      <c r="U207" s="801"/>
      <c r="V207" s="801"/>
      <c r="W207" s="827"/>
      <c r="X207" s="807"/>
      <c r="Y207" s="807"/>
      <c r="Z207" s="807"/>
      <c r="AA207" s="807"/>
      <c r="AB207" s="807"/>
      <c r="AC207" s="807"/>
      <c r="AD207" s="808"/>
      <c r="AE207" s="807"/>
    </row>
    <row r="208" spans="1:31" s="806" customFormat="1" x14ac:dyDescent="0.3">
      <c r="A208" s="807"/>
      <c r="B208" s="807"/>
      <c r="C208" s="807"/>
      <c r="E208" s="807"/>
      <c r="F208" s="801"/>
      <c r="G208" s="801"/>
      <c r="H208" s="801"/>
      <c r="I208" s="801"/>
      <c r="J208" s="801"/>
      <c r="K208" s="801"/>
      <c r="L208" s="801"/>
      <c r="M208" s="801"/>
      <c r="N208" s="801"/>
      <c r="O208" s="801"/>
      <c r="P208" s="801"/>
      <c r="Q208" s="801"/>
      <c r="R208" s="801"/>
      <c r="S208" s="801"/>
      <c r="T208" s="801"/>
      <c r="U208" s="801"/>
      <c r="V208" s="801"/>
      <c r="W208" s="827"/>
      <c r="X208" s="807"/>
      <c r="Y208" s="807"/>
      <c r="Z208" s="807"/>
      <c r="AA208" s="807"/>
      <c r="AB208" s="807"/>
      <c r="AC208" s="807"/>
      <c r="AD208" s="808"/>
      <c r="AE208" s="807"/>
    </row>
    <row r="209" spans="1:31" s="806" customFormat="1" x14ac:dyDescent="0.3">
      <c r="A209" s="807"/>
      <c r="B209" s="807"/>
      <c r="C209" s="807"/>
      <c r="E209" s="807"/>
      <c r="F209" s="801"/>
      <c r="G209" s="801"/>
      <c r="H209" s="801"/>
      <c r="I209" s="801"/>
      <c r="J209" s="801"/>
      <c r="K209" s="801"/>
      <c r="L209" s="801"/>
      <c r="M209" s="801"/>
      <c r="N209" s="801"/>
      <c r="O209" s="801"/>
      <c r="P209" s="801"/>
      <c r="Q209" s="801"/>
      <c r="R209" s="801"/>
      <c r="S209" s="801"/>
      <c r="T209" s="801"/>
      <c r="U209" s="801"/>
      <c r="V209" s="801"/>
      <c r="W209" s="827"/>
      <c r="X209" s="807"/>
      <c r="Y209" s="807"/>
      <c r="Z209" s="807"/>
      <c r="AA209" s="807"/>
      <c r="AB209" s="807"/>
      <c r="AC209" s="807"/>
      <c r="AD209" s="808"/>
      <c r="AE209" s="807"/>
    </row>
    <row r="210" spans="1:31" s="806" customFormat="1" x14ac:dyDescent="0.3">
      <c r="A210" s="807"/>
      <c r="B210" s="807"/>
      <c r="C210" s="807"/>
      <c r="E210" s="807"/>
      <c r="F210" s="801"/>
      <c r="G210" s="801"/>
      <c r="H210" s="801"/>
      <c r="I210" s="801"/>
      <c r="J210" s="801"/>
      <c r="K210" s="801"/>
      <c r="L210" s="801"/>
      <c r="M210" s="801"/>
      <c r="N210" s="801"/>
      <c r="O210" s="801"/>
      <c r="P210" s="801"/>
      <c r="Q210" s="801"/>
      <c r="R210" s="801"/>
      <c r="S210" s="801"/>
      <c r="T210" s="801"/>
      <c r="U210" s="801"/>
      <c r="V210" s="801"/>
      <c r="W210" s="827"/>
      <c r="X210" s="807"/>
      <c r="Y210" s="807"/>
      <c r="Z210" s="807"/>
      <c r="AA210" s="807"/>
      <c r="AB210" s="807"/>
      <c r="AC210" s="807"/>
      <c r="AD210" s="808"/>
      <c r="AE210" s="807"/>
    </row>
    <row r="211" spans="1:31" s="806" customFormat="1" x14ac:dyDescent="0.3">
      <c r="A211" s="807"/>
      <c r="B211" s="807"/>
      <c r="C211" s="807"/>
      <c r="E211" s="807"/>
      <c r="F211" s="801"/>
      <c r="G211" s="801"/>
      <c r="H211" s="801"/>
      <c r="I211" s="801"/>
      <c r="J211" s="801"/>
      <c r="K211" s="801"/>
      <c r="L211" s="801"/>
      <c r="M211" s="801"/>
      <c r="N211" s="801"/>
      <c r="O211" s="801"/>
      <c r="P211" s="801"/>
      <c r="Q211" s="801"/>
      <c r="R211" s="801"/>
      <c r="S211" s="801"/>
      <c r="T211" s="801"/>
      <c r="U211" s="801"/>
      <c r="V211" s="801"/>
      <c r="W211" s="827"/>
      <c r="X211" s="807"/>
      <c r="Y211" s="807"/>
      <c r="Z211" s="807"/>
      <c r="AA211" s="807"/>
      <c r="AB211" s="807"/>
      <c r="AC211" s="807"/>
      <c r="AD211" s="808"/>
      <c r="AE211" s="807"/>
    </row>
    <row r="212" spans="1:31" s="806" customFormat="1" x14ac:dyDescent="0.3">
      <c r="A212" s="807"/>
      <c r="B212" s="807"/>
      <c r="C212" s="807"/>
      <c r="E212" s="807"/>
      <c r="F212" s="801"/>
      <c r="G212" s="801"/>
      <c r="H212" s="801"/>
      <c r="I212" s="801"/>
      <c r="J212" s="801"/>
      <c r="K212" s="801"/>
      <c r="L212" s="801"/>
      <c r="M212" s="801"/>
      <c r="N212" s="801"/>
      <c r="O212" s="801"/>
      <c r="P212" s="801"/>
      <c r="Q212" s="801"/>
      <c r="R212" s="801"/>
      <c r="S212" s="801"/>
      <c r="T212" s="801"/>
      <c r="U212" s="801"/>
      <c r="V212" s="801"/>
      <c r="W212" s="827"/>
      <c r="X212" s="807"/>
      <c r="Y212" s="807"/>
      <c r="Z212" s="807"/>
      <c r="AA212" s="807"/>
      <c r="AB212" s="807"/>
      <c r="AC212" s="807"/>
      <c r="AD212" s="808"/>
      <c r="AE212" s="807"/>
    </row>
    <row r="213" spans="1:31" s="806" customFormat="1" x14ac:dyDescent="0.3">
      <c r="A213" s="807"/>
      <c r="B213" s="807"/>
      <c r="C213" s="807"/>
      <c r="E213" s="807"/>
      <c r="F213" s="801"/>
      <c r="G213" s="801"/>
      <c r="H213" s="801"/>
      <c r="I213" s="801"/>
      <c r="J213" s="801"/>
      <c r="K213" s="801"/>
      <c r="L213" s="801"/>
      <c r="M213" s="801"/>
      <c r="N213" s="801"/>
      <c r="O213" s="801"/>
      <c r="P213" s="801"/>
      <c r="Q213" s="801"/>
      <c r="R213" s="801"/>
      <c r="S213" s="801"/>
      <c r="T213" s="801"/>
      <c r="U213" s="801"/>
      <c r="V213" s="801"/>
      <c r="W213" s="827"/>
      <c r="X213" s="807"/>
      <c r="Y213" s="807"/>
      <c r="Z213" s="807"/>
      <c r="AA213" s="807"/>
      <c r="AB213" s="807"/>
      <c r="AC213" s="807"/>
      <c r="AD213" s="808"/>
      <c r="AE213" s="807"/>
    </row>
    <row r="214" spans="1:31" s="806" customFormat="1" x14ac:dyDescent="0.3">
      <c r="A214" s="807"/>
      <c r="B214" s="807"/>
      <c r="C214" s="807"/>
      <c r="E214" s="807"/>
      <c r="F214" s="801"/>
      <c r="G214" s="801"/>
      <c r="H214" s="801"/>
      <c r="I214" s="801"/>
      <c r="J214" s="801"/>
      <c r="K214" s="801"/>
      <c r="L214" s="801"/>
      <c r="M214" s="801"/>
      <c r="N214" s="801"/>
      <c r="O214" s="801"/>
      <c r="P214" s="801"/>
      <c r="Q214" s="801"/>
      <c r="R214" s="801"/>
      <c r="S214" s="801"/>
      <c r="T214" s="801"/>
      <c r="U214" s="801"/>
      <c r="V214" s="801"/>
      <c r="W214" s="827"/>
      <c r="X214" s="807"/>
      <c r="Y214" s="807"/>
      <c r="Z214" s="807"/>
      <c r="AA214" s="807"/>
      <c r="AB214" s="807"/>
      <c r="AC214" s="807"/>
      <c r="AD214" s="808"/>
      <c r="AE214" s="807"/>
    </row>
    <row r="215" spans="1:31" s="806" customFormat="1" x14ac:dyDescent="0.3">
      <c r="A215" s="807"/>
      <c r="B215" s="807"/>
      <c r="C215" s="807"/>
      <c r="E215" s="807"/>
      <c r="F215" s="801"/>
      <c r="G215" s="801"/>
      <c r="H215" s="801"/>
      <c r="I215" s="801"/>
      <c r="J215" s="801"/>
      <c r="K215" s="801"/>
      <c r="L215" s="801"/>
      <c r="M215" s="801"/>
      <c r="N215" s="801"/>
      <c r="O215" s="801"/>
      <c r="P215" s="801"/>
      <c r="Q215" s="801"/>
      <c r="R215" s="801"/>
      <c r="S215" s="801"/>
      <c r="T215" s="801"/>
      <c r="U215" s="801"/>
      <c r="V215" s="801"/>
      <c r="W215" s="827"/>
      <c r="X215" s="807"/>
      <c r="Y215" s="807"/>
      <c r="Z215" s="807"/>
      <c r="AA215" s="807"/>
      <c r="AB215" s="807"/>
      <c r="AC215" s="807"/>
      <c r="AD215" s="808"/>
      <c r="AE215" s="807"/>
    </row>
    <row r="216" spans="1:31" s="806" customFormat="1" x14ac:dyDescent="0.3">
      <c r="A216" s="807"/>
      <c r="B216" s="807"/>
      <c r="C216" s="807"/>
      <c r="E216" s="807"/>
      <c r="F216" s="801"/>
      <c r="G216" s="801"/>
      <c r="H216" s="801"/>
      <c r="I216" s="801"/>
      <c r="J216" s="801"/>
      <c r="K216" s="801"/>
      <c r="L216" s="801"/>
      <c r="M216" s="801"/>
      <c r="N216" s="801"/>
      <c r="O216" s="801"/>
      <c r="P216" s="801"/>
      <c r="Q216" s="801"/>
      <c r="R216" s="801"/>
      <c r="S216" s="801"/>
      <c r="T216" s="801"/>
      <c r="U216" s="801"/>
      <c r="V216" s="801"/>
      <c r="W216" s="827"/>
      <c r="X216" s="807"/>
      <c r="Y216" s="807"/>
      <c r="Z216" s="807"/>
      <c r="AA216" s="807"/>
      <c r="AB216" s="807"/>
      <c r="AC216" s="807"/>
      <c r="AD216" s="808"/>
      <c r="AE216" s="807"/>
    </row>
    <row r="217" spans="1:31" s="806" customFormat="1" x14ac:dyDescent="0.3">
      <c r="A217" s="807"/>
      <c r="B217" s="807"/>
      <c r="C217" s="807"/>
      <c r="E217" s="807"/>
      <c r="F217" s="801"/>
      <c r="G217" s="801"/>
      <c r="H217" s="801"/>
      <c r="I217" s="801"/>
      <c r="J217" s="801"/>
      <c r="K217" s="801"/>
      <c r="L217" s="801"/>
      <c r="M217" s="801"/>
      <c r="N217" s="801"/>
      <c r="O217" s="801"/>
      <c r="P217" s="801"/>
      <c r="Q217" s="801"/>
      <c r="R217" s="801"/>
      <c r="S217" s="801"/>
      <c r="T217" s="801"/>
      <c r="U217" s="801"/>
      <c r="V217" s="801"/>
      <c r="W217" s="827"/>
      <c r="X217" s="807"/>
      <c r="Y217" s="807"/>
      <c r="Z217" s="807"/>
      <c r="AA217" s="807"/>
      <c r="AB217" s="807"/>
      <c r="AC217" s="807"/>
      <c r="AD217" s="808"/>
      <c r="AE217" s="807"/>
    </row>
  </sheetData>
  <mergeCells count="30">
    <mergeCell ref="A1:U1"/>
    <mergeCell ref="A5:A7"/>
    <mergeCell ref="B5:B7"/>
    <mergeCell ref="C5:C7"/>
    <mergeCell ref="D5:E5"/>
    <mergeCell ref="A2:V2"/>
    <mergeCell ref="P6:Q6"/>
    <mergeCell ref="F6:G6"/>
    <mergeCell ref="R6:S6"/>
    <mergeCell ref="T6:U6"/>
    <mergeCell ref="A10:B10"/>
    <mergeCell ref="F5:M5"/>
    <mergeCell ref="N5:U5"/>
    <mergeCell ref="J6:K6"/>
    <mergeCell ref="N6:O6"/>
    <mergeCell ref="H6:I6"/>
    <mergeCell ref="A11:A13"/>
    <mergeCell ref="A23:B23"/>
    <mergeCell ref="A15:A16"/>
    <mergeCell ref="A32:B32"/>
    <mergeCell ref="A24:A26"/>
    <mergeCell ref="A14:B14"/>
    <mergeCell ref="A17:B17"/>
    <mergeCell ref="A18:B18"/>
    <mergeCell ref="A19:A22"/>
    <mergeCell ref="A34:B34"/>
    <mergeCell ref="A27:B27"/>
    <mergeCell ref="A28:A30"/>
    <mergeCell ref="A31:B31"/>
    <mergeCell ref="A33:B33"/>
  </mergeCells>
  <phoneticPr fontId="0" type="noConversion"/>
  <printOptions horizontalCentered="1"/>
  <pageMargins left="0.24" right="0.16" top="0.27" bottom="0.31" header="0.23" footer="0.27"/>
  <pageSetup scale="98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00B0F0"/>
  </sheetPr>
  <dimension ref="A2:AD9"/>
  <sheetViews>
    <sheetView showZeros="0" topLeftCell="A7" zoomScale="110" workbookViewId="0">
      <selection activeCell="H10" sqref="H10"/>
    </sheetView>
  </sheetViews>
  <sheetFormatPr defaultRowHeight="18.75" x14ac:dyDescent="0.3"/>
  <cols>
    <col min="1" max="1" width="5.69921875" style="1" customWidth="1"/>
    <col min="2" max="2" width="12.8984375" style="1" hidden="1" customWidth="1"/>
    <col min="3" max="3" width="4.69921875" customWidth="1"/>
    <col min="4" max="4" width="4.69921875" style="1" customWidth="1"/>
    <col min="5" max="5" width="3.69921875" style="36" customWidth="1"/>
    <col min="6" max="6" width="5.69921875" style="36" customWidth="1"/>
    <col min="7" max="7" width="3.69921875" style="36" customWidth="1"/>
    <col min="8" max="8" width="6.19921875" style="36" customWidth="1"/>
    <col min="9" max="9" width="3.69921875" style="36" customWidth="1"/>
    <col min="10" max="10" width="4.59765625" style="36" customWidth="1"/>
    <col min="11" max="12" width="6.3984375" style="36" customWidth="1"/>
    <col min="13" max="13" width="3.69921875" style="36" customWidth="1"/>
    <col min="14" max="14" width="5.69921875" style="36" customWidth="1"/>
    <col min="15" max="15" width="3.69921875" style="36" customWidth="1"/>
    <col min="16" max="16" width="5.19921875" style="36" customWidth="1"/>
    <col min="17" max="17" width="3.69921875" style="36" customWidth="1"/>
    <col min="18" max="18" width="4.5" style="36" customWidth="1"/>
    <col min="19" max="19" width="3.296875" style="36" customWidth="1"/>
    <col min="20" max="20" width="3.69921875" style="36" customWidth="1"/>
    <col min="21" max="21" width="8.69921875" style="36" customWidth="1"/>
    <col min="22" max="22" width="3.69921875" style="5" customWidth="1"/>
    <col min="23" max="25" width="2.19921875" style="22" customWidth="1"/>
    <col min="26" max="28" width="3.3984375" style="1" customWidth="1"/>
    <col min="29" max="29" width="4.3984375" style="15" customWidth="1"/>
    <col min="30" max="30" width="22.296875" style="1" customWidth="1"/>
    <col min="31" max="31" width="9.296875" customWidth="1"/>
    <col min="32" max="32" width="10.19921875" customWidth="1"/>
  </cols>
  <sheetData>
    <row r="2" spans="1:30" ht="23.25" customHeight="1" x14ac:dyDescent="0.35">
      <c r="A2" s="1148" t="s">
        <v>44</v>
      </c>
      <c r="B2" s="1148"/>
      <c r="C2" s="1148"/>
      <c r="D2" s="1148"/>
      <c r="E2" s="1148"/>
      <c r="F2" s="1148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62"/>
      <c r="V2"/>
      <c r="W2"/>
      <c r="X2"/>
      <c r="Y2"/>
      <c r="Z2"/>
      <c r="AA2"/>
      <c r="AB2"/>
      <c r="AC2"/>
      <c r="AD2"/>
    </row>
    <row r="3" spans="1:30" ht="20.25" customHeight="1" x14ac:dyDescent="0.35">
      <c r="A3" s="1149" t="s">
        <v>2083</v>
      </c>
      <c r="B3" s="1148"/>
      <c r="C3" s="1148"/>
      <c r="D3" s="1148"/>
      <c r="E3" s="1148"/>
      <c r="F3" s="1148"/>
      <c r="G3" s="1148"/>
      <c r="H3" s="1148"/>
      <c r="I3" s="1148"/>
      <c r="J3" s="1148"/>
      <c r="K3" s="1148"/>
      <c r="L3" s="1148"/>
      <c r="M3" s="1148"/>
      <c r="N3" s="1148"/>
      <c r="O3" s="1148"/>
      <c r="P3" s="1148"/>
      <c r="Q3" s="1148"/>
      <c r="R3" s="1148"/>
      <c r="S3" s="1148"/>
      <c r="T3" s="1148"/>
      <c r="U3" s="1148"/>
      <c r="V3"/>
      <c r="W3"/>
      <c r="X3"/>
      <c r="Y3"/>
      <c r="Z3"/>
      <c r="AA3"/>
      <c r="AB3"/>
      <c r="AC3"/>
      <c r="AD3"/>
    </row>
    <row r="4" spans="1:30" ht="22.5" customHeight="1" thickBot="1" x14ac:dyDescent="0.3">
      <c r="A4" s="26"/>
      <c r="B4" s="26"/>
      <c r="C4" s="26"/>
      <c r="D4" s="26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/>
      <c r="W4"/>
      <c r="X4"/>
      <c r="Y4"/>
      <c r="Z4"/>
      <c r="AA4"/>
      <c r="AB4"/>
      <c r="AC4"/>
      <c r="AD4"/>
    </row>
    <row r="5" spans="1:30" s="27" customFormat="1" ht="24.95" customHeight="1" thickTop="1" x14ac:dyDescent="0.25">
      <c r="A5" s="1150" t="s">
        <v>45</v>
      </c>
      <c r="B5" s="1153" t="s">
        <v>46</v>
      </c>
      <c r="C5" s="1156" t="s">
        <v>48</v>
      </c>
      <c r="D5" s="1156"/>
      <c r="E5" s="1157" t="s">
        <v>49</v>
      </c>
      <c r="F5" s="1158"/>
      <c r="G5" s="1158"/>
      <c r="H5" s="1158"/>
      <c r="I5" s="1158"/>
      <c r="J5" s="1158"/>
      <c r="K5" s="1158"/>
      <c r="L5" s="1159"/>
      <c r="M5" s="1158" t="s">
        <v>50</v>
      </c>
      <c r="N5" s="1158"/>
      <c r="O5" s="1158"/>
      <c r="P5" s="1158"/>
      <c r="Q5" s="1158"/>
      <c r="R5" s="1158"/>
      <c r="S5" s="1158"/>
      <c r="T5" s="1160"/>
      <c r="U5" s="63" t="s">
        <v>51</v>
      </c>
    </row>
    <row r="6" spans="1:30" s="27" customFormat="1" ht="24.95" customHeight="1" x14ac:dyDescent="0.25">
      <c r="A6" s="1151"/>
      <c r="B6" s="1154"/>
      <c r="C6" s="28" t="s">
        <v>52</v>
      </c>
      <c r="D6" s="28" t="s">
        <v>53</v>
      </c>
      <c r="E6" s="1146" t="s">
        <v>54</v>
      </c>
      <c r="F6" s="1146"/>
      <c r="G6" s="1146" t="s">
        <v>95</v>
      </c>
      <c r="H6" s="1146"/>
      <c r="I6" s="1146" t="s">
        <v>55</v>
      </c>
      <c r="J6" s="1146"/>
      <c r="K6" s="65" t="s">
        <v>56</v>
      </c>
      <c r="L6" s="66" t="s">
        <v>56</v>
      </c>
      <c r="M6" s="1147" t="s">
        <v>101</v>
      </c>
      <c r="N6" s="1145"/>
      <c r="O6" s="1145" t="s">
        <v>95</v>
      </c>
      <c r="P6" s="1145"/>
      <c r="Q6" s="1145" t="s">
        <v>55</v>
      </c>
      <c r="R6" s="1145"/>
      <c r="S6" s="1145" t="s">
        <v>57</v>
      </c>
      <c r="T6" s="1145"/>
      <c r="U6" s="67" t="s">
        <v>58</v>
      </c>
    </row>
    <row r="7" spans="1:30" s="27" customFormat="1" ht="24.95" customHeight="1" x14ac:dyDescent="0.25">
      <c r="A7" s="1152"/>
      <c r="B7" s="1155"/>
      <c r="C7" s="29" t="s">
        <v>59</v>
      </c>
      <c r="D7" s="29" t="s">
        <v>60</v>
      </c>
      <c r="E7" s="64" t="s">
        <v>61</v>
      </c>
      <c r="F7" s="64" t="s">
        <v>62</v>
      </c>
      <c r="G7" s="64" t="s">
        <v>61</v>
      </c>
      <c r="H7" s="64" t="s">
        <v>62</v>
      </c>
      <c r="I7" s="64" t="s">
        <v>61</v>
      </c>
      <c r="J7" s="64" t="s">
        <v>62</v>
      </c>
      <c r="K7" s="68" t="s">
        <v>63</v>
      </c>
      <c r="L7" s="69" t="s">
        <v>64</v>
      </c>
      <c r="M7" s="70" t="s">
        <v>61</v>
      </c>
      <c r="N7" s="64" t="s">
        <v>62</v>
      </c>
      <c r="O7" s="64" t="s">
        <v>61</v>
      </c>
      <c r="P7" s="64" t="s">
        <v>62</v>
      </c>
      <c r="Q7" s="64" t="s">
        <v>61</v>
      </c>
      <c r="R7" s="64" t="s">
        <v>62</v>
      </c>
      <c r="S7" s="64" t="s">
        <v>61</v>
      </c>
      <c r="T7" s="64" t="s">
        <v>62</v>
      </c>
      <c r="U7" s="67" t="s">
        <v>65</v>
      </c>
    </row>
    <row r="8" spans="1:30" s="133" customFormat="1" ht="96" customHeight="1" thickBot="1" x14ac:dyDescent="0.3">
      <c r="A8" s="192" t="s">
        <v>2086</v>
      </c>
      <c r="B8" s="193" t="s">
        <v>33</v>
      </c>
      <c r="C8" s="193">
        <v>96</v>
      </c>
      <c r="D8" s="193">
        <v>80</v>
      </c>
      <c r="E8" s="191">
        <v>5</v>
      </c>
      <c r="F8" s="195">
        <f>E8/D8*100</f>
        <v>6.25</v>
      </c>
      <c r="G8" s="191">
        <v>55</v>
      </c>
      <c r="H8" s="195">
        <f>G8/D8*100</f>
        <v>68.75</v>
      </c>
      <c r="I8" s="191">
        <v>20</v>
      </c>
      <c r="J8" s="195">
        <f>I8/D8*100</f>
        <v>25</v>
      </c>
      <c r="K8" s="195">
        <f>F8+H8+J8</f>
        <v>100</v>
      </c>
      <c r="L8" s="196">
        <f>F8+H8</f>
        <v>75</v>
      </c>
      <c r="M8" s="197"/>
      <c r="N8" s="195">
        <f>M8/D8*100</f>
        <v>0</v>
      </c>
      <c r="O8" s="191"/>
      <c r="P8" s="195">
        <f>O8/D8*100</f>
        <v>0</v>
      </c>
      <c r="Q8" s="191"/>
      <c r="R8" s="195">
        <f>Q8/D8*100</f>
        <v>0</v>
      </c>
      <c r="S8" s="198" t="s">
        <v>115</v>
      </c>
      <c r="T8" s="199"/>
      <c r="U8" s="194">
        <v>80</v>
      </c>
    </row>
    <row r="9" spans="1:30" s="27" customFormat="1" thickTop="1" x14ac:dyDescent="0.25">
      <c r="A9" s="35"/>
      <c r="B9" s="35"/>
      <c r="C9" s="35"/>
      <c r="D9" s="35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</row>
  </sheetData>
  <mergeCells count="14">
    <mergeCell ref="Q6:R6"/>
    <mergeCell ref="S6:T6"/>
    <mergeCell ref="I6:J6"/>
    <mergeCell ref="M6:N6"/>
    <mergeCell ref="A2:T2"/>
    <mergeCell ref="A3:U3"/>
    <mergeCell ref="A5:A7"/>
    <mergeCell ref="B5:B7"/>
    <mergeCell ref="C5:D5"/>
    <mergeCell ref="E5:L5"/>
    <mergeCell ref="M5:T5"/>
    <mergeCell ref="E6:F6"/>
    <mergeCell ref="G6:H6"/>
    <mergeCell ref="O6:P6"/>
  </mergeCells>
  <phoneticPr fontId="0" type="noConversion"/>
  <printOptions horizontalCentered="1"/>
  <pageMargins left="0.77" right="0.48" top="0.27" bottom="0.31" header="0.23" footer="0.27"/>
  <pageSetup scale="98"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15"/>
  <sheetViews>
    <sheetView showZeros="0" topLeftCell="A3" zoomScale="110" workbookViewId="0">
      <selection activeCell="K17" sqref="K17"/>
    </sheetView>
  </sheetViews>
  <sheetFormatPr defaultRowHeight="18.75" x14ac:dyDescent="0.3"/>
  <cols>
    <col min="1" max="1" width="4.3984375" style="1" customWidth="1"/>
    <col min="2" max="2" width="12.8984375" style="1" customWidth="1"/>
    <col min="3" max="3" width="3.3984375" style="1" customWidth="1"/>
    <col min="4" max="4" width="3.796875" customWidth="1"/>
    <col min="5" max="5" width="3.59765625" style="1" customWidth="1"/>
    <col min="6" max="6" width="3.69921875" style="237" customWidth="1"/>
    <col min="7" max="7" width="5.69921875" style="237" customWidth="1"/>
    <col min="8" max="8" width="3.69921875" style="237" customWidth="1"/>
    <col min="9" max="9" width="6.19921875" style="237" customWidth="1"/>
    <col min="10" max="10" width="3.69921875" style="237" customWidth="1"/>
    <col min="11" max="11" width="4.59765625" style="237" customWidth="1"/>
    <col min="12" max="12" width="5.8984375" style="237" customWidth="1"/>
    <col min="13" max="13" width="5.296875" style="237" customWidth="1"/>
    <col min="14" max="14" width="3.69921875" style="237" customWidth="1"/>
    <col min="15" max="15" width="5.69921875" style="237" customWidth="1"/>
    <col min="16" max="16" width="3.69921875" style="237" customWidth="1"/>
    <col min="17" max="17" width="5.19921875" style="237" customWidth="1"/>
    <col min="18" max="18" width="3.69921875" style="237" customWidth="1"/>
    <col min="19" max="19" width="4.5" style="237" customWidth="1"/>
    <col min="20" max="20" width="3.296875" style="237" customWidth="1"/>
    <col min="21" max="21" width="3.69921875" style="237" customWidth="1"/>
    <col min="22" max="22" width="8.69921875" style="237" customWidth="1"/>
    <col min="23" max="23" width="3.69921875" style="5" customWidth="1"/>
    <col min="24" max="26" width="2.19921875" style="22" customWidth="1"/>
    <col min="27" max="29" width="3.3984375" style="1" customWidth="1"/>
    <col min="30" max="30" width="4.3984375" style="15" customWidth="1"/>
    <col min="31" max="31" width="22.296875" style="1" customWidth="1"/>
    <col min="32" max="32" width="9.296875" customWidth="1"/>
    <col min="33" max="33" width="10.19921875" customWidth="1"/>
  </cols>
  <sheetData>
    <row r="1" spans="1:31" ht="36" customHeight="1" x14ac:dyDescent="0.45">
      <c r="A1" s="1164" t="s">
        <v>44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4"/>
      <c r="O1" s="1164"/>
      <c r="P1" s="1164"/>
      <c r="Q1" s="1164"/>
      <c r="R1" s="1164"/>
      <c r="S1" s="1164"/>
      <c r="T1" s="1164"/>
      <c r="U1" s="1164"/>
      <c r="V1" s="62"/>
      <c r="W1"/>
      <c r="X1"/>
      <c r="Y1"/>
      <c r="Z1"/>
      <c r="AA1"/>
      <c r="AB1"/>
      <c r="AC1"/>
      <c r="AD1"/>
      <c r="AE1"/>
    </row>
    <row r="2" spans="1:31" ht="30" customHeight="1" x14ac:dyDescent="0.35">
      <c r="A2" s="1165" t="s">
        <v>1803</v>
      </c>
      <c r="B2" s="1148"/>
      <c r="C2" s="1148"/>
      <c r="D2" s="1148"/>
      <c r="E2" s="1148"/>
      <c r="F2" s="1148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/>
      <c r="X2"/>
      <c r="Y2"/>
      <c r="Z2"/>
      <c r="AA2"/>
      <c r="AB2"/>
      <c r="AC2"/>
      <c r="AD2"/>
      <c r="AE2"/>
    </row>
    <row r="3" spans="1:31" ht="6.75" customHeight="1" thickBot="1" x14ac:dyDescent="0.4">
      <c r="A3" s="162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/>
      <c r="X3"/>
      <c r="Y3"/>
      <c r="Z3"/>
      <c r="AA3"/>
      <c r="AB3"/>
      <c r="AC3"/>
      <c r="AD3"/>
      <c r="AE3"/>
    </row>
    <row r="4" spans="1:31" ht="9" hidden="1" customHeight="1" thickBot="1" x14ac:dyDescent="0.3">
      <c r="A4" s="26"/>
      <c r="B4" s="26"/>
      <c r="C4" s="26"/>
      <c r="D4" s="26"/>
      <c r="E4" s="26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/>
      <c r="X4"/>
      <c r="Y4"/>
      <c r="Z4"/>
      <c r="AA4"/>
      <c r="AB4"/>
      <c r="AC4"/>
      <c r="AD4"/>
      <c r="AE4"/>
    </row>
    <row r="5" spans="1:31" s="27" customFormat="1" ht="22.5" customHeight="1" thickTop="1" x14ac:dyDescent="0.25">
      <c r="A5" s="1166" t="s">
        <v>45</v>
      </c>
      <c r="B5" s="1169" t="s">
        <v>46</v>
      </c>
      <c r="C5" s="1169" t="s">
        <v>47</v>
      </c>
      <c r="D5" s="1174" t="s">
        <v>48</v>
      </c>
      <c r="E5" s="1174"/>
      <c r="F5" s="1175" t="s">
        <v>49</v>
      </c>
      <c r="G5" s="1176"/>
      <c r="H5" s="1176"/>
      <c r="I5" s="1176"/>
      <c r="J5" s="1176"/>
      <c r="K5" s="1176"/>
      <c r="L5" s="1176"/>
      <c r="M5" s="1177"/>
      <c r="N5" s="1176" t="s">
        <v>50</v>
      </c>
      <c r="O5" s="1176"/>
      <c r="P5" s="1176"/>
      <c r="Q5" s="1176"/>
      <c r="R5" s="1176"/>
      <c r="S5" s="1176"/>
      <c r="T5" s="1176"/>
      <c r="U5" s="1178"/>
      <c r="V5" s="631" t="s">
        <v>51</v>
      </c>
    </row>
    <row r="6" spans="1:31" s="27" customFormat="1" ht="22.5" customHeight="1" x14ac:dyDescent="0.25">
      <c r="A6" s="1167"/>
      <c r="B6" s="1170"/>
      <c r="C6" s="1172"/>
      <c r="D6" s="632" t="s">
        <v>52</v>
      </c>
      <c r="E6" s="632" t="s">
        <v>53</v>
      </c>
      <c r="F6" s="1179" t="s">
        <v>54</v>
      </c>
      <c r="G6" s="1179"/>
      <c r="H6" s="1179" t="s">
        <v>95</v>
      </c>
      <c r="I6" s="1179"/>
      <c r="J6" s="1179" t="s">
        <v>55</v>
      </c>
      <c r="K6" s="1179"/>
      <c r="L6" s="633" t="s">
        <v>56</v>
      </c>
      <c r="M6" s="634" t="s">
        <v>56</v>
      </c>
      <c r="N6" s="1185" t="s">
        <v>101</v>
      </c>
      <c r="O6" s="1161"/>
      <c r="P6" s="1161" t="s">
        <v>95</v>
      </c>
      <c r="Q6" s="1161"/>
      <c r="R6" s="1161" t="s">
        <v>55</v>
      </c>
      <c r="S6" s="1161"/>
      <c r="T6" s="1161" t="s">
        <v>57</v>
      </c>
      <c r="U6" s="1161"/>
      <c r="V6" s="507" t="s">
        <v>58</v>
      </c>
    </row>
    <row r="7" spans="1:31" s="27" customFormat="1" ht="22.5" customHeight="1" x14ac:dyDescent="0.25">
      <c r="A7" s="1168"/>
      <c r="B7" s="1171"/>
      <c r="C7" s="1173"/>
      <c r="D7" s="635" t="s">
        <v>59</v>
      </c>
      <c r="E7" s="635" t="s">
        <v>60</v>
      </c>
      <c r="F7" s="636" t="s">
        <v>61</v>
      </c>
      <c r="G7" s="636" t="s">
        <v>62</v>
      </c>
      <c r="H7" s="636" t="s">
        <v>61</v>
      </c>
      <c r="I7" s="636" t="s">
        <v>62</v>
      </c>
      <c r="J7" s="636" t="s">
        <v>61</v>
      </c>
      <c r="K7" s="636" t="s">
        <v>62</v>
      </c>
      <c r="L7" s="637" t="s">
        <v>63</v>
      </c>
      <c r="M7" s="638" t="s">
        <v>64</v>
      </c>
      <c r="N7" s="639" t="s">
        <v>61</v>
      </c>
      <c r="O7" s="636" t="s">
        <v>62</v>
      </c>
      <c r="P7" s="636" t="s">
        <v>61</v>
      </c>
      <c r="Q7" s="636" t="s">
        <v>62</v>
      </c>
      <c r="R7" s="636" t="s">
        <v>61</v>
      </c>
      <c r="S7" s="636" t="s">
        <v>62</v>
      </c>
      <c r="T7" s="636" t="s">
        <v>61</v>
      </c>
      <c r="U7" s="636" t="s">
        <v>62</v>
      </c>
      <c r="V7" s="507" t="s">
        <v>65</v>
      </c>
    </row>
    <row r="8" spans="1:31" s="21" customFormat="1" ht="22.5" customHeight="1" x14ac:dyDescent="0.25">
      <c r="A8" s="473" t="s">
        <v>1804</v>
      </c>
      <c r="B8" s="474" t="s">
        <v>36</v>
      </c>
      <c r="C8" s="475">
        <v>34</v>
      </c>
      <c r="D8" s="474">
        <v>65</v>
      </c>
      <c r="E8" s="474">
        <v>65</v>
      </c>
      <c r="F8" s="476"/>
      <c r="G8" s="477">
        <f t="shared" ref="G8:G14" si="0">F8/E8*100</f>
        <v>0</v>
      </c>
      <c r="H8" s="474"/>
      <c r="I8" s="477">
        <f>H8/E8*100</f>
        <v>0</v>
      </c>
      <c r="J8" s="474"/>
      <c r="K8" s="477">
        <f t="shared" ref="K8:K14" si="1">J8/E8*100</f>
        <v>0</v>
      </c>
      <c r="L8" s="477">
        <f>G8+I8+K8</f>
        <v>0</v>
      </c>
      <c r="M8" s="478">
        <f t="shared" ref="M8:M14" si="2">G8+I8</f>
        <v>0</v>
      </c>
      <c r="N8" s="479"/>
      <c r="O8" s="477">
        <f t="shared" ref="O8:O14" si="3">N8/E8*100</f>
        <v>0</v>
      </c>
      <c r="P8" s="476"/>
      <c r="Q8" s="480">
        <f t="shared" ref="Q8:Q14" si="4">P8/E8*100</f>
        <v>0</v>
      </c>
      <c r="R8" s="476"/>
      <c r="S8" s="477">
        <f>R8/E8*100</f>
        <v>0</v>
      </c>
      <c r="T8" s="481"/>
      <c r="U8" s="481"/>
      <c r="V8" s="482">
        <v>65</v>
      </c>
    </row>
    <row r="9" spans="1:31" s="144" customFormat="1" ht="22.5" customHeight="1" x14ac:dyDescent="0.25">
      <c r="A9" s="483" t="s">
        <v>1805</v>
      </c>
      <c r="B9" s="484" t="s">
        <v>36</v>
      </c>
      <c r="C9" s="485">
        <v>34</v>
      </c>
      <c r="D9" s="486">
        <v>65</v>
      </c>
      <c r="E9" s="486">
        <v>65</v>
      </c>
      <c r="F9" s="486"/>
      <c r="G9" s="477">
        <f t="shared" si="0"/>
        <v>0</v>
      </c>
      <c r="H9" s="486"/>
      <c r="I9" s="477">
        <f>H9/E9*100</f>
        <v>0</v>
      </c>
      <c r="J9" s="486"/>
      <c r="K9" s="477">
        <f t="shared" si="1"/>
        <v>0</v>
      </c>
      <c r="L9" s="477">
        <f>G9+I9+K9</f>
        <v>0</v>
      </c>
      <c r="M9" s="478">
        <f>G9+I9</f>
        <v>0</v>
      </c>
      <c r="N9" s="487"/>
      <c r="O9" s="477">
        <f t="shared" si="3"/>
        <v>0</v>
      </c>
      <c r="P9" s="486"/>
      <c r="Q9" s="480">
        <f t="shared" si="4"/>
        <v>0</v>
      </c>
      <c r="R9" s="486"/>
      <c r="S9" s="477">
        <f>R9/E9*100</f>
        <v>0</v>
      </c>
      <c r="T9" s="488"/>
      <c r="U9" s="488"/>
      <c r="V9" s="489">
        <v>65</v>
      </c>
    </row>
    <row r="10" spans="1:31" s="116" customFormat="1" ht="22.5" customHeight="1" x14ac:dyDescent="0.25">
      <c r="A10" s="1162" t="s">
        <v>68</v>
      </c>
      <c r="B10" s="1163"/>
      <c r="C10" s="490"/>
      <c r="D10" s="491">
        <f>SUM(D8:D9)</f>
        <v>130</v>
      </c>
      <c r="E10" s="491">
        <f>SUM(E8:E9)</f>
        <v>130</v>
      </c>
      <c r="F10" s="491">
        <f>SUM(F8:F9)</f>
        <v>0</v>
      </c>
      <c r="G10" s="492">
        <f t="shared" si="0"/>
        <v>0</v>
      </c>
      <c r="H10" s="491">
        <f>SUM(H8:H9)</f>
        <v>0</v>
      </c>
      <c r="I10" s="492">
        <f>H10/E10*100</f>
        <v>0</v>
      </c>
      <c r="J10" s="491">
        <f>SUM(J8:J9)</f>
        <v>0</v>
      </c>
      <c r="K10" s="492">
        <f t="shared" si="1"/>
        <v>0</v>
      </c>
      <c r="L10" s="492">
        <f>G10+I10+K10</f>
        <v>0</v>
      </c>
      <c r="M10" s="493">
        <f>G10+I10</f>
        <v>0</v>
      </c>
      <c r="N10" s="491">
        <f>SUM(N8:N9)</f>
        <v>0</v>
      </c>
      <c r="O10" s="492">
        <f t="shared" si="3"/>
        <v>0</v>
      </c>
      <c r="P10" s="491">
        <f>SUM(P8:P9)</f>
        <v>0</v>
      </c>
      <c r="Q10" s="492">
        <f t="shared" si="4"/>
        <v>0</v>
      </c>
      <c r="R10" s="491">
        <f>SUM(R8:R9)</f>
        <v>0</v>
      </c>
      <c r="S10" s="492">
        <f>R10/E10*100</f>
        <v>0</v>
      </c>
      <c r="T10" s="491">
        <f>SUM(T8:T9)</f>
        <v>0</v>
      </c>
      <c r="U10" s="492"/>
      <c r="V10" s="494">
        <f>SUM(V8:V9)</f>
        <v>130</v>
      </c>
    </row>
    <row r="11" spans="1:31" s="21" customFormat="1" ht="22.5" customHeight="1" x14ac:dyDescent="0.25">
      <c r="A11" s="1180" t="s">
        <v>1806</v>
      </c>
      <c r="B11" s="476" t="s">
        <v>1807</v>
      </c>
      <c r="C11" s="495">
        <v>39</v>
      </c>
      <c r="D11" s="476">
        <v>26</v>
      </c>
      <c r="E11" s="476">
        <v>26</v>
      </c>
      <c r="F11" s="476">
        <v>1</v>
      </c>
      <c r="G11" s="477">
        <f t="shared" si="0"/>
        <v>3.8461538461538463</v>
      </c>
      <c r="H11" s="476">
        <v>20</v>
      </c>
      <c r="I11" s="477">
        <f t="shared" ref="I11:I13" si="5">H11/E11*100</f>
        <v>76.923076923076934</v>
      </c>
      <c r="J11" s="476">
        <v>5</v>
      </c>
      <c r="K11" s="477">
        <f t="shared" si="1"/>
        <v>19.230769230769234</v>
      </c>
      <c r="L11" s="477">
        <f t="shared" ref="L11:L14" si="6">G11+I11+K11</f>
        <v>100</v>
      </c>
      <c r="M11" s="478">
        <f t="shared" si="2"/>
        <v>80.769230769230774</v>
      </c>
      <c r="N11" s="496"/>
      <c r="O11" s="477">
        <f t="shared" si="3"/>
        <v>0</v>
      </c>
      <c r="P11" s="476"/>
      <c r="Q11" s="477">
        <f>P11/E11*100</f>
        <v>0</v>
      </c>
      <c r="R11" s="476"/>
      <c r="S11" s="477"/>
      <c r="T11" s="476"/>
      <c r="U11" s="477"/>
      <c r="V11" s="497">
        <v>26</v>
      </c>
    </row>
    <row r="12" spans="1:31" s="21" customFormat="1" ht="22.5" customHeight="1" x14ac:dyDescent="0.25">
      <c r="A12" s="1181"/>
      <c r="B12" s="474" t="s">
        <v>37</v>
      </c>
      <c r="C12" s="475">
        <v>41</v>
      </c>
      <c r="D12" s="474">
        <v>47</v>
      </c>
      <c r="E12" s="474">
        <v>47</v>
      </c>
      <c r="F12" s="474">
        <v>2</v>
      </c>
      <c r="G12" s="477">
        <f t="shared" si="0"/>
        <v>4.2553191489361701</v>
      </c>
      <c r="H12" s="474">
        <v>27</v>
      </c>
      <c r="I12" s="477">
        <f t="shared" si="5"/>
        <v>57.446808510638306</v>
      </c>
      <c r="J12" s="474">
        <v>18</v>
      </c>
      <c r="K12" s="477">
        <f t="shared" si="1"/>
        <v>38.297872340425535</v>
      </c>
      <c r="L12" s="477">
        <f t="shared" si="6"/>
        <v>100</v>
      </c>
      <c r="M12" s="478">
        <f t="shared" si="2"/>
        <v>61.702127659574472</v>
      </c>
      <c r="N12" s="479"/>
      <c r="O12" s="477">
        <f t="shared" si="3"/>
        <v>0</v>
      </c>
      <c r="P12" s="476"/>
      <c r="Q12" s="480">
        <f t="shared" si="4"/>
        <v>0</v>
      </c>
      <c r="R12" s="476"/>
      <c r="S12" s="498">
        <f t="shared" ref="S12:S14" si="7">R12/E12*100</f>
        <v>0</v>
      </c>
      <c r="T12" s="476"/>
      <c r="U12" s="477"/>
      <c r="V12" s="482">
        <v>47</v>
      </c>
    </row>
    <row r="13" spans="1:31" s="21" customFormat="1" ht="22.5" customHeight="1" x14ac:dyDescent="0.25">
      <c r="A13" s="1182"/>
      <c r="B13" s="499" t="s">
        <v>71</v>
      </c>
      <c r="C13" s="500">
        <v>41</v>
      </c>
      <c r="D13" s="499">
        <v>47</v>
      </c>
      <c r="E13" s="499">
        <v>47</v>
      </c>
      <c r="F13" s="499">
        <v>3</v>
      </c>
      <c r="G13" s="501">
        <f t="shared" si="0"/>
        <v>6.3829787234042552</v>
      </c>
      <c r="H13" s="499">
        <v>42</v>
      </c>
      <c r="I13" s="501">
        <f t="shared" si="5"/>
        <v>89.361702127659569</v>
      </c>
      <c r="J13" s="499">
        <v>2</v>
      </c>
      <c r="K13" s="501">
        <f t="shared" si="1"/>
        <v>4.2553191489361701</v>
      </c>
      <c r="L13" s="501">
        <f t="shared" si="6"/>
        <v>99.999999999999986</v>
      </c>
      <c r="M13" s="502">
        <f t="shared" si="2"/>
        <v>95.744680851063819</v>
      </c>
      <c r="N13" s="503"/>
      <c r="O13" s="477">
        <f t="shared" si="3"/>
        <v>0</v>
      </c>
      <c r="P13" s="504"/>
      <c r="Q13" s="480">
        <f t="shared" si="4"/>
        <v>0</v>
      </c>
      <c r="R13" s="504"/>
      <c r="S13" s="498">
        <f t="shared" si="7"/>
        <v>0</v>
      </c>
      <c r="T13" s="504"/>
      <c r="U13" s="480"/>
      <c r="V13" s="505">
        <v>47</v>
      </c>
    </row>
    <row r="14" spans="1:31" s="116" customFormat="1" ht="22.5" customHeight="1" x14ac:dyDescent="0.25">
      <c r="A14" s="1162" t="s">
        <v>68</v>
      </c>
      <c r="B14" s="1163"/>
      <c r="C14" s="490"/>
      <c r="D14" s="491">
        <f>SUM(D11:D13)</f>
        <v>120</v>
      </c>
      <c r="E14" s="491">
        <f>SUM(E11:E13)</f>
        <v>120</v>
      </c>
      <c r="F14" s="491">
        <f>SUM(F11:F13)</f>
        <v>6</v>
      </c>
      <c r="G14" s="492">
        <f t="shared" si="0"/>
        <v>5</v>
      </c>
      <c r="H14" s="491">
        <f>SUM(H11:H13)</f>
        <v>89</v>
      </c>
      <c r="I14" s="492">
        <f>H14/E14*100</f>
        <v>74.166666666666671</v>
      </c>
      <c r="J14" s="491">
        <f>SUM(J11:J13)</f>
        <v>25</v>
      </c>
      <c r="K14" s="492">
        <f t="shared" si="1"/>
        <v>20.833333333333336</v>
      </c>
      <c r="L14" s="492">
        <f t="shared" si="6"/>
        <v>100</v>
      </c>
      <c r="M14" s="493">
        <f t="shared" si="2"/>
        <v>79.166666666666671</v>
      </c>
      <c r="N14" s="491">
        <f>SUM(N11:N13)</f>
        <v>0</v>
      </c>
      <c r="O14" s="492">
        <f t="shared" si="3"/>
        <v>0</v>
      </c>
      <c r="P14" s="491">
        <f>SUM(P11:P13)</f>
        <v>0</v>
      </c>
      <c r="Q14" s="492">
        <f t="shared" si="4"/>
        <v>0</v>
      </c>
      <c r="R14" s="491">
        <f>SUM(R11:R13)</f>
        <v>0</v>
      </c>
      <c r="S14" s="492">
        <f t="shared" si="7"/>
        <v>0</v>
      </c>
      <c r="T14" s="491">
        <f>SUM(T11:T13)</f>
        <v>0</v>
      </c>
      <c r="U14" s="492"/>
      <c r="V14" s="494">
        <f>SUM(V11:V13)</f>
        <v>120</v>
      </c>
    </row>
    <row r="15" spans="1:31" s="122" customFormat="1" ht="22.5" customHeight="1" thickBot="1" x14ac:dyDescent="0.3">
      <c r="A15" s="1183" t="s">
        <v>75</v>
      </c>
      <c r="B15" s="1184"/>
      <c r="C15" s="155"/>
      <c r="D15" s="124">
        <f>SUM(D10+D14)</f>
        <v>250</v>
      </c>
      <c r="E15" s="124">
        <f t="shared" ref="E15:V15" si="8">SUM(E10+E14)</f>
        <v>250</v>
      </c>
      <c r="F15" s="124">
        <f t="shared" si="8"/>
        <v>6</v>
      </c>
      <c r="G15" s="124">
        <f t="shared" si="8"/>
        <v>5</v>
      </c>
      <c r="H15" s="124">
        <f t="shared" si="8"/>
        <v>89</v>
      </c>
      <c r="I15" s="124">
        <f t="shared" si="8"/>
        <v>74.166666666666671</v>
      </c>
      <c r="J15" s="124">
        <f t="shared" si="8"/>
        <v>25</v>
      </c>
      <c r="K15" s="124">
        <f t="shared" si="8"/>
        <v>20.833333333333336</v>
      </c>
      <c r="L15" s="124">
        <f t="shared" si="8"/>
        <v>100</v>
      </c>
      <c r="M15" s="124">
        <f t="shared" si="8"/>
        <v>79.166666666666671</v>
      </c>
      <c r="N15" s="124">
        <f t="shared" si="8"/>
        <v>0</v>
      </c>
      <c r="O15" s="124">
        <f t="shared" si="8"/>
        <v>0</v>
      </c>
      <c r="P15" s="124">
        <f t="shared" si="8"/>
        <v>0</v>
      </c>
      <c r="Q15" s="124">
        <f t="shared" si="8"/>
        <v>0</v>
      </c>
      <c r="R15" s="124">
        <f t="shared" si="8"/>
        <v>0</v>
      </c>
      <c r="S15" s="124">
        <f t="shared" si="8"/>
        <v>0</v>
      </c>
      <c r="T15" s="124">
        <f t="shared" si="8"/>
        <v>0</v>
      </c>
      <c r="U15" s="124">
        <f t="shared" si="8"/>
        <v>0</v>
      </c>
      <c r="V15" s="124">
        <f t="shared" si="8"/>
        <v>250</v>
      </c>
    </row>
  </sheetData>
  <mergeCells count="19">
    <mergeCell ref="A11:A13"/>
    <mergeCell ref="A14:B14"/>
    <mergeCell ref="A15:B15"/>
    <mergeCell ref="J6:K6"/>
    <mergeCell ref="N6:O6"/>
    <mergeCell ref="P6:Q6"/>
    <mergeCell ref="R6:S6"/>
    <mergeCell ref="T6:U6"/>
    <mergeCell ref="A10:B10"/>
    <mergeCell ref="A1:U1"/>
    <mergeCell ref="A2:V2"/>
    <mergeCell ref="A5:A7"/>
    <mergeCell ref="B5:B7"/>
    <mergeCell ref="C5:C7"/>
    <mergeCell ref="D5:E5"/>
    <mergeCell ref="F5:M5"/>
    <mergeCell ref="N5:U5"/>
    <mergeCell ref="F6:G6"/>
    <mergeCell ref="H6:I6"/>
  </mergeCells>
  <printOptions horizontalCentered="1"/>
  <pageMargins left="0.24" right="0.16" top="0.27" bottom="0.31" header="0.23" footer="0.27"/>
  <pageSetup scale="98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16"/>
  <sheetViews>
    <sheetView showZeros="0" topLeftCell="A8" zoomScale="110" workbookViewId="0">
      <selection activeCell="K17" sqref="K17"/>
    </sheetView>
  </sheetViews>
  <sheetFormatPr defaultRowHeight="18.75" x14ac:dyDescent="0.3"/>
  <cols>
    <col min="1" max="1" width="4.3984375" style="1" customWidth="1"/>
    <col min="2" max="2" width="12.8984375" style="1" customWidth="1"/>
    <col min="3" max="3" width="3.3984375" style="1" customWidth="1"/>
    <col min="4" max="4" width="3.796875" customWidth="1"/>
    <col min="5" max="5" width="3.59765625" style="1" customWidth="1"/>
    <col min="6" max="6" width="3.69921875" style="237" customWidth="1"/>
    <col min="7" max="7" width="5.69921875" style="237" customWidth="1"/>
    <col min="8" max="8" width="3.69921875" style="237" customWidth="1"/>
    <col min="9" max="9" width="6.19921875" style="237" customWidth="1"/>
    <col min="10" max="10" width="3.69921875" style="237" customWidth="1"/>
    <col min="11" max="11" width="4.59765625" style="237" customWidth="1"/>
    <col min="12" max="12" width="5.8984375" style="237" customWidth="1"/>
    <col min="13" max="13" width="5.296875" style="237" customWidth="1"/>
    <col min="14" max="14" width="3.69921875" style="237" customWidth="1"/>
    <col min="15" max="15" width="5.69921875" style="237" customWidth="1"/>
    <col min="16" max="16" width="3.69921875" style="237" customWidth="1"/>
    <col min="17" max="17" width="5.19921875" style="237" customWidth="1"/>
    <col min="18" max="18" width="3.69921875" style="237" customWidth="1"/>
    <col min="19" max="19" width="4.5" style="237" customWidth="1"/>
    <col min="20" max="20" width="3.296875" style="237" customWidth="1"/>
    <col min="21" max="21" width="3.69921875" style="237" customWidth="1"/>
    <col min="22" max="22" width="8.69921875" style="237" customWidth="1"/>
    <col min="23" max="23" width="3.69921875" style="5" customWidth="1"/>
    <col min="24" max="26" width="2.19921875" style="22" customWidth="1"/>
    <col min="27" max="29" width="3.3984375" style="1" customWidth="1"/>
    <col min="30" max="30" width="4.3984375" style="15" customWidth="1"/>
    <col min="31" max="31" width="22.296875" style="1" customWidth="1"/>
    <col min="32" max="32" width="9.296875" customWidth="1"/>
    <col min="33" max="33" width="10.19921875" customWidth="1"/>
  </cols>
  <sheetData>
    <row r="1" spans="1:31" ht="33.75" customHeight="1" x14ac:dyDescent="0.35">
      <c r="A1" s="1148" t="s">
        <v>44</v>
      </c>
      <c r="B1" s="1148"/>
      <c r="C1" s="1148"/>
      <c r="D1" s="1148"/>
      <c r="E1" s="1148"/>
      <c r="F1" s="1148"/>
      <c r="G1" s="1148"/>
      <c r="H1" s="1148"/>
      <c r="I1" s="1148"/>
      <c r="J1" s="1148"/>
      <c r="K1" s="1148"/>
      <c r="L1" s="1148"/>
      <c r="M1" s="1148"/>
      <c r="N1" s="1148"/>
      <c r="O1" s="1148"/>
      <c r="P1" s="1148"/>
      <c r="Q1" s="1148"/>
      <c r="R1" s="1148"/>
      <c r="S1" s="1148"/>
      <c r="T1" s="1148"/>
      <c r="U1" s="1148"/>
      <c r="V1" s="62"/>
      <c r="W1"/>
      <c r="X1"/>
      <c r="Y1"/>
      <c r="Z1"/>
      <c r="AA1"/>
      <c r="AB1"/>
      <c r="AC1"/>
      <c r="AD1"/>
      <c r="AE1"/>
    </row>
    <row r="2" spans="1:31" ht="27" customHeight="1" x14ac:dyDescent="0.35">
      <c r="A2" s="1149" t="s">
        <v>334</v>
      </c>
      <c r="B2" s="1148"/>
      <c r="C2" s="1148"/>
      <c r="D2" s="1148"/>
      <c r="E2" s="1148"/>
      <c r="F2" s="1148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/>
      <c r="X2"/>
      <c r="Y2"/>
      <c r="Z2"/>
      <c r="AA2"/>
      <c r="AB2"/>
      <c r="AC2"/>
      <c r="AD2"/>
      <c r="AE2"/>
    </row>
    <row r="3" spans="1:31" ht="6.75" customHeight="1" thickBot="1" x14ac:dyDescent="0.4">
      <c r="A3" s="162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/>
      <c r="X3"/>
      <c r="Y3"/>
      <c r="Z3"/>
      <c r="AA3"/>
      <c r="AB3"/>
      <c r="AC3"/>
      <c r="AD3"/>
      <c r="AE3"/>
    </row>
    <row r="4" spans="1:31" ht="9" hidden="1" customHeight="1" thickBot="1" x14ac:dyDescent="0.3">
      <c r="A4" s="26"/>
      <c r="B4" s="26"/>
      <c r="C4" s="26"/>
      <c r="D4" s="26"/>
      <c r="E4" s="26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/>
      <c r="X4"/>
      <c r="Y4"/>
      <c r="Z4"/>
      <c r="AA4"/>
      <c r="AB4"/>
      <c r="AC4"/>
      <c r="AD4"/>
      <c r="AE4"/>
    </row>
    <row r="5" spans="1:31" s="27" customFormat="1" ht="36.75" customHeight="1" thickTop="1" x14ac:dyDescent="0.25">
      <c r="A5" s="1166" t="s">
        <v>45</v>
      </c>
      <c r="B5" s="1187" t="s">
        <v>46</v>
      </c>
      <c r="C5" s="1169" t="s">
        <v>47</v>
      </c>
      <c r="D5" s="1190" t="s">
        <v>48</v>
      </c>
      <c r="E5" s="1190"/>
      <c r="F5" s="1191" t="s">
        <v>49</v>
      </c>
      <c r="G5" s="1192"/>
      <c r="H5" s="1192"/>
      <c r="I5" s="1192"/>
      <c r="J5" s="1192"/>
      <c r="K5" s="1192"/>
      <c r="L5" s="1192"/>
      <c r="M5" s="1193"/>
      <c r="N5" s="1192" t="s">
        <v>50</v>
      </c>
      <c r="O5" s="1192"/>
      <c r="P5" s="1192"/>
      <c r="Q5" s="1192"/>
      <c r="R5" s="1192"/>
      <c r="S5" s="1192"/>
      <c r="T5" s="1192"/>
      <c r="U5" s="1194"/>
      <c r="V5" s="464" t="s">
        <v>51</v>
      </c>
    </row>
    <row r="6" spans="1:31" s="27" customFormat="1" ht="36.75" customHeight="1" x14ac:dyDescent="0.25">
      <c r="A6" s="1167"/>
      <c r="B6" s="1188"/>
      <c r="C6" s="1172"/>
      <c r="D6" s="465" t="s">
        <v>52</v>
      </c>
      <c r="E6" s="465" t="s">
        <v>53</v>
      </c>
      <c r="F6" s="1195" t="s">
        <v>54</v>
      </c>
      <c r="G6" s="1195"/>
      <c r="H6" s="1195" t="s">
        <v>95</v>
      </c>
      <c r="I6" s="1195"/>
      <c r="J6" s="1195" t="s">
        <v>55</v>
      </c>
      <c r="K6" s="1195"/>
      <c r="L6" s="466" t="s">
        <v>56</v>
      </c>
      <c r="M6" s="467" t="s">
        <v>56</v>
      </c>
      <c r="N6" s="1198" t="s">
        <v>101</v>
      </c>
      <c r="O6" s="1186"/>
      <c r="P6" s="1186" t="s">
        <v>95</v>
      </c>
      <c r="Q6" s="1186"/>
      <c r="R6" s="1186" t="s">
        <v>55</v>
      </c>
      <c r="S6" s="1186"/>
      <c r="T6" s="1186" t="s">
        <v>57</v>
      </c>
      <c r="U6" s="1186"/>
      <c r="V6" s="508" t="s">
        <v>58</v>
      </c>
    </row>
    <row r="7" spans="1:31" s="27" customFormat="1" ht="36.75" customHeight="1" x14ac:dyDescent="0.25">
      <c r="A7" s="1168"/>
      <c r="B7" s="1189"/>
      <c r="C7" s="1173"/>
      <c r="D7" s="468" t="s">
        <v>59</v>
      </c>
      <c r="E7" s="468" t="s">
        <v>60</v>
      </c>
      <c r="F7" s="469" t="s">
        <v>61</v>
      </c>
      <c r="G7" s="469" t="s">
        <v>62</v>
      </c>
      <c r="H7" s="469" t="s">
        <v>61</v>
      </c>
      <c r="I7" s="469" t="s">
        <v>62</v>
      </c>
      <c r="J7" s="469" t="s">
        <v>61</v>
      </c>
      <c r="K7" s="469" t="s">
        <v>62</v>
      </c>
      <c r="L7" s="470" t="s">
        <v>63</v>
      </c>
      <c r="M7" s="471" t="s">
        <v>64</v>
      </c>
      <c r="N7" s="472" t="s">
        <v>61</v>
      </c>
      <c r="O7" s="469" t="s">
        <v>62</v>
      </c>
      <c r="P7" s="469" t="s">
        <v>61</v>
      </c>
      <c r="Q7" s="469" t="s">
        <v>62</v>
      </c>
      <c r="R7" s="469" t="s">
        <v>61</v>
      </c>
      <c r="S7" s="469" t="s">
        <v>62</v>
      </c>
      <c r="T7" s="469" t="s">
        <v>61</v>
      </c>
      <c r="U7" s="469" t="s">
        <v>62</v>
      </c>
      <c r="V7" s="507" t="s">
        <v>65</v>
      </c>
    </row>
    <row r="8" spans="1:31" s="21" customFormat="1" ht="36.75" customHeight="1" x14ac:dyDescent="0.25">
      <c r="A8" s="473" t="s">
        <v>66</v>
      </c>
      <c r="B8" s="474" t="s">
        <v>36</v>
      </c>
      <c r="C8" s="475">
        <v>33</v>
      </c>
      <c r="D8" s="474">
        <v>64</v>
      </c>
      <c r="E8" s="474">
        <v>64</v>
      </c>
      <c r="F8" s="476">
        <v>5</v>
      </c>
      <c r="G8" s="477">
        <f t="shared" ref="G8:G14" si="0">F8/E8*100</f>
        <v>7.8125</v>
      </c>
      <c r="H8" s="474">
        <v>53</v>
      </c>
      <c r="I8" s="477">
        <f t="shared" ref="I8:I14" si="1">H8/E8*100</f>
        <v>82.8125</v>
      </c>
      <c r="J8" s="474">
        <v>6</v>
      </c>
      <c r="K8" s="477">
        <f t="shared" ref="K8:K14" si="2">J8/E8*100</f>
        <v>9.375</v>
      </c>
      <c r="L8" s="509">
        <f t="shared" ref="L8:L14" si="3">G8+I8+K8</f>
        <v>100</v>
      </c>
      <c r="M8" s="478">
        <f t="shared" ref="M8:M14" si="4">G8+I8</f>
        <v>90.625</v>
      </c>
      <c r="N8" s="479">
        <v>54</v>
      </c>
      <c r="O8" s="477">
        <f t="shared" ref="O8:O14" si="5">N8/E8*100</f>
        <v>84.375</v>
      </c>
      <c r="P8" s="476">
        <v>10</v>
      </c>
      <c r="Q8" s="480">
        <f t="shared" ref="Q8:Q14" si="6">P8/E8*100</f>
        <v>15.625</v>
      </c>
      <c r="R8" s="476"/>
      <c r="S8" s="477">
        <f>R8/E8*100</f>
        <v>0</v>
      </c>
      <c r="T8" s="481"/>
      <c r="U8" s="481"/>
      <c r="V8" s="482">
        <v>64</v>
      </c>
    </row>
    <row r="9" spans="1:31" s="144" customFormat="1" ht="36.75" customHeight="1" x14ac:dyDescent="0.25">
      <c r="A9" s="483" t="s">
        <v>67</v>
      </c>
      <c r="B9" s="484" t="s">
        <v>36</v>
      </c>
      <c r="C9" s="485">
        <v>33</v>
      </c>
      <c r="D9" s="486">
        <v>65</v>
      </c>
      <c r="E9" s="486">
        <v>65</v>
      </c>
      <c r="F9" s="486">
        <v>5</v>
      </c>
      <c r="G9" s="477">
        <f t="shared" si="0"/>
        <v>7.6923076923076925</v>
      </c>
      <c r="H9" s="486">
        <v>59</v>
      </c>
      <c r="I9" s="477">
        <f t="shared" si="1"/>
        <v>90.769230769230774</v>
      </c>
      <c r="J9" s="486">
        <v>1</v>
      </c>
      <c r="K9" s="477">
        <f t="shared" si="2"/>
        <v>1.5384615384615385</v>
      </c>
      <c r="L9" s="509">
        <f t="shared" si="3"/>
        <v>100</v>
      </c>
      <c r="M9" s="478">
        <f>G9+I9</f>
        <v>98.461538461538467</v>
      </c>
      <c r="N9" s="487">
        <v>55</v>
      </c>
      <c r="O9" s="477">
        <f t="shared" si="5"/>
        <v>84.615384615384613</v>
      </c>
      <c r="P9" s="486">
        <v>10</v>
      </c>
      <c r="Q9" s="480">
        <f t="shared" si="6"/>
        <v>15.384615384615385</v>
      </c>
      <c r="R9" s="486"/>
      <c r="S9" s="477">
        <f>R9/E9*100</f>
        <v>0</v>
      </c>
      <c r="T9" s="488"/>
      <c r="U9" s="488"/>
      <c r="V9" s="489">
        <v>65</v>
      </c>
    </row>
    <row r="10" spans="1:31" s="116" customFormat="1" ht="36.75" customHeight="1" x14ac:dyDescent="0.25">
      <c r="A10" s="1162" t="s">
        <v>68</v>
      </c>
      <c r="B10" s="1163"/>
      <c r="C10" s="490"/>
      <c r="D10" s="491">
        <f>SUM(D8:D9)</f>
        <v>129</v>
      </c>
      <c r="E10" s="491">
        <f>SUM(E8:E9)</f>
        <v>129</v>
      </c>
      <c r="F10" s="491">
        <f>SUM(F8:F9)</f>
        <v>10</v>
      </c>
      <c r="G10" s="492">
        <f t="shared" si="0"/>
        <v>7.7519379844961236</v>
      </c>
      <c r="H10" s="491">
        <f>SUM(H8:H9)</f>
        <v>112</v>
      </c>
      <c r="I10" s="492">
        <f t="shared" si="1"/>
        <v>86.821705426356587</v>
      </c>
      <c r="J10" s="491">
        <f>SUM(J8:J9)</f>
        <v>7</v>
      </c>
      <c r="K10" s="492">
        <f t="shared" si="2"/>
        <v>5.4263565891472867</v>
      </c>
      <c r="L10" s="78">
        <f t="shared" si="3"/>
        <v>100</v>
      </c>
      <c r="M10" s="493">
        <f>G10+I10</f>
        <v>94.573643410852711</v>
      </c>
      <c r="N10" s="491">
        <f>SUM(N8:N9)</f>
        <v>109</v>
      </c>
      <c r="O10" s="492">
        <f t="shared" si="5"/>
        <v>84.496124031007753</v>
      </c>
      <c r="P10" s="491">
        <f>SUM(P8:P9)</f>
        <v>20</v>
      </c>
      <c r="Q10" s="492">
        <f t="shared" si="6"/>
        <v>15.503875968992247</v>
      </c>
      <c r="R10" s="491">
        <f>SUM(R8:R9)</f>
        <v>0</v>
      </c>
      <c r="S10" s="492">
        <f>R10/E10*100</f>
        <v>0</v>
      </c>
      <c r="T10" s="491">
        <f>SUM(T8:T9)</f>
        <v>0</v>
      </c>
      <c r="U10" s="492"/>
      <c r="V10" s="494">
        <f>SUM(V8:V9)</f>
        <v>129</v>
      </c>
    </row>
    <row r="11" spans="1:31" s="21" customFormat="1" ht="36.75" customHeight="1" x14ac:dyDescent="0.25">
      <c r="A11" s="1180" t="s">
        <v>69</v>
      </c>
      <c r="B11" s="476" t="s">
        <v>70</v>
      </c>
      <c r="C11" s="495">
        <v>38</v>
      </c>
      <c r="D11" s="476">
        <v>24</v>
      </c>
      <c r="E11" s="476">
        <v>24</v>
      </c>
      <c r="F11" s="476"/>
      <c r="G11" s="477">
        <f t="shared" si="0"/>
        <v>0</v>
      </c>
      <c r="H11" s="476">
        <v>21</v>
      </c>
      <c r="I11" s="477">
        <f t="shared" si="1"/>
        <v>87.5</v>
      </c>
      <c r="J11" s="476">
        <v>3</v>
      </c>
      <c r="K11" s="509">
        <f t="shared" si="2"/>
        <v>12.5</v>
      </c>
      <c r="L11" s="509">
        <f t="shared" si="3"/>
        <v>100</v>
      </c>
      <c r="M11" s="478">
        <f t="shared" si="4"/>
        <v>87.5</v>
      </c>
      <c r="N11" s="496">
        <v>19</v>
      </c>
      <c r="O11" s="477">
        <f t="shared" si="5"/>
        <v>79.166666666666657</v>
      </c>
      <c r="P11" s="476">
        <v>5</v>
      </c>
      <c r="Q11" s="477">
        <f>P11/E11*100</f>
        <v>20.833333333333336</v>
      </c>
      <c r="R11" s="476"/>
      <c r="S11" s="477"/>
      <c r="T11" s="476"/>
      <c r="U11" s="477"/>
      <c r="V11" s="497">
        <v>24</v>
      </c>
    </row>
    <row r="12" spans="1:31" s="21" customFormat="1" ht="36.75" customHeight="1" x14ac:dyDescent="0.25">
      <c r="A12" s="1181"/>
      <c r="B12" s="474" t="s">
        <v>37</v>
      </c>
      <c r="C12" s="475">
        <v>40</v>
      </c>
      <c r="D12" s="474">
        <v>47</v>
      </c>
      <c r="E12" s="474">
        <v>47</v>
      </c>
      <c r="F12" s="474"/>
      <c r="G12" s="477">
        <f t="shared" si="0"/>
        <v>0</v>
      </c>
      <c r="H12" s="474">
        <v>17</v>
      </c>
      <c r="I12" s="477">
        <f t="shared" si="1"/>
        <v>36.170212765957451</v>
      </c>
      <c r="J12" s="474">
        <v>30</v>
      </c>
      <c r="K12" s="509">
        <f t="shared" si="2"/>
        <v>63.829787234042556</v>
      </c>
      <c r="L12" s="509">
        <f t="shared" si="3"/>
        <v>100</v>
      </c>
      <c r="M12" s="478">
        <f t="shared" si="4"/>
        <v>36.170212765957451</v>
      </c>
      <c r="N12" s="479">
        <v>42</v>
      </c>
      <c r="O12" s="477">
        <f t="shared" si="5"/>
        <v>89.361702127659569</v>
      </c>
      <c r="P12" s="476">
        <v>5</v>
      </c>
      <c r="Q12" s="480">
        <f t="shared" si="6"/>
        <v>10.638297872340425</v>
      </c>
      <c r="R12" s="476"/>
      <c r="S12" s="498">
        <f>R12/E12*100</f>
        <v>0</v>
      </c>
      <c r="T12" s="476"/>
      <c r="U12" s="477"/>
      <c r="V12" s="482">
        <v>47</v>
      </c>
    </row>
    <row r="13" spans="1:31" s="21" customFormat="1" ht="36.75" customHeight="1" x14ac:dyDescent="0.25">
      <c r="A13" s="1182"/>
      <c r="B13" s="499" t="s">
        <v>71</v>
      </c>
      <c r="C13" s="500">
        <v>40</v>
      </c>
      <c r="D13" s="499">
        <v>47</v>
      </c>
      <c r="E13" s="499">
        <v>47</v>
      </c>
      <c r="F13" s="499">
        <v>2</v>
      </c>
      <c r="G13" s="501">
        <f t="shared" si="0"/>
        <v>4.2553191489361701</v>
      </c>
      <c r="H13" s="499">
        <v>42</v>
      </c>
      <c r="I13" s="501">
        <f t="shared" si="1"/>
        <v>89.361702127659569</v>
      </c>
      <c r="J13" s="499">
        <v>3</v>
      </c>
      <c r="K13" s="501">
        <f t="shared" si="2"/>
        <v>6.3829787234042552</v>
      </c>
      <c r="L13" s="510">
        <f t="shared" si="3"/>
        <v>99.999999999999986</v>
      </c>
      <c r="M13" s="502">
        <f t="shared" si="4"/>
        <v>93.617021276595736</v>
      </c>
      <c r="N13" s="503">
        <v>42</v>
      </c>
      <c r="O13" s="477">
        <f t="shared" si="5"/>
        <v>89.361702127659569</v>
      </c>
      <c r="P13" s="504">
        <v>5</v>
      </c>
      <c r="Q13" s="480">
        <f t="shared" si="6"/>
        <v>10.638297872340425</v>
      </c>
      <c r="R13" s="504"/>
      <c r="S13" s="498">
        <f>R13/E13*100</f>
        <v>0</v>
      </c>
      <c r="T13" s="504"/>
      <c r="U13" s="480"/>
      <c r="V13" s="505">
        <v>47</v>
      </c>
    </row>
    <row r="14" spans="1:31" s="116" customFormat="1" ht="36.75" customHeight="1" x14ac:dyDescent="0.25">
      <c r="A14" s="1162" t="s">
        <v>68</v>
      </c>
      <c r="B14" s="1163"/>
      <c r="C14" s="490"/>
      <c r="D14" s="491">
        <f>SUM(D11:D13)</f>
        <v>118</v>
      </c>
      <c r="E14" s="491">
        <f>SUM(E11:E13)</f>
        <v>118</v>
      </c>
      <c r="F14" s="491">
        <f>SUM(F11:F13)</f>
        <v>2</v>
      </c>
      <c r="G14" s="492">
        <f t="shared" si="0"/>
        <v>1.6949152542372881</v>
      </c>
      <c r="H14" s="491">
        <f>SUM(H11:H13)</f>
        <v>80</v>
      </c>
      <c r="I14" s="492">
        <f t="shared" si="1"/>
        <v>67.796610169491515</v>
      </c>
      <c r="J14" s="491">
        <f>SUM(J11:J13)</f>
        <v>36</v>
      </c>
      <c r="K14" s="492">
        <f t="shared" si="2"/>
        <v>30.508474576271187</v>
      </c>
      <c r="L14" s="78">
        <f t="shared" si="3"/>
        <v>99.999999999999986</v>
      </c>
      <c r="M14" s="493">
        <f t="shared" si="4"/>
        <v>69.491525423728802</v>
      </c>
      <c r="N14" s="491">
        <f>SUM(N11:N13)</f>
        <v>103</v>
      </c>
      <c r="O14" s="492">
        <f t="shared" si="5"/>
        <v>87.288135593220346</v>
      </c>
      <c r="P14" s="491">
        <f>SUM(P11:P13)</f>
        <v>15</v>
      </c>
      <c r="Q14" s="492">
        <f t="shared" si="6"/>
        <v>12.711864406779661</v>
      </c>
      <c r="R14" s="491">
        <f>SUM(R11:R13)</f>
        <v>0</v>
      </c>
      <c r="S14" s="492">
        <f>R14/E14*100</f>
        <v>0</v>
      </c>
      <c r="T14" s="491">
        <f>SUM(T11:T13)</f>
        <v>0</v>
      </c>
      <c r="U14" s="492"/>
      <c r="V14" s="494">
        <f>SUM(V11:V13)</f>
        <v>118</v>
      </c>
    </row>
    <row r="15" spans="1:31" s="122" customFormat="1" ht="36.75" customHeight="1" thickBot="1" x14ac:dyDescent="0.3">
      <c r="A15" s="1196" t="s">
        <v>75</v>
      </c>
      <c r="B15" s="1197"/>
      <c r="C15" s="506"/>
      <c r="D15" s="124">
        <f>SUM(D10+D14)</f>
        <v>247</v>
      </c>
      <c r="E15" s="124">
        <f>SUM(E10+E14)</f>
        <v>247</v>
      </c>
      <c r="F15" s="124">
        <f>SUM(F10+F14)</f>
        <v>12</v>
      </c>
      <c r="G15" s="125">
        <f>SUM(G10+G14)/2</f>
        <v>4.7234266193667054</v>
      </c>
      <c r="H15" s="124">
        <f>SUM(H10+H14)</f>
        <v>192</v>
      </c>
      <c r="I15" s="125">
        <f>SUM(I10+I14)/2</f>
        <v>77.309157797924058</v>
      </c>
      <c r="J15" s="124">
        <f>SUM(J10+J14)</f>
        <v>43</v>
      </c>
      <c r="K15" s="125">
        <f>SUM(K10+K14)/2</f>
        <v>17.967415582709236</v>
      </c>
      <c r="L15" s="125">
        <f>SUM(L10+L14)/2</f>
        <v>100</v>
      </c>
      <c r="M15" s="125">
        <f>SUM(M10+M14)/2</f>
        <v>82.032584417290764</v>
      </c>
      <c r="N15" s="124">
        <f>SUM(N10+N14)</f>
        <v>212</v>
      </c>
      <c r="O15" s="125">
        <f>SUM(O10+O14)/2</f>
        <v>85.89212981211405</v>
      </c>
      <c r="P15" s="124">
        <f>SUM(P10+P14)</f>
        <v>35</v>
      </c>
      <c r="Q15" s="125">
        <f>SUM(Q10+Q14)/2</f>
        <v>14.107870187885954</v>
      </c>
      <c r="R15" s="124">
        <f>SUM(R10+R14)</f>
        <v>0</v>
      </c>
      <c r="S15" s="124">
        <f>SUM(S10+S14)</f>
        <v>0</v>
      </c>
      <c r="T15" s="124">
        <f>SUM(T10+T14)</f>
        <v>0</v>
      </c>
      <c r="U15" s="124">
        <f>SUM(U10+U14)</f>
        <v>0</v>
      </c>
      <c r="V15" s="124">
        <f>SUM(V10+V14)</f>
        <v>247</v>
      </c>
    </row>
    <row r="16" spans="1:31" s="27" customFormat="1" ht="18" x14ac:dyDescent="0.25">
      <c r="A16" s="35"/>
      <c r="B16" s="35"/>
      <c r="C16" s="35"/>
      <c r="D16" s="35"/>
      <c r="E16" s="35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</row>
  </sheetData>
  <mergeCells count="19">
    <mergeCell ref="A11:A13"/>
    <mergeCell ref="A14:B14"/>
    <mergeCell ref="A15:B15"/>
    <mergeCell ref="J6:K6"/>
    <mergeCell ref="N6:O6"/>
    <mergeCell ref="P6:Q6"/>
    <mergeCell ref="R6:S6"/>
    <mergeCell ref="T6:U6"/>
    <mergeCell ref="A10:B10"/>
    <mergeCell ref="A1:U1"/>
    <mergeCell ref="A2:V2"/>
    <mergeCell ref="A5:A7"/>
    <mergeCell ref="B5:B7"/>
    <mergeCell ref="C5:C7"/>
    <mergeCell ref="D5:E5"/>
    <mergeCell ref="F5:M5"/>
    <mergeCell ref="N5:U5"/>
    <mergeCell ref="F6:G6"/>
    <mergeCell ref="H6:I6"/>
  </mergeCells>
  <printOptions horizontalCentered="1"/>
  <pageMargins left="0.24" right="0.16" top="0.27" bottom="0.31" header="0.23" footer="0.27"/>
  <pageSetup scale="98"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61"/>
  <sheetViews>
    <sheetView topLeftCell="A6" zoomScale="110" zoomScaleNormal="110" workbookViewId="0">
      <selection activeCell="K17" sqref="K17"/>
    </sheetView>
  </sheetViews>
  <sheetFormatPr defaultRowHeight="18.75" x14ac:dyDescent="0.3"/>
  <cols>
    <col min="1" max="1" width="2.69921875" style="1" customWidth="1"/>
    <col min="2" max="2" width="4.09765625" style="1" customWidth="1"/>
    <col min="3" max="3" width="4.5" style="1" customWidth="1"/>
    <col min="4" max="4" width="13.796875" customWidth="1"/>
    <col min="5" max="5" width="7.09765625" style="1" customWidth="1"/>
    <col min="6" max="7" width="2.19921875" style="227" customWidth="1"/>
    <col min="8" max="8" width="2.59765625" style="227" customWidth="1"/>
    <col min="9" max="25" width="2.19921875" style="227" customWidth="1"/>
    <col min="26" max="26" width="4" style="25" customWidth="1"/>
    <col min="27" max="29" width="2.19921875" style="20" hidden="1" customWidth="1"/>
    <col min="30" max="31" width="3.3984375" style="235" hidden="1" customWidth="1"/>
    <col min="32" max="32" width="3.59765625" style="235" customWidth="1"/>
    <col min="33" max="33" width="5.296875" style="14" hidden="1" customWidth="1"/>
    <col min="34" max="34" width="24.8984375" style="235" customWidth="1"/>
    <col min="35" max="35" width="3.8984375" style="235" customWidth="1"/>
    <col min="36" max="36" width="7.296875" customWidth="1"/>
    <col min="37" max="37" width="0.8984375" customWidth="1"/>
  </cols>
  <sheetData>
    <row r="1" spans="1:36" s="6" customFormat="1" ht="17.25" x14ac:dyDescent="0.3">
      <c r="B1" s="8"/>
      <c r="C1" s="8"/>
      <c r="D1" s="8"/>
      <c r="E1" s="1199" t="s">
        <v>30</v>
      </c>
      <c r="F1" s="1199"/>
      <c r="G1" s="1199"/>
      <c r="H1" s="1199"/>
      <c r="I1" s="1199"/>
      <c r="J1" s="1199"/>
      <c r="K1" s="1199"/>
      <c r="L1" s="1199"/>
      <c r="M1" s="1199"/>
      <c r="N1" s="1199"/>
      <c r="O1" s="1199"/>
      <c r="P1" s="1199"/>
      <c r="Q1" s="1199"/>
      <c r="R1" s="1199"/>
      <c r="S1" s="1199"/>
      <c r="T1" s="1199"/>
      <c r="U1" s="1199"/>
      <c r="V1" s="1199"/>
      <c r="W1" s="1199"/>
      <c r="X1" s="1199"/>
      <c r="Y1" s="1199"/>
      <c r="Z1" s="1199"/>
      <c r="AA1" s="1199"/>
      <c r="AB1" s="1199"/>
      <c r="AC1" s="1199"/>
      <c r="AD1" s="1199"/>
      <c r="AE1" s="1199"/>
      <c r="AF1" s="1199"/>
      <c r="AG1" s="1199"/>
      <c r="AH1" s="1199"/>
      <c r="AI1" s="662"/>
    </row>
    <row r="2" spans="1:36" s="6" customFormat="1" ht="15.75" x14ac:dyDescent="0.25">
      <c r="B2" s="10"/>
      <c r="C2" s="10"/>
      <c r="D2" s="10"/>
      <c r="E2" s="1200" t="s">
        <v>440</v>
      </c>
      <c r="F2" s="1200"/>
      <c r="G2" s="1200"/>
      <c r="H2" s="1200"/>
      <c r="I2" s="1200"/>
      <c r="J2" s="1200"/>
      <c r="K2" s="1200"/>
      <c r="L2" s="1200"/>
      <c r="M2" s="1200"/>
      <c r="N2" s="1200"/>
      <c r="O2" s="1200"/>
      <c r="P2" s="1200"/>
      <c r="Q2" s="1200"/>
      <c r="R2" s="1200"/>
      <c r="S2" s="1200"/>
      <c r="T2" s="1200"/>
      <c r="U2" s="1200"/>
      <c r="V2" s="1200"/>
      <c r="W2" s="1200"/>
      <c r="X2" s="1200"/>
      <c r="Y2" s="1200"/>
      <c r="Z2" s="1200"/>
      <c r="AA2" s="1200"/>
      <c r="AB2" s="1200"/>
      <c r="AC2" s="1200"/>
      <c r="AD2" s="1200"/>
      <c r="AE2" s="1200"/>
      <c r="AF2" s="1200"/>
      <c r="AG2" s="1200"/>
      <c r="AH2" s="1200"/>
      <c r="AI2" s="663"/>
    </row>
    <row r="3" spans="1:36" s="6" customFormat="1" ht="15.75" hidden="1" x14ac:dyDescent="0.25">
      <c r="B3" s="11"/>
      <c r="C3" s="11"/>
      <c r="D3" s="11"/>
      <c r="E3" s="1201" t="s">
        <v>34</v>
      </c>
      <c r="F3" s="1201"/>
      <c r="G3" s="1201"/>
      <c r="H3" s="1201"/>
      <c r="I3" s="1201"/>
      <c r="J3" s="1201"/>
      <c r="K3" s="1201"/>
      <c r="L3" s="1201"/>
      <c r="M3" s="1201"/>
      <c r="N3" s="1201"/>
      <c r="O3" s="1201"/>
      <c r="P3" s="1201"/>
      <c r="Q3" s="1201"/>
      <c r="R3" s="1201"/>
      <c r="S3" s="1201"/>
      <c r="T3" s="1201"/>
      <c r="U3" s="1201"/>
      <c r="V3" s="1201"/>
      <c r="W3" s="1201"/>
      <c r="X3" s="1201"/>
      <c r="Y3" s="1201"/>
      <c r="Z3" s="1201"/>
      <c r="AA3" s="1201"/>
      <c r="AB3" s="1201"/>
      <c r="AC3" s="1201"/>
      <c r="AD3" s="1201"/>
      <c r="AE3" s="1201"/>
      <c r="AF3" s="1201"/>
      <c r="AG3" s="11"/>
      <c r="AH3" s="11"/>
      <c r="AI3" s="11"/>
    </row>
    <row r="4" spans="1:36" s="6" customFormat="1" ht="15.75" customHeight="1" x14ac:dyDescent="0.25">
      <c r="B4" s="10"/>
      <c r="C4" s="10"/>
      <c r="D4" s="10"/>
      <c r="E4" s="1202" t="s">
        <v>441</v>
      </c>
      <c r="F4" s="1202"/>
      <c r="G4" s="1202"/>
      <c r="H4" s="1202"/>
      <c r="I4" s="1202"/>
      <c r="J4" s="1202"/>
      <c r="K4" s="1202"/>
      <c r="L4" s="1202"/>
      <c r="M4" s="1202"/>
      <c r="N4" s="1202"/>
      <c r="O4" s="1202"/>
      <c r="P4" s="1202"/>
      <c r="Q4" s="1202"/>
      <c r="R4" s="1202"/>
      <c r="S4" s="1202"/>
      <c r="T4" s="1202"/>
      <c r="U4" s="1202"/>
      <c r="V4" s="1202"/>
      <c r="W4" s="1202"/>
      <c r="X4" s="1202"/>
      <c r="Y4" s="1202"/>
      <c r="Z4" s="1202"/>
      <c r="AA4" s="1202"/>
      <c r="AB4" s="1202"/>
      <c r="AC4" s="1202"/>
      <c r="AD4" s="1202"/>
      <c r="AE4" s="1202"/>
      <c r="AF4" s="1202"/>
      <c r="AG4" s="1202"/>
      <c r="AH4" s="1202"/>
      <c r="AI4" s="664"/>
    </row>
    <row r="5" spans="1:36" ht="3.75" customHeight="1" thickBot="1" x14ac:dyDescent="0.3">
      <c r="A5" s="2"/>
      <c r="B5" s="2"/>
      <c r="C5" s="2"/>
      <c r="D5" s="2"/>
      <c r="E5" s="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34"/>
      <c r="AA5" s="177"/>
      <c r="AB5" s="177"/>
      <c r="AC5" s="177"/>
      <c r="AD5" s="234"/>
      <c r="AE5" s="234"/>
      <c r="AF5" s="234"/>
      <c r="AG5" s="234"/>
      <c r="AH5" s="234"/>
      <c r="AI5" s="234"/>
    </row>
    <row r="6" spans="1:36" s="6" customFormat="1" ht="23.25" customHeight="1" thickTop="1" x14ac:dyDescent="0.2">
      <c r="A6" s="1203" t="s">
        <v>91</v>
      </c>
      <c r="B6" s="1205" t="s">
        <v>106</v>
      </c>
      <c r="C6" s="1206"/>
      <c r="D6" s="1209" t="s">
        <v>92</v>
      </c>
      <c r="E6" s="1209" t="s">
        <v>93</v>
      </c>
      <c r="F6" s="1211" t="s">
        <v>336</v>
      </c>
      <c r="G6" s="1212"/>
      <c r="H6" s="1212"/>
      <c r="I6" s="1212"/>
      <c r="J6" s="1212"/>
      <c r="K6" s="1212"/>
      <c r="L6" s="1212"/>
      <c r="M6" s="1212"/>
      <c r="N6" s="1212"/>
      <c r="O6" s="1212"/>
      <c r="P6" s="1212"/>
      <c r="Q6" s="1212"/>
      <c r="R6" s="1212"/>
      <c r="S6" s="1212"/>
      <c r="T6" s="1212"/>
      <c r="U6" s="1212"/>
      <c r="V6" s="1212"/>
      <c r="W6" s="1212"/>
      <c r="X6" s="1212"/>
      <c r="Y6" s="223"/>
      <c r="Z6" s="1213" t="s">
        <v>102</v>
      </c>
      <c r="AA6" s="1175" t="s">
        <v>104</v>
      </c>
      <c r="AB6" s="1176"/>
      <c r="AC6" s="1176"/>
      <c r="AD6" s="1178"/>
      <c r="AE6" s="1215" t="s">
        <v>99</v>
      </c>
      <c r="AF6" s="1215" t="s">
        <v>100</v>
      </c>
      <c r="AG6" s="1217" t="s">
        <v>103</v>
      </c>
      <c r="AH6" s="1219" t="s">
        <v>90</v>
      </c>
      <c r="AI6" s="179"/>
    </row>
    <row r="7" spans="1:36" s="6" customFormat="1" ht="124.5" customHeight="1" x14ac:dyDescent="0.2">
      <c r="A7" s="1204"/>
      <c r="B7" s="1207"/>
      <c r="C7" s="1208"/>
      <c r="D7" s="1210"/>
      <c r="E7" s="1210"/>
      <c r="F7" s="16" t="s">
        <v>0</v>
      </c>
      <c r="G7" s="233" t="s">
        <v>2</v>
      </c>
      <c r="H7" s="16" t="s">
        <v>96</v>
      </c>
      <c r="I7" s="607" t="s">
        <v>107</v>
      </c>
      <c r="J7" s="233" t="s">
        <v>331</v>
      </c>
      <c r="K7" s="232" t="s">
        <v>332</v>
      </c>
      <c r="L7" s="233" t="s">
        <v>117</v>
      </c>
      <c r="M7" s="232" t="s">
        <v>118</v>
      </c>
      <c r="N7" s="16" t="s">
        <v>119</v>
      </c>
      <c r="O7" s="17" t="s">
        <v>120</v>
      </c>
      <c r="P7" s="16" t="s">
        <v>121</v>
      </c>
      <c r="Q7" s="17" t="s">
        <v>123</v>
      </c>
      <c r="R7" s="608" t="s">
        <v>439</v>
      </c>
      <c r="S7" s="16" t="s">
        <v>26</v>
      </c>
      <c r="T7" s="232" t="s">
        <v>124</v>
      </c>
      <c r="U7" s="233" t="s">
        <v>125</v>
      </c>
      <c r="V7" s="16" t="s">
        <v>458</v>
      </c>
      <c r="W7" s="16" t="s">
        <v>131</v>
      </c>
      <c r="X7" s="233" t="s">
        <v>27</v>
      </c>
      <c r="Y7" s="16" t="s">
        <v>459</v>
      </c>
      <c r="Z7" s="1214"/>
      <c r="AA7" s="16" t="s">
        <v>108</v>
      </c>
      <c r="AB7" s="16" t="s">
        <v>97</v>
      </c>
      <c r="AC7" s="16" t="s">
        <v>96</v>
      </c>
      <c r="AD7" s="190" t="s">
        <v>98</v>
      </c>
      <c r="AE7" s="1216"/>
      <c r="AF7" s="1216"/>
      <c r="AG7" s="1218"/>
      <c r="AH7" s="1220"/>
      <c r="AI7" s="179"/>
    </row>
    <row r="8" spans="1:36" s="7" customFormat="1" ht="18" customHeight="1" x14ac:dyDescent="0.2">
      <c r="A8" s="427">
        <v>1</v>
      </c>
      <c r="B8" s="245"/>
      <c r="C8" s="246">
        <v>2022</v>
      </c>
      <c r="D8" s="264" t="s">
        <v>495</v>
      </c>
      <c r="E8" s="296" t="s">
        <v>496</v>
      </c>
      <c r="F8" s="428">
        <v>7</v>
      </c>
      <c r="G8" s="428">
        <v>7</v>
      </c>
      <c r="H8" s="428">
        <v>7</v>
      </c>
      <c r="I8" s="428">
        <v>6</v>
      </c>
      <c r="J8" s="428">
        <v>8</v>
      </c>
      <c r="K8" s="428">
        <v>7</v>
      </c>
      <c r="L8" s="428">
        <v>7.5</v>
      </c>
      <c r="M8" s="428">
        <v>6.5</v>
      </c>
      <c r="N8" s="428">
        <v>6.5</v>
      </c>
      <c r="O8" s="428">
        <v>7</v>
      </c>
      <c r="P8" s="428">
        <v>6.5</v>
      </c>
      <c r="Q8" s="428">
        <v>7</v>
      </c>
      <c r="R8" s="428">
        <v>6.5</v>
      </c>
      <c r="S8" s="428">
        <v>7.5</v>
      </c>
      <c r="T8" s="428">
        <v>7</v>
      </c>
      <c r="U8" s="428">
        <v>6.5</v>
      </c>
      <c r="V8" s="428">
        <v>7.5</v>
      </c>
      <c r="W8" s="428">
        <v>7.5</v>
      </c>
      <c r="X8" s="428">
        <v>7</v>
      </c>
      <c r="Y8" s="429">
        <v>7.5</v>
      </c>
      <c r="Z8" s="286">
        <f>SUM(F8:Y8)/20</f>
        <v>7</v>
      </c>
      <c r="AA8" s="266"/>
      <c r="AB8" s="266"/>
      <c r="AC8" s="266"/>
      <c r="AD8" s="286">
        <f>SUM(AA8:AC8)/3</f>
        <v>0</v>
      </c>
      <c r="AE8" s="286">
        <f>SUM(Z8+AD8)/2</f>
        <v>3.5</v>
      </c>
      <c r="AF8" s="660" t="s">
        <v>101</v>
      </c>
      <c r="AG8" s="271"/>
      <c r="AH8" s="430" t="s">
        <v>141</v>
      </c>
      <c r="AI8" s="181"/>
      <c r="AJ8" s="180">
        <f t="shared" ref="AJ8:AJ71" si="0">AVERAGE(F8:Y8)</f>
        <v>7</v>
      </c>
    </row>
    <row r="9" spans="1:36" s="7" customFormat="1" ht="18" customHeight="1" x14ac:dyDescent="0.2">
      <c r="A9" s="431">
        <v>2</v>
      </c>
      <c r="B9" s="245"/>
      <c r="C9" s="246">
        <v>2022</v>
      </c>
      <c r="D9" s="315" t="s">
        <v>499</v>
      </c>
      <c r="E9" s="294" t="s">
        <v>500</v>
      </c>
      <c r="F9" s="432">
        <v>8</v>
      </c>
      <c r="G9" s="432">
        <v>8</v>
      </c>
      <c r="H9" s="432">
        <v>8</v>
      </c>
      <c r="I9" s="432">
        <v>8</v>
      </c>
      <c r="J9" s="432">
        <v>7.5</v>
      </c>
      <c r="K9" s="432">
        <v>7.5</v>
      </c>
      <c r="L9" s="432">
        <v>8</v>
      </c>
      <c r="M9" s="432">
        <v>8</v>
      </c>
      <c r="N9" s="432">
        <v>8</v>
      </c>
      <c r="O9" s="432">
        <v>8</v>
      </c>
      <c r="P9" s="432">
        <v>8.5</v>
      </c>
      <c r="Q9" s="432">
        <v>8.5</v>
      </c>
      <c r="R9" s="432">
        <v>8.5</v>
      </c>
      <c r="S9" s="432">
        <v>8</v>
      </c>
      <c r="T9" s="432">
        <v>8</v>
      </c>
      <c r="U9" s="432">
        <v>8</v>
      </c>
      <c r="V9" s="432">
        <v>8</v>
      </c>
      <c r="W9" s="432">
        <v>8</v>
      </c>
      <c r="X9" s="432">
        <v>8</v>
      </c>
      <c r="Y9" s="434">
        <v>8</v>
      </c>
      <c r="Z9" s="444">
        <f t="shared" ref="Z9:Z72" si="1">SUM(F9:Y9)/20</f>
        <v>8.0250000000000004</v>
      </c>
      <c r="AA9" s="268"/>
      <c r="AB9" s="268"/>
      <c r="AC9" s="268"/>
      <c r="AD9" s="243"/>
      <c r="AE9" s="243"/>
      <c r="AF9" s="660" t="s">
        <v>101</v>
      </c>
      <c r="AG9" s="358"/>
      <c r="AH9" s="422" t="s">
        <v>17</v>
      </c>
      <c r="AI9" s="181"/>
      <c r="AJ9" s="221">
        <f t="shared" si="0"/>
        <v>8.0250000000000004</v>
      </c>
    </row>
    <row r="10" spans="1:36" s="7" customFormat="1" ht="18" customHeight="1" x14ac:dyDescent="0.2">
      <c r="A10" s="431">
        <v>3</v>
      </c>
      <c r="B10" s="245"/>
      <c r="C10" s="246">
        <v>2022</v>
      </c>
      <c r="D10" s="315" t="s">
        <v>501</v>
      </c>
      <c r="E10" s="294" t="s">
        <v>152</v>
      </c>
      <c r="F10" s="432">
        <v>6.5</v>
      </c>
      <c r="G10" s="432">
        <v>7.5</v>
      </c>
      <c r="H10" s="432">
        <v>6.5</v>
      </c>
      <c r="I10" s="432">
        <v>6</v>
      </c>
      <c r="J10" s="432">
        <v>7.5</v>
      </c>
      <c r="K10" s="432">
        <v>8</v>
      </c>
      <c r="L10" s="432">
        <v>6.5</v>
      </c>
      <c r="M10" s="432">
        <v>7.5</v>
      </c>
      <c r="N10" s="432">
        <v>6.5</v>
      </c>
      <c r="O10" s="432">
        <v>7</v>
      </c>
      <c r="P10" s="432">
        <v>7</v>
      </c>
      <c r="Q10" s="432">
        <v>7.5</v>
      </c>
      <c r="R10" s="432">
        <v>7.2</v>
      </c>
      <c r="S10" s="432">
        <v>7.5</v>
      </c>
      <c r="T10" s="432">
        <v>7.5</v>
      </c>
      <c r="U10" s="432">
        <v>7.5</v>
      </c>
      <c r="V10" s="432">
        <v>7</v>
      </c>
      <c r="W10" s="432">
        <v>6.5</v>
      </c>
      <c r="X10" s="432">
        <v>7.5</v>
      </c>
      <c r="Y10" s="435">
        <v>7</v>
      </c>
      <c r="Z10" s="243">
        <f t="shared" si="1"/>
        <v>7.0849999999999991</v>
      </c>
      <c r="AA10" s="268"/>
      <c r="AB10" s="268"/>
      <c r="AC10" s="268"/>
      <c r="AD10" s="243"/>
      <c r="AE10" s="243"/>
      <c r="AF10" s="660" t="s">
        <v>101</v>
      </c>
      <c r="AG10" s="358"/>
      <c r="AH10" s="436" t="s">
        <v>176</v>
      </c>
      <c r="AI10" s="181"/>
      <c r="AJ10" s="180">
        <f t="shared" si="0"/>
        <v>7.0849999999999991</v>
      </c>
    </row>
    <row r="11" spans="1:36" s="7" customFormat="1" ht="18" customHeight="1" x14ac:dyDescent="0.2">
      <c r="A11" s="431">
        <v>4</v>
      </c>
      <c r="B11" s="245"/>
      <c r="C11" s="246">
        <v>2022</v>
      </c>
      <c r="D11" s="315" t="s">
        <v>504</v>
      </c>
      <c r="E11" s="301" t="s">
        <v>505</v>
      </c>
      <c r="F11" s="432">
        <v>7</v>
      </c>
      <c r="G11" s="432">
        <v>7.5</v>
      </c>
      <c r="H11" s="432">
        <v>7</v>
      </c>
      <c r="I11" s="432">
        <v>7</v>
      </c>
      <c r="J11" s="432">
        <v>8</v>
      </c>
      <c r="K11" s="432">
        <v>7.5</v>
      </c>
      <c r="L11" s="432">
        <v>7</v>
      </c>
      <c r="M11" s="432">
        <v>7</v>
      </c>
      <c r="N11" s="432">
        <v>7</v>
      </c>
      <c r="O11" s="432">
        <v>6.5</v>
      </c>
      <c r="P11" s="432">
        <v>7.5</v>
      </c>
      <c r="Q11" s="432">
        <v>7</v>
      </c>
      <c r="R11" s="432">
        <v>7.6</v>
      </c>
      <c r="S11" s="432">
        <v>7</v>
      </c>
      <c r="T11" s="432">
        <v>7</v>
      </c>
      <c r="U11" s="432">
        <v>8</v>
      </c>
      <c r="V11" s="432">
        <v>7</v>
      </c>
      <c r="W11" s="432">
        <v>7</v>
      </c>
      <c r="X11" s="432">
        <v>7.5</v>
      </c>
      <c r="Y11" s="434">
        <v>7</v>
      </c>
      <c r="Z11" s="243">
        <f t="shared" si="1"/>
        <v>7.2050000000000001</v>
      </c>
      <c r="AA11" s="268"/>
      <c r="AB11" s="268"/>
      <c r="AC11" s="268"/>
      <c r="AD11" s="243"/>
      <c r="AE11" s="243"/>
      <c r="AF11" s="660" t="s">
        <v>101</v>
      </c>
      <c r="AG11" s="358"/>
      <c r="AH11" s="422" t="s">
        <v>217</v>
      </c>
      <c r="AI11" s="181"/>
      <c r="AJ11" s="180">
        <f t="shared" si="0"/>
        <v>7.2050000000000001</v>
      </c>
    </row>
    <row r="12" spans="1:36" s="7" customFormat="1" ht="18" customHeight="1" x14ac:dyDescent="0.2">
      <c r="A12" s="431">
        <v>5</v>
      </c>
      <c r="B12" s="245"/>
      <c r="C12" s="246">
        <v>2022</v>
      </c>
      <c r="D12" s="315" t="s">
        <v>506</v>
      </c>
      <c r="E12" s="294" t="s">
        <v>507</v>
      </c>
      <c r="F12" s="432">
        <v>6.5</v>
      </c>
      <c r="G12" s="432">
        <v>7</v>
      </c>
      <c r="H12" s="432">
        <v>6.5</v>
      </c>
      <c r="I12" s="432">
        <v>7</v>
      </c>
      <c r="J12" s="432">
        <v>8</v>
      </c>
      <c r="K12" s="432">
        <v>7.5</v>
      </c>
      <c r="L12" s="432">
        <v>7.5</v>
      </c>
      <c r="M12" s="432">
        <v>6.5</v>
      </c>
      <c r="N12" s="432">
        <v>6.5</v>
      </c>
      <c r="O12" s="432">
        <v>7</v>
      </c>
      <c r="P12" s="432">
        <v>7</v>
      </c>
      <c r="Q12" s="432">
        <v>7.5</v>
      </c>
      <c r="R12" s="432">
        <v>7.8</v>
      </c>
      <c r="S12" s="432">
        <v>7.5</v>
      </c>
      <c r="T12" s="432">
        <v>7</v>
      </c>
      <c r="U12" s="432">
        <v>7</v>
      </c>
      <c r="V12" s="432">
        <v>7</v>
      </c>
      <c r="W12" s="432">
        <v>6.5</v>
      </c>
      <c r="X12" s="432">
        <v>7</v>
      </c>
      <c r="Y12" s="434">
        <v>7.5</v>
      </c>
      <c r="Z12" s="243">
        <f t="shared" si="1"/>
        <v>7.0900000000000007</v>
      </c>
      <c r="AA12" s="268"/>
      <c r="AB12" s="268"/>
      <c r="AC12" s="268"/>
      <c r="AD12" s="243"/>
      <c r="AE12" s="243"/>
      <c r="AF12" s="660" t="s">
        <v>101</v>
      </c>
      <c r="AG12" s="358"/>
      <c r="AH12" s="422" t="s">
        <v>184</v>
      </c>
      <c r="AI12" s="181"/>
      <c r="AJ12" s="180">
        <f t="shared" si="0"/>
        <v>7.0900000000000007</v>
      </c>
    </row>
    <row r="13" spans="1:36" s="7" customFormat="1" ht="18" customHeight="1" x14ac:dyDescent="0.2">
      <c r="A13" s="431">
        <v>6</v>
      </c>
      <c r="B13" s="245"/>
      <c r="C13" s="246">
        <v>2022</v>
      </c>
      <c r="D13" s="315" t="s">
        <v>508</v>
      </c>
      <c r="E13" s="294" t="s">
        <v>509</v>
      </c>
      <c r="F13" s="656">
        <v>6.5</v>
      </c>
      <c r="G13" s="432">
        <v>7</v>
      </c>
      <c r="H13" s="656">
        <v>6.5</v>
      </c>
      <c r="I13" s="432">
        <v>6</v>
      </c>
      <c r="J13" s="432">
        <v>8</v>
      </c>
      <c r="K13" s="432">
        <v>7</v>
      </c>
      <c r="L13" s="432">
        <v>8</v>
      </c>
      <c r="M13" s="432">
        <v>8</v>
      </c>
      <c r="N13" s="432">
        <v>8</v>
      </c>
      <c r="O13" s="432">
        <v>8</v>
      </c>
      <c r="P13" s="432">
        <v>7.5</v>
      </c>
      <c r="Q13" s="432">
        <v>7</v>
      </c>
      <c r="R13" s="432">
        <v>7.8</v>
      </c>
      <c r="S13" s="432">
        <v>7</v>
      </c>
      <c r="T13" s="432">
        <v>7.5</v>
      </c>
      <c r="U13" s="432">
        <v>8</v>
      </c>
      <c r="V13" s="432">
        <v>6.5</v>
      </c>
      <c r="W13" s="432">
        <v>7</v>
      </c>
      <c r="X13" s="432">
        <v>8</v>
      </c>
      <c r="Y13" s="433">
        <v>6.5</v>
      </c>
      <c r="Z13" s="243">
        <f t="shared" si="1"/>
        <v>7.2900000000000009</v>
      </c>
      <c r="AA13" s="268"/>
      <c r="AB13" s="268"/>
      <c r="AC13" s="268"/>
      <c r="AD13" s="243"/>
      <c r="AE13" s="243"/>
      <c r="AF13" s="660" t="s">
        <v>95</v>
      </c>
      <c r="AG13" s="358"/>
      <c r="AH13" s="422" t="s">
        <v>184</v>
      </c>
      <c r="AI13" s="181"/>
      <c r="AJ13" s="180">
        <f t="shared" si="0"/>
        <v>7.2900000000000009</v>
      </c>
    </row>
    <row r="14" spans="1:36" s="7" customFormat="1" ht="18" customHeight="1" x14ac:dyDescent="0.2">
      <c r="A14" s="431">
        <v>7</v>
      </c>
      <c r="B14" s="245"/>
      <c r="C14" s="246">
        <v>2022</v>
      </c>
      <c r="D14" s="315" t="s">
        <v>515</v>
      </c>
      <c r="E14" s="292" t="s">
        <v>516</v>
      </c>
      <c r="F14" s="432">
        <v>7</v>
      </c>
      <c r="G14" s="432">
        <v>7</v>
      </c>
      <c r="H14" s="432">
        <v>7.5</v>
      </c>
      <c r="I14" s="432">
        <v>7</v>
      </c>
      <c r="J14" s="432">
        <v>6.5</v>
      </c>
      <c r="K14" s="432">
        <v>7.5</v>
      </c>
      <c r="L14" s="432">
        <v>6.5</v>
      </c>
      <c r="M14" s="432">
        <v>7</v>
      </c>
      <c r="N14" s="432">
        <v>6.5</v>
      </c>
      <c r="O14" s="432">
        <v>7</v>
      </c>
      <c r="P14" s="432">
        <v>7</v>
      </c>
      <c r="Q14" s="432">
        <v>6.5</v>
      </c>
      <c r="R14" s="432">
        <v>6.6</v>
      </c>
      <c r="S14" s="432">
        <v>8</v>
      </c>
      <c r="T14" s="432">
        <v>7</v>
      </c>
      <c r="U14" s="432">
        <v>7.5</v>
      </c>
      <c r="V14" s="432">
        <v>7</v>
      </c>
      <c r="W14" s="432">
        <v>6.5</v>
      </c>
      <c r="X14" s="432">
        <v>8</v>
      </c>
      <c r="Y14" s="433">
        <v>7</v>
      </c>
      <c r="Z14" s="243">
        <f t="shared" si="1"/>
        <v>7.0299999999999994</v>
      </c>
      <c r="AA14" s="268"/>
      <c r="AB14" s="268"/>
      <c r="AC14" s="268"/>
      <c r="AD14" s="243"/>
      <c r="AE14" s="243"/>
      <c r="AF14" s="660" t="s">
        <v>101</v>
      </c>
      <c r="AG14" s="358"/>
      <c r="AH14" s="439" t="s">
        <v>215</v>
      </c>
      <c r="AI14" s="181"/>
      <c r="AJ14" s="180">
        <f t="shared" si="0"/>
        <v>7.0299999999999994</v>
      </c>
    </row>
    <row r="15" spans="1:36" s="7" customFormat="1" ht="18" customHeight="1" x14ac:dyDescent="0.2">
      <c r="A15" s="431">
        <v>8</v>
      </c>
      <c r="B15" s="245"/>
      <c r="C15" s="246">
        <v>2022</v>
      </c>
      <c r="D15" s="315" t="s">
        <v>517</v>
      </c>
      <c r="E15" s="303" t="s">
        <v>518</v>
      </c>
      <c r="F15" s="432">
        <v>7</v>
      </c>
      <c r="G15" s="432">
        <v>7.5</v>
      </c>
      <c r="H15" s="432">
        <v>6.5</v>
      </c>
      <c r="I15" s="432">
        <v>6</v>
      </c>
      <c r="J15" s="432">
        <v>6.5</v>
      </c>
      <c r="K15" s="432">
        <v>7</v>
      </c>
      <c r="L15" s="432">
        <v>7</v>
      </c>
      <c r="M15" s="432">
        <v>6.5</v>
      </c>
      <c r="N15" s="432">
        <v>7</v>
      </c>
      <c r="O15" s="432">
        <v>7</v>
      </c>
      <c r="P15" s="432">
        <v>7.5</v>
      </c>
      <c r="Q15" s="432">
        <v>7.5</v>
      </c>
      <c r="R15" s="432">
        <v>6.8</v>
      </c>
      <c r="S15" s="432">
        <v>8</v>
      </c>
      <c r="T15" s="432">
        <v>7</v>
      </c>
      <c r="U15" s="432">
        <v>7.5</v>
      </c>
      <c r="V15" s="432">
        <v>7</v>
      </c>
      <c r="W15" s="432">
        <v>7</v>
      </c>
      <c r="X15" s="432">
        <v>8</v>
      </c>
      <c r="Y15" s="433">
        <v>7</v>
      </c>
      <c r="Z15" s="243">
        <f t="shared" si="1"/>
        <v>7.0650000000000004</v>
      </c>
      <c r="AA15" s="268"/>
      <c r="AB15" s="268"/>
      <c r="AC15" s="268"/>
      <c r="AD15" s="243"/>
      <c r="AE15" s="243"/>
      <c r="AF15" s="660" t="s">
        <v>101</v>
      </c>
      <c r="AG15" s="358"/>
      <c r="AH15" s="422" t="s">
        <v>193</v>
      </c>
      <c r="AI15" s="181"/>
      <c r="AJ15" s="180">
        <f t="shared" si="0"/>
        <v>7.0650000000000004</v>
      </c>
    </row>
    <row r="16" spans="1:36" s="7" customFormat="1" ht="18" customHeight="1" x14ac:dyDescent="0.2">
      <c r="A16" s="431">
        <v>9</v>
      </c>
      <c r="B16" s="245"/>
      <c r="C16" s="246">
        <v>2022</v>
      </c>
      <c r="D16" s="315" t="s">
        <v>519</v>
      </c>
      <c r="E16" s="294" t="s">
        <v>520</v>
      </c>
      <c r="F16" s="432">
        <v>8</v>
      </c>
      <c r="G16" s="432">
        <v>8</v>
      </c>
      <c r="H16" s="432">
        <v>8</v>
      </c>
      <c r="I16" s="432">
        <v>8</v>
      </c>
      <c r="J16" s="432">
        <v>7.5</v>
      </c>
      <c r="K16" s="432">
        <v>8</v>
      </c>
      <c r="L16" s="432">
        <v>8</v>
      </c>
      <c r="M16" s="432">
        <v>8</v>
      </c>
      <c r="N16" s="432">
        <v>8</v>
      </c>
      <c r="O16" s="432">
        <v>8</v>
      </c>
      <c r="P16" s="432">
        <v>8.5</v>
      </c>
      <c r="Q16" s="432">
        <v>8</v>
      </c>
      <c r="R16" s="432">
        <v>8.5</v>
      </c>
      <c r="S16" s="432">
        <v>8.5</v>
      </c>
      <c r="T16" s="432">
        <v>8</v>
      </c>
      <c r="U16" s="432">
        <v>8</v>
      </c>
      <c r="V16" s="432">
        <v>8</v>
      </c>
      <c r="W16" s="432">
        <v>8</v>
      </c>
      <c r="X16" s="432">
        <v>8.5</v>
      </c>
      <c r="Y16" s="438">
        <v>8</v>
      </c>
      <c r="Z16" s="444">
        <f t="shared" si="1"/>
        <v>8.0749999999999993</v>
      </c>
      <c r="AA16" s="268"/>
      <c r="AB16" s="268"/>
      <c r="AC16" s="268"/>
      <c r="AD16" s="243"/>
      <c r="AE16" s="243"/>
      <c r="AF16" s="660" t="s">
        <v>101</v>
      </c>
      <c r="AG16" s="358"/>
      <c r="AH16" s="422" t="s">
        <v>192</v>
      </c>
      <c r="AI16" s="181"/>
      <c r="AJ16" s="221">
        <f t="shared" si="0"/>
        <v>8.0749999999999993</v>
      </c>
    </row>
    <row r="17" spans="1:36" s="7" customFormat="1" ht="18" customHeight="1" x14ac:dyDescent="0.2">
      <c r="A17" s="431">
        <v>10</v>
      </c>
      <c r="B17" s="245"/>
      <c r="C17" s="246">
        <v>2022</v>
      </c>
      <c r="D17" s="315" t="s">
        <v>521</v>
      </c>
      <c r="E17" s="302" t="s">
        <v>522</v>
      </c>
      <c r="F17" s="432">
        <v>6.5</v>
      </c>
      <c r="G17" s="432">
        <v>6.5</v>
      </c>
      <c r="H17" s="432">
        <v>7</v>
      </c>
      <c r="I17" s="432">
        <v>7</v>
      </c>
      <c r="J17" s="432">
        <v>7.5</v>
      </c>
      <c r="K17" s="432">
        <v>7</v>
      </c>
      <c r="L17" s="432">
        <v>7</v>
      </c>
      <c r="M17" s="432">
        <v>7</v>
      </c>
      <c r="N17" s="432">
        <v>6.5</v>
      </c>
      <c r="O17" s="432">
        <v>7</v>
      </c>
      <c r="P17" s="432">
        <v>7</v>
      </c>
      <c r="Q17" s="432">
        <v>6.5</v>
      </c>
      <c r="R17" s="432">
        <v>7</v>
      </c>
      <c r="S17" s="432">
        <v>6.5</v>
      </c>
      <c r="T17" s="432">
        <v>6.5</v>
      </c>
      <c r="U17" s="432">
        <v>6.5</v>
      </c>
      <c r="V17" s="432">
        <v>6</v>
      </c>
      <c r="W17" s="432">
        <v>6.5</v>
      </c>
      <c r="X17" s="432">
        <v>6.5</v>
      </c>
      <c r="Y17" s="433">
        <v>7</v>
      </c>
      <c r="Z17" s="659">
        <f t="shared" si="1"/>
        <v>6.75</v>
      </c>
      <c r="AA17" s="268"/>
      <c r="AB17" s="268"/>
      <c r="AC17" s="268"/>
      <c r="AD17" s="243"/>
      <c r="AE17" s="243"/>
      <c r="AF17" s="660" t="s">
        <v>95</v>
      </c>
      <c r="AG17" s="358"/>
      <c r="AH17" s="422" t="s">
        <v>12</v>
      </c>
      <c r="AI17" s="181"/>
      <c r="AJ17" s="678">
        <f t="shared" si="0"/>
        <v>6.75</v>
      </c>
    </row>
    <row r="18" spans="1:36" s="7" customFormat="1" ht="18" customHeight="1" x14ac:dyDescent="0.2">
      <c r="A18" s="431">
        <v>11</v>
      </c>
      <c r="B18" s="245"/>
      <c r="C18" s="246">
        <v>2022</v>
      </c>
      <c r="D18" s="315" t="s">
        <v>523</v>
      </c>
      <c r="E18" s="292" t="s">
        <v>524</v>
      </c>
      <c r="F18" s="432">
        <v>7</v>
      </c>
      <c r="G18" s="432">
        <v>7</v>
      </c>
      <c r="H18" s="432">
        <v>6.5</v>
      </c>
      <c r="I18" s="432">
        <v>7</v>
      </c>
      <c r="J18" s="432">
        <v>7.5</v>
      </c>
      <c r="K18" s="432">
        <v>7</v>
      </c>
      <c r="L18" s="432">
        <v>7</v>
      </c>
      <c r="M18" s="432">
        <v>7</v>
      </c>
      <c r="N18" s="432">
        <v>7</v>
      </c>
      <c r="O18" s="432">
        <v>6.5</v>
      </c>
      <c r="P18" s="432">
        <v>7.5</v>
      </c>
      <c r="Q18" s="432">
        <v>7.5</v>
      </c>
      <c r="R18" s="432">
        <v>7.8</v>
      </c>
      <c r="S18" s="432">
        <v>7</v>
      </c>
      <c r="T18" s="432">
        <v>7.5</v>
      </c>
      <c r="U18" s="432">
        <v>7</v>
      </c>
      <c r="V18" s="432">
        <v>6.5</v>
      </c>
      <c r="W18" s="432">
        <v>7.5</v>
      </c>
      <c r="X18" s="432">
        <v>7.5</v>
      </c>
      <c r="Y18" s="433">
        <v>7</v>
      </c>
      <c r="Z18" s="243">
        <f t="shared" si="1"/>
        <v>7.1150000000000002</v>
      </c>
      <c r="AA18" s="268"/>
      <c r="AB18" s="268"/>
      <c r="AC18" s="268"/>
      <c r="AD18" s="243"/>
      <c r="AE18" s="243"/>
      <c r="AF18" s="660" t="s">
        <v>101</v>
      </c>
      <c r="AG18" s="358"/>
      <c r="AH18" s="422" t="s">
        <v>196</v>
      </c>
      <c r="AI18" s="181"/>
      <c r="AJ18" s="221">
        <f t="shared" si="0"/>
        <v>7.1150000000000002</v>
      </c>
    </row>
    <row r="19" spans="1:36" s="7" customFormat="1" ht="18" customHeight="1" x14ac:dyDescent="0.2">
      <c r="A19" s="431">
        <v>12</v>
      </c>
      <c r="B19" s="245"/>
      <c r="C19" s="246">
        <v>2022</v>
      </c>
      <c r="D19" s="315" t="s">
        <v>525</v>
      </c>
      <c r="E19" s="292" t="s">
        <v>526</v>
      </c>
      <c r="F19" s="656">
        <v>7</v>
      </c>
      <c r="G19" s="432">
        <v>6.5</v>
      </c>
      <c r="H19" s="656">
        <v>7.5</v>
      </c>
      <c r="I19" s="432">
        <v>8</v>
      </c>
      <c r="J19" s="432">
        <v>8</v>
      </c>
      <c r="K19" s="432">
        <v>7.5</v>
      </c>
      <c r="L19" s="432">
        <v>7</v>
      </c>
      <c r="M19" s="432">
        <v>6.5</v>
      </c>
      <c r="N19" s="432">
        <v>7.5</v>
      </c>
      <c r="O19" s="432">
        <v>7</v>
      </c>
      <c r="P19" s="432">
        <v>7.5</v>
      </c>
      <c r="Q19" s="432">
        <v>6.5</v>
      </c>
      <c r="R19" s="432">
        <v>6.6</v>
      </c>
      <c r="S19" s="432">
        <v>7.5</v>
      </c>
      <c r="T19" s="432">
        <v>7.5</v>
      </c>
      <c r="U19" s="432">
        <v>7</v>
      </c>
      <c r="V19" s="432">
        <v>7.5</v>
      </c>
      <c r="W19" s="432">
        <v>7.5</v>
      </c>
      <c r="X19" s="432">
        <v>7</v>
      </c>
      <c r="Y19" s="433">
        <v>7.5</v>
      </c>
      <c r="Z19" s="243">
        <f t="shared" si="1"/>
        <v>7.2299999999999995</v>
      </c>
      <c r="AA19" s="268"/>
      <c r="AB19" s="268"/>
      <c r="AC19" s="268"/>
      <c r="AD19" s="243"/>
      <c r="AE19" s="243"/>
      <c r="AF19" s="660" t="s">
        <v>101</v>
      </c>
      <c r="AG19" s="358"/>
      <c r="AH19" s="422" t="s">
        <v>174</v>
      </c>
      <c r="AI19" s="181"/>
      <c r="AJ19" s="180">
        <f t="shared" si="0"/>
        <v>7.2299999999999995</v>
      </c>
    </row>
    <row r="20" spans="1:36" s="7" customFormat="1" ht="18" customHeight="1" x14ac:dyDescent="0.2">
      <c r="A20" s="431">
        <v>13</v>
      </c>
      <c r="B20" s="245"/>
      <c r="C20" s="246">
        <v>2022</v>
      </c>
      <c r="D20" s="315" t="s">
        <v>527</v>
      </c>
      <c r="E20" s="292" t="s">
        <v>528</v>
      </c>
      <c r="F20" s="432">
        <v>7</v>
      </c>
      <c r="G20" s="432">
        <v>6.5</v>
      </c>
      <c r="H20" s="432">
        <v>7</v>
      </c>
      <c r="I20" s="432">
        <v>7</v>
      </c>
      <c r="J20" s="432">
        <v>7.5</v>
      </c>
      <c r="K20" s="432">
        <v>7.5</v>
      </c>
      <c r="L20" s="432">
        <v>8</v>
      </c>
      <c r="M20" s="432">
        <v>8</v>
      </c>
      <c r="N20" s="432">
        <v>8</v>
      </c>
      <c r="O20" s="432">
        <v>7.5</v>
      </c>
      <c r="P20" s="432">
        <v>8</v>
      </c>
      <c r="Q20" s="432">
        <v>7.5</v>
      </c>
      <c r="R20" s="432">
        <v>7</v>
      </c>
      <c r="S20" s="432">
        <v>6.5</v>
      </c>
      <c r="T20" s="432">
        <v>7</v>
      </c>
      <c r="U20" s="432">
        <v>7.5</v>
      </c>
      <c r="V20" s="432">
        <v>6.5</v>
      </c>
      <c r="W20" s="432">
        <v>7.5</v>
      </c>
      <c r="X20" s="432">
        <v>7</v>
      </c>
      <c r="Y20" s="435">
        <v>7</v>
      </c>
      <c r="Z20" s="243">
        <f t="shared" si="1"/>
        <v>7.2750000000000004</v>
      </c>
      <c r="AA20" s="268"/>
      <c r="AB20" s="268"/>
      <c r="AC20" s="268"/>
      <c r="AD20" s="243"/>
      <c r="AE20" s="243"/>
      <c r="AF20" s="660" t="s">
        <v>101</v>
      </c>
      <c r="AG20" s="358"/>
      <c r="AH20" s="422" t="s">
        <v>184</v>
      </c>
      <c r="AI20" s="181"/>
      <c r="AJ20" s="180">
        <f t="shared" si="0"/>
        <v>7.2750000000000004</v>
      </c>
    </row>
    <row r="21" spans="1:36" s="7" customFormat="1" ht="18" customHeight="1" x14ac:dyDescent="0.2">
      <c r="A21" s="431">
        <v>14</v>
      </c>
      <c r="B21" s="245"/>
      <c r="C21" s="246">
        <v>2022</v>
      </c>
      <c r="D21" s="315" t="s">
        <v>529</v>
      </c>
      <c r="E21" s="292" t="s">
        <v>530</v>
      </c>
      <c r="F21" s="656">
        <v>7</v>
      </c>
      <c r="G21" s="432">
        <v>7</v>
      </c>
      <c r="H21" s="656">
        <v>7</v>
      </c>
      <c r="I21" s="432">
        <v>6</v>
      </c>
      <c r="J21" s="432">
        <v>8</v>
      </c>
      <c r="K21" s="432">
        <v>6.5</v>
      </c>
      <c r="L21" s="432">
        <v>8</v>
      </c>
      <c r="M21" s="432">
        <v>7</v>
      </c>
      <c r="N21" s="432">
        <v>8</v>
      </c>
      <c r="O21" s="432">
        <v>8</v>
      </c>
      <c r="P21" s="432">
        <v>7.5</v>
      </c>
      <c r="Q21" s="432">
        <v>8</v>
      </c>
      <c r="R21" s="432">
        <v>7</v>
      </c>
      <c r="S21" s="432">
        <v>7</v>
      </c>
      <c r="T21" s="432">
        <v>7.5</v>
      </c>
      <c r="U21" s="432">
        <v>8</v>
      </c>
      <c r="V21" s="432">
        <v>7.5</v>
      </c>
      <c r="W21" s="432">
        <v>8</v>
      </c>
      <c r="X21" s="432">
        <v>6.5</v>
      </c>
      <c r="Y21" s="434">
        <v>7</v>
      </c>
      <c r="Z21" s="243">
        <f t="shared" si="1"/>
        <v>7.3250000000000002</v>
      </c>
      <c r="AA21" s="268"/>
      <c r="AB21" s="268"/>
      <c r="AC21" s="268"/>
      <c r="AD21" s="243"/>
      <c r="AE21" s="243"/>
      <c r="AF21" s="660" t="s">
        <v>101</v>
      </c>
      <c r="AG21" s="358"/>
      <c r="AH21" s="436" t="s">
        <v>186</v>
      </c>
      <c r="AI21" s="181"/>
      <c r="AJ21" s="180">
        <f t="shared" si="0"/>
        <v>7.3250000000000002</v>
      </c>
    </row>
    <row r="22" spans="1:36" s="7" customFormat="1" ht="18" customHeight="1" x14ac:dyDescent="0.2">
      <c r="A22" s="431">
        <v>15</v>
      </c>
      <c r="B22" s="245"/>
      <c r="C22" s="246">
        <v>2022</v>
      </c>
      <c r="D22" s="315" t="s">
        <v>531</v>
      </c>
      <c r="E22" s="294" t="s">
        <v>532</v>
      </c>
      <c r="F22" s="432">
        <v>7</v>
      </c>
      <c r="G22" s="432">
        <v>7.5</v>
      </c>
      <c r="H22" s="432">
        <v>7.5</v>
      </c>
      <c r="I22" s="432">
        <v>7</v>
      </c>
      <c r="J22" s="432">
        <v>8</v>
      </c>
      <c r="K22" s="432">
        <v>7</v>
      </c>
      <c r="L22" s="432">
        <v>7.5</v>
      </c>
      <c r="M22" s="432">
        <v>7</v>
      </c>
      <c r="N22" s="432">
        <v>8</v>
      </c>
      <c r="O22" s="432">
        <v>6.5</v>
      </c>
      <c r="P22" s="432">
        <v>8</v>
      </c>
      <c r="Q22" s="432">
        <v>7</v>
      </c>
      <c r="R22" s="432">
        <v>7</v>
      </c>
      <c r="S22" s="432">
        <v>7.5</v>
      </c>
      <c r="T22" s="432">
        <v>7.5</v>
      </c>
      <c r="U22" s="432">
        <v>6.5</v>
      </c>
      <c r="V22" s="432">
        <v>6.5</v>
      </c>
      <c r="W22" s="432">
        <v>7.5</v>
      </c>
      <c r="X22" s="432">
        <v>7.5</v>
      </c>
      <c r="Y22" s="434">
        <v>7.5</v>
      </c>
      <c r="Z22" s="243">
        <f t="shared" si="1"/>
        <v>7.2750000000000004</v>
      </c>
      <c r="AA22" s="268"/>
      <c r="AB22" s="268"/>
      <c r="AC22" s="268"/>
      <c r="AD22" s="243"/>
      <c r="AE22" s="243"/>
      <c r="AF22" s="660" t="s">
        <v>101</v>
      </c>
      <c r="AG22" s="358"/>
      <c r="AH22" s="422" t="s">
        <v>141</v>
      </c>
      <c r="AI22" s="181"/>
      <c r="AJ22" s="180">
        <f t="shared" si="0"/>
        <v>7.2750000000000004</v>
      </c>
    </row>
    <row r="23" spans="1:36" s="7" customFormat="1" ht="18" customHeight="1" x14ac:dyDescent="0.2">
      <c r="A23" s="431">
        <v>16</v>
      </c>
      <c r="B23" s="245"/>
      <c r="C23" s="246">
        <v>2022</v>
      </c>
      <c r="D23" s="315" t="s">
        <v>533</v>
      </c>
      <c r="E23" s="292" t="s">
        <v>534</v>
      </c>
      <c r="F23" s="656">
        <v>7</v>
      </c>
      <c r="G23" s="432">
        <v>6.5</v>
      </c>
      <c r="H23" s="656">
        <v>7.5</v>
      </c>
      <c r="I23" s="432">
        <v>7</v>
      </c>
      <c r="J23" s="432">
        <v>7.5</v>
      </c>
      <c r="K23" s="432">
        <v>7.5</v>
      </c>
      <c r="L23" s="432">
        <v>8</v>
      </c>
      <c r="M23" s="432">
        <v>7.5</v>
      </c>
      <c r="N23" s="432">
        <v>8</v>
      </c>
      <c r="O23" s="432">
        <v>7</v>
      </c>
      <c r="P23" s="432">
        <v>7</v>
      </c>
      <c r="Q23" s="432">
        <v>8</v>
      </c>
      <c r="R23" s="432">
        <v>7</v>
      </c>
      <c r="S23" s="432">
        <v>7</v>
      </c>
      <c r="T23" s="432">
        <v>7</v>
      </c>
      <c r="U23" s="432">
        <v>7.5</v>
      </c>
      <c r="V23" s="432">
        <v>7</v>
      </c>
      <c r="W23" s="432">
        <v>7.5</v>
      </c>
      <c r="X23" s="432">
        <v>7</v>
      </c>
      <c r="Y23" s="434">
        <v>7</v>
      </c>
      <c r="Z23" s="243">
        <f t="shared" si="1"/>
        <v>7.2750000000000004</v>
      </c>
      <c r="AA23" s="268"/>
      <c r="AB23" s="268"/>
      <c r="AC23" s="268"/>
      <c r="AD23" s="243"/>
      <c r="AE23" s="243"/>
      <c r="AF23" s="660" t="s">
        <v>101</v>
      </c>
      <c r="AG23" s="358"/>
      <c r="AH23" s="422" t="s">
        <v>201</v>
      </c>
      <c r="AI23" s="181"/>
      <c r="AJ23" s="180">
        <f t="shared" si="0"/>
        <v>7.2750000000000004</v>
      </c>
    </row>
    <row r="24" spans="1:36" s="7" customFormat="1" ht="18" customHeight="1" x14ac:dyDescent="0.2">
      <c r="A24" s="431">
        <v>17</v>
      </c>
      <c r="B24" s="245"/>
      <c r="C24" s="246">
        <v>2022</v>
      </c>
      <c r="D24" s="315" t="s">
        <v>535</v>
      </c>
      <c r="E24" s="294" t="s">
        <v>536</v>
      </c>
      <c r="F24" s="656">
        <v>7</v>
      </c>
      <c r="G24" s="432">
        <v>7.5</v>
      </c>
      <c r="H24" s="656">
        <v>6.5</v>
      </c>
      <c r="I24" s="432">
        <v>6</v>
      </c>
      <c r="J24" s="432">
        <v>8</v>
      </c>
      <c r="K24" s="432">
        <v>7.5</v>
      </c>
      <c r="L24" s="432">
        <v>7.5</v>
      </c>
      <c r="M24" s="432">
        <v>7</v>
      </c>
      <c r="N24" s="432">
        <v>8</v>
      </c>
      <c r="O24" s="432">
        <v>8</v>
      </c>
      <c r="P24" s="432">
        <v>7.5</v>
      </c>
      <c r="Q24" s="432">
        <v>8</v>
      </c>
      <c r="R24" s="432">
        <v>7.8</v>
      </c>
      <c r="S24" s="432">
        <v>7.5</v>
      </c>
      <c r="T24" s="432">
        <v>6.5</v>
      </c>
      <c r="U24" s="432">
        <v>6.5</v>
      </c>
      <c r="V24" s="432">
        <v>7</v>
      </c>
      <c r="W24" s="432">
        <v>8</v>
      </c>
      <c r="X24" s="432">
        <v>7</v>
      </c>
      <c r="Y24" s="434">
        <v>7</v>
      </c>
      <c r="Z24" s="243">
        <f t="shared" si="1"/>
        <v>7.2900000000000009</v>
      </c>
      <c r="AA24" s="268"/>
      <c r="AB24" s="268"/>
      <c r="AC24" s="268"/>
      <c r="AD24" s="243"/>
      <c r="AE24" s="243"/>
      <c r="AF24" s="660" t="s">
        <v>101</v>
      </c>
      <c r="AG24" s="358"/>
      <c r="AH24" s="422" t="s">
        <v>192</v>
      </c>
      <c r="AI24" s="181"/>
      <c r="AJ24" s="180">
        <f t="shared" si="0"/>
        <v>7.2900000000000009</v>
      </c>
    </row>
    <row r="25" spans="1:36" s="7" customFormat="1" ht="18" customHeight="1" x14ac:dyDescent="0.2">
      <c r="A25" s="431">
        <v>18</v>
      </c>
      <c r="B25" s="245"/>
      <c r="C25" s="246">
        <v>2022</v>
      </c>
      <c r="D25" s="315" t="s">
        <v>537</v>
      </c>
      <c r="E25" s="294" t="s">
        <v>538</v>
      </c>
      <c r="F25" s="432">
        <v>7.5</v>
      </c>
      <c r="G25" s="432">
        <v>7</v>
      </c>
      <c r="H25" s="432">
        <v>7.5</v>
      </c>
      <c r="I25" s="432">
        <v>7</v>
      </c>
      <c r="J25" s="432">
        <v>7.5</v>
      </c>
      <c r="K25" s="432">
        <v>7.5</v>
      </c>
      <c r="L25" s="432">
        <v>6.5</v>
      </c>
      <c r="M25" s="432">
        <v>7.5</v>
      </c>
      <c r="N25" s="432">
        <v>6.5</v>
      </c>
      <c r="O25" s="432">
        <v>7</v>
      </c>
      <c r="P25" s="432">
        <v>6.5</v>
      </c>
      <c r="Q25" s="432">
        <v>6.5</v>
      </c>
      <c r="R25" s="432">
        <v>8.4</v>
      </c>
      <c r="S25" s="432">
        <v>7.5</v>
      </c>
      <c r="T25" s="432">
        <v>7</v>
      </c>
      <c r="U25" s="432">
        <v>7</v>
      </c>
      <c r="V25" s="432">
        <v>7</v>
      </c>
      <c r="W25" s="432">
        <v>6.5</v>
      </c>
      <c r="X25" s="432">
        <v>7.5</v>
      </c>
      <c r="Y25" s="435">
        <v>7</v>
      </c>
      <c r="Z25" s="243">
        <f t="shared" si="1"/>
        <v>7.12</v>
      </c>
      <c r="AA25" s="268"/>
      <c r="AB25" s="268"/>
      <c r="AC25" s="268"/>
      <c r="AD25" s="243"/>
      <c r="AE25" s="243"/>
      <c r="AF25" s="660" t="s">
        <v>95</v>
      </c>
      <c r="AG25" s="358"/>
      <c r="AH25" s="422" t="s">
        <v>196</v>
      </c>
      <c r="AI25" s="181"/>
      <c r="AJ25" s="180">
        <f t="shared" si="0"/>
        <v>7.12</v>
      </c>
    </row>
    <row r="26" spans="1:36" s="7" customFormat="1" ht="18" customHeight="1" x14ac:dyDescent="0.3">
      <c r="A26" s="431">
        <v>19</v>
      </c>
      <c r="B26" s="245"/>
      <c r="C26" s="246">
        <v>2022</v>
      </c>
      <c r="D26" s="315" t="s">
        <v>539</v>
      </c>
      <c r="E26" s="294" t="s">
        <v>540</v>
      </c>
      <c r="F26" s="656">
        <v>7</v>
      </c>
      <c r="G26" s="432">
        <v>8</v>
      </c>
      <c r="H26" s="656">
        <v>8</v>
      </c>
      <c r="I26" s="432">
        <v>8</v>
      </c>
      <c r="J26" s="432">
        <v>8</v>
      </c>
      <c r="K26" s="432">
        <v>7</v>
      </c>
      <c r="L26" s="432">
        <v>8</v>
      </c>
      <c r="M26" s="432">
        <v>8</v>
      </c>
      <c r="N26" s="432">
        <v>8</v>
      </c>
      <c r="O26" s="432">
        <v>8</v>
      </c>
      <c r="P26" s="432">
        <v>8</v>
      </c>
      <c r="Q26" s="432">
        <v>8</v>
      </c>
      <c r="R26" s="432">
        <v>8.1999999999999993</v>
      </c>
      <c r="S26" s="432">
        <v>8</v>
      </c>
      <c r="T26" s="432">
        <v>8</v>
      </c>
      <c r="U26" s="432">
        <v>7.5</v>
      </c>
      <c r="V26" s="432">
        <v>8</v>
      </c>
      <c r="W26" s="432">
        <v>8</v>
      </c>
      <c r="X26" s="432">
        <v>8</v>
      </c>
      <c r="Y26" s="437">
        <v>8</v>
      </c>
      <c r="Z26" s="243">
        <f t="shared" si="1"/>
        <v>7.8849999999999998</v>
      </c>
      <c r="AA26" s="268"/>
      <c r="AB26" s="268"/>
      <c r="AC26" s="268"/>
      <c r="AD26" s="243"/>
      <c r="AE26" s="243"/>
      <c r="AF26" s="660" t="s">
        <v>101</v>
      </c>
      <c r="AG26" s="358"/>
      <c r="AH26" s="436" t="s">
        <v>257</v>
      </c>
      <c r="AI26" s="181"/>
      <c r="AJ26" s="180">
        <f t="shared" si="0"/>
        <v>7.8849999999999998</v>
      </c>
    </row>
    <row r="27" spans="1:36" s="7" customFormat="1" ht="18" customHeight="1" x14ac:dyDescent="0.2">
      <c r="A27" s="431">
        <v>20</v>
      </c>
      <c r="B27" s="245"/>
      <c r="C27" s="246">
        <v>2022</v>
      </c>
      <c r="D27" s="315" t="s">
        <v>541</v>
      </c>
      <c r="E27" s="299" t="s">
        <v>542</v>
      </c>
      <c r="F27" s="432">
        <v>8</v>
      </c>
      <c r="G27" s="432">
        <v>6.5</v>
      </c>
      <c r="H27" s="432">
        <v>8</v>
      </c>
      <c r="I27" s="432">
        <v>8</v>
      </c>
      <c r="J27" s="432">
        <v>7.5</v>
      </c>
      <c r="K27" s="432">
        <v>7</v>
      </c>
      <c r="L27" s="432">
        <v>7.5</v>
      </c>
      <c r="M27" s="432">
        <v>7.5</v>
      </c>
      <c r="N27" s="432">
        <v>8</v>
      </c>
      <c r="O27" s="432">
        <v>7</v>
      </c>
      <c r="P27" s="432">
        <v>8</v>
      </c>
      <c r="Q27" s="432">
        <v>7.5</v>
      </c>
      <c r="R27" s="432">
        <v>8.1999999999999993</v>
      </c>
      <c r="S27" s="432">
        <v>7</v>
      </c>
      <c r="T27" s="432">
        <v>6.5</v>
      </c>
      <c r="U27" s="432">
        <v>8</v>
      </c>
      <c r="V27" s="432">
        <v>7</v>
      </c>
      <c r="W27" s="432">
        <v>7.5</v>
      </c>
      <c r="X27" s="432">
        <v>7</v>
      </c>
      <c r="Y27" s="434">
        <v>7</v>
      </c>
      <c r="Z27" s="243">
        <f t="shared" si="1"/>
        <v>7.4349999999999996</v>
      </c>
      <c r="AA27" s="268"/>
      <c r="AB27" s="268"/>
      <c r="AC27" s="268"/>
      <c r="AD27" s="243"/>
      <c r="AE27" s="243"/>
      <c r="AF27" s="660" t="s">
        <v>95</v>
      </c>
      <c r="AG27" s="358"/>
      <c r="AH27" s="422" t="s">
        <v>17</v>
      </c>
      <c r="AI27" s="181"/>
      <c r="AJ27" s="180">
        <f t="shared" si="0"/>
        <v>7.4349999999999996</v>
      </c>
    </row>
    <row r="28" spans="1:36" s="7" customFormat="1" ht="18" customHeight="1" x14ac:dyDescent="0.2">
      <c r="A28" s="431">
        <v>21</v>
      </c>
      <c r="B28" s="245"/>
      <c r="C28" s="246">
        <v>2022</v>
      </c>
      <c r="D28" s="315" t="s">
        <v>543</v>
      </c>
      <c r="E28" s="301" t="s">
        <v>544</v>
      </c>
      <c r="F28" s="432">
        <v>6.5</v>
      </c>
      <c r="G28" s="432">
        <v>6.5</v>
      </c>
      <c r="H28" s="432">
        <v>7.5</v>
      </c>
      <c r="I28" s="432">
        <v>6</v>
      </c>
      <c r="J28" s="432">
        <v>7.5</v>
      </c>
      <c r="K28" s="432">
        <v>7.5</v>
      </c>
      <c r="L28" s="432">
        <v>7</v>
      </c>
      <c r="M28" s="432">
        <v>7</v>
      </c>
      <c r="N28" s="432">
        <v>6.5</v>
      </c>
      <c r="O28" s="432">
        <v>7</v>
      </c>
      <c r="P28" s="432">
        <v>7</v>
      </c>
      <c r="Q28" s="432">
        <v>7</v>
      </c>
      <c r="R28" s="432">
        <v>7.8</v>
      </c>
      <c r="S28" s="432">
        <v>8</v>
      </c>
      <c r="T28" s="432">
        <v>8</v>
      </c>
      <c r="U28" s="432">
        <v>7</v>
      </c>
      <c r="V28" s="432">
        <v>7</v>
      </c>
      <c r="W28" s="432">
        <v>7</v>
      </c>
      <c r="X28" s="432">
        <v>8</v>
      </c>
      <c r="Y28" s="434">
        <v>7</v>
      </c>
      <c r="Z28" s="243">
        <f t="shared" si="1"/>
        <v>7.1400000000000006</v>
      </c>
      <c r="AA28" s="268"/>
      <c r="AB28" s="268"/>
      <c r="AC28" s="268"/>
      <c r="AD28" s="243"/>
      <c r="AE28" s="243"/>
      <c r="AF28" s="660" t="s">
        <v>101</v>
      </c>
      <c r="AG28" s="358"/>
      <c r="AH28" s="422" t="s">
        <v>174</v>
      </c>
      <c r="AI28" s="181"/>
      <c r="AJ28" s="180">
        <f t="shared" si="0"/>
        <v>7.1400000000000006</v>
      </c>
    </row>
    <row r="29" spans="1:36" s="7" customFormat="1" ht="18" customHeight="1" x14ac:dyDescent="0.2">
      <c r="A29" s="431">
        <v>22</v>
      </c>
      <c r="B29" s="245"/>
      <c r="C29" s="246">
        <v>2022</v>
      </c>
      <c r="D29" s="315" t="s">
        <v>545</v>
      </c>
      <c r="E29" s="294" t="s">
        <v>546</v>
      </c>
      <c r="F29" s="432">
        <v>7.5</v>
      </c>
      <c r="G29" s="432">
        <v>7.5</v>
      </c>
      <c r="H29" s="432">
        <v>6.5</v>
      </c>
      <c r="I29" s="432">
        <v>6</v>
      </c>
      <c r="J29" s="432">
        <v>7</v>
      </c>
      <c r="K29" s="432">
        <v>8</v>
      </c>
      <c r="L29" s="432">
        <v>7</v>
      </c>
      <c r="M29" s="432">
        <v>6.5</v>
      </c>
      <c r="N29" s="432">
        <v>7</v>
      </c>
      <c r="O29" s="432">
        <v>7.5</v>
      </c>
      <c r="P29" s="432">
        <v>8</v>
      </c>
      <c r="Q29" s="432">
        <v>7.5</v>
      </c>
      <c r="R29" s="432">
        <v>8.4</v>
      </c>
      <c r="S29" s="432">
        <v>7.5</v>
      </c>
      <c r="T29" s="432">
        <v>8</v>
      </c>
      <c r="U29" s="432">
        <v>8</v>
      </c>
      <c r="V29" s="432">
        <v>7</v>
      </c>
      <c r="W29" s="432">
        <v>8</v>
      </c>
      <c r="X29" s="432">
        <v>7</v>
      </c>
      <c r="Y29" s="434">
        <v>6.5</v>
      </c>
      <c r="Z29" s="243">
        <f t="shared" si="1"/>
        <v>7.32</v>
      </c>
      <c r="AA29" s="268"/>
      <c r="AB29" s="268"/>
      <c r="AC29" s="268"/>
      <c r="AD29" s="243"/>
      <c r="AE29" s="243"/>
      <c r="AF29" s="660" t="s">
        <v>101</v>
      </c>
      <c r="AG29" s="358"/>
      <c r="AH29" s="422" t="s">
        <v>665</v>
      </c>
      <c r="AI29" s="181"/>
      <c r="AJ29" s="180">
        <f t="shared" si="0"/>
        <v>7.32</v>
      </c>
    </row>
    <row r="30" spans="1:36" s="7" customFormat="1" ht="18" customHeight="1" x14ac:dyDescent="0.2">
      <c r="A30" s="431">
        <v>23</v>
      </c>
      <c r="B30" s="245"/>
      <c r="C30" s="246">
        <v>2022</v>
      </c>
      <c r="D30" s="315" t="s">
        <v>547</v>
      </c>
      <c r="E30" s="294" t="s">
        <v>548</v>
      </c>
      <c r="F30" s="432">
        <v>7</v>
      </c>
      <c r="G30" s="432">
        <v>7.5</v>
      </c>
      <c r="H30" s="432">
        <v>7.5</v>
      </c>
      <c r="I30" s="432">
        <v>7</v>
      </c>
      <c r="J30" s="432">
        <v>8</v>
      </c>
      <c r="K30" s="432">
        <v>8</v>
      </c>
      <c r="L30" s="432">
        <v>8</v>
      </c>
      <c r="M30" s="432">
        <v>8</v>
      </c>
      <c r="N30" s="432">
        <v>8</v>
      </c>
      <c r="O30" s="432">
        <v>8</v>
      </c>
      <c r="P30" s="432">
        <v>8</v>
      </c>
      <c r="Q30" s="432">
        <v>8</v>
      </c>
      <c r="R30" s="432">
        <v>7.8</v>
      </c>
      <c r="S30" s="432">
        <v>6.5</v>
      </c>
      <c r="T30" s="432">
        <v>6.5</v>
      </c>
      <c r="U30" s="432">
        <v>8</v>
      </c>
      <c r="V30" s="432">
        <v>7</v>
      </c>
      <c r="W30" s="432">
        <v>7.5</v>
      </c>
      <c r="X30" s="432">
        <v>6.5</v>
      </c>
      <c r="Y30" s="433">
        <v>6.5</v>
      </c>
      <c r="Z30" s="243">
        <f t="shared" si="1"/>
        <v>7.4650000000000007</v>
      </c>
      <c r="AA30" s="268"/>
      <c r="AB30" s="268"/>
      <c r="AC30" s="268"/>
      <c r="AD30" s="243"/>
      <c r="AE30" s="243"/>
      <c r="AF30" s="660" t="s">
        <v>101</v>
      </c>
      <c r="AG30" s="358"/>
      <c r="AH30" s="422" t="s">
        <v>666</v>
      </c>
      <c r="AI30" s="181"/>
      <c r="AJ30" s="180">
        <f t="shared" si="0"/>
        <v>7.4650000000000007</v>
      </c>
    </row>
    <row r="31" spans="1:36" s="7" customFormat="1" ht="18" customHeight="1" x14ac:dyDescent="0.2">
      <c r="A31" s="431">
        <v>24</v>
      </c>
      <c r="B31" s="245"/>
      <c r="C31" s="246">
        <v>2022</v>
      </c>
      <c r="D31" s="315" t="s">
        <v>549</v>
      </c>
      <c r="E31" s="292" t="s">
        <v>550</v>
      </c>
      <c r="F31" s="432">
        <v>6.5</v>
      </c>
      <c r="G31" s="432">
        <v>7</v>
      </c>
      <c r="H31" s="432">
        <v>7</v>
      </c>
      <c r="I31" s="432">
        <v>7</v>
      </c>
      <c r="J31" s="432">
        <v>8</v>
      </c>
      <c r="K31" s="432">
        <v>8</v>
      </c>
      <c r="L31" s="432">
        <v>7</v>
      </c>
      <c r="M31" s="432">
        <v>7</v>
      </c>
      <c r="N31" s="432">
        <v>7</v>
      </c>
      <c r="O31" s="432">
        <v>6.5</v>
      </c>
      <c r="P31" s="432">
        <v>6.5</v>
      </c>
      <c r="Q31" s="432">
        <v>7</v>
      </c>
      <c r="R31" s="432">
        <v>7.2</v>
      </c>
      <c r="S31" s="432">
        <v>7.5</v>
      </c>
      <c r="T31" s="432">
        <v>7</v>
      </c>
      <c r="U31" s="432">
        <v>7</v>
      </c>
      <c r="V31" s="432">
        <v>7</v>
      </c>
      <c r="W31" s="432">
        <v>7.5</v>
      </c>
      <c r="X31" s="432">
        <v>8</v>
      </c>
      <c r="Y31" s="433">
        <v>7</v>
      </c>
      <c r="Z31" s="243">
        <f t="shared" si="1"/>
        <v>7.1349999999999998</v>
      </c>
      <c r="AA31" s="268"/>
      <c r="AB31" s="268"/>
      <c r="AC31" s="268"/>
      <c r="AD31" s="243"/>
      <c r="AE31" s="243"/>
      <c r="AF31" s="660" t="s">
        <v>95</v>
      </c>
      <c r="AG31" s="358"/>
      <c r="AH31" s="422" t="s">
        <v>152</v>
      </c>
      <c r="AI31" s="181"/>
      <c r="AJ31" s="180">
        <f t="shared" si="0"/>
        <v>7.1349999999999998</v>
      </c>
    </row>
    <row r="32" spans="1:36" s="7" customFormat="1" ht="18" customHeight="1" x14ac:dyDescent="0.2">
      <c r="A32" s="431">
        <v>25</v>
      </c>
      <c r="B32" s="245"/>
      <c r="C32" s="246">
        <v>2022</v>
      </c>
      <c r="D32" s="269" t="s">
        <v>157</v>
      </c>
      <c r="E32" s="299" t="s">
        <v>551</v>
      </c>
      <c r="F32" s="433">
        <v>7</v>
      </c>
      <c r="G32" s="433">
        <v>7</v>
      </c>
      <c r="H32" s="433">
        <v>7</v>
      </c>
      <c r="I32" s="433">
        <v>6</v>
      </c>
      <c r="J32" s="433">
        <v>7.5</v>
      </c>
      <c r="K32" s="433">
        <v>7</v>
      </c>
      <c r="L32" s="433">
        <v>6.5</v>
      </c>
      <c r="M32" s="433">
        <v>7</v>
      </c>
      <c r="N32" s="433">
        <v>6.5</v>
      </c>
      <c r="O32" s="433">
        <v>7</v>
      </c>
      <c r="P32" s="433">
        <v>7</v>
      </c>
      <c r="Q32" s="433">
        <v>7.5</v>
      </c>
      <c r="R32" s="433">
        <v>7.2</v>
      </c>
      <c r="S32" s="433">
        <v>6.5</v>
      </c>
      <c r="T32" s="433">
        <v>6.5</v>
      </c>
      <c r="U32" s="433">
        <v>6.5</v>
      </c>
      <c r="V32" s="433">
        <v>7</v>
      </c>
      <c r="W32" s="433">
        <v>7</v>
      </c>
      <c r="X32" s="433">
        <v>6.5</v>
      </c>
      <c r="Y32" s="433">
        <v>6.5</v>
      </c>
      <c r="Z32" s="659">
        <f t="shared" si="1"/>
        <v>6.8349999999999991</v>
      </c>
      <c r="AA32" s="242"/>
      <c r="AB32" s="242"/>
      <c r="AC32" s="242"/>
      <c r="AD32" s="277">
        <f t="shared" ref="AD32:AD46" si="2">SUM(AA32:AC32)/3</f>
        <v>0</v>
      </c>
      <c r="AE32" s="277">
        <f t="shared" ref="AE32:AE46" si="3">SUM(Z32+AD32)/2</f>
        <v>3.4174999999999995</v>
      </c>
      <c r="AF32" s="660" t="s">
        <v>95</v>
      </c>
      <c r="AG32" s="273"/>
      <c r="AH32" s="422" t="s">
        <v>201</v>
      </c>
      <c r="AI32" s="181"/>
      <c r="AJ32" s="628">
        <f t="shared" si="0"/>
        <v>6.8349999999999991</v>
      </c>
    </row>
    <row r="33" spans="1:38" s="7" customFormat="1" ht="18" customHeight="1" x14ac:dyDescent="0.2">
      <c r="A33" s="431">
        <v>26</v>
      </c>
      <c r="B33" s="245"/>
      <c r="C33" s="246">
        <v>2022</v>
      </c>
      <c r="D33" s="269" t="s">
        <v>552</v>
      </c>
      <c r="E33" s="294" t="s">
        <v>553</v>
      </c>
      <c r="F33" s="433">
        <v>7.5</v>
      </c>
      <c r="G33" s="433">
        <v>7</v>
      </c>
      <c r="H33" s="433">
        <v>7</v>
      </c>
      <c r="I33" s="433">
        <v>6</v>
      </c>
      <c r="J33" s="433">
        <v>8</v>
      </c>
      <c r="K33" s="433">
        <v>8</v>
      </c>
      <c r="L33" s="433">
        <v>7.5</v>
      </c>
      <c r="M33" s="433">
        <v>7.5</v>
      </c>
      <c r="N33" s="433">
        <v>7</v>
      </c>
      <c r="O33" s="433">
        <v>8</v>
      </c>
      <c r="P33" s="433">
        <v>7</v>
      </c>
      <c r="Q33" s="433">
        <v>7</v>
      </c>
      <c r="R33" s="433">
        <v>7</v>
      </c>
      <c r="S33" s="433">
        <v>7.5</v>
      </c>
      <c r="T33" s="433">
        <v>7</v>
      </c>
      <c r="U33" s="433">
        <v>7</v>
      </c>
      <c r="V33" s="433">
        <v>7</v>
      </c>
      <c r="W33" s="433">
        <v>8</v>
      </c>
      <c r="X33" s="433">
        <v>7</v>
      </c>
      <c r="Y33" s="433">
        <v>7</v>
      </c>
      <c r="Z33" s="243">
        <f t="shared" si="1"/>
        <v>7.25</v>
      </c>
      <c r="AA33" s="242"/>
      <c r="AB33" s="242"/>
      <c r="AC33" s="242"/>
      <c r="AD33" s="277">
        <f t="shared" si="2"/>
        <v>0</v>
      </c>
      <c r="AE33" s="277">
        <f t="shared" si="3"/>
        <v>3.625</v>
      </c>
      <c r="AF33" s="660" t="s">
        <v>101</v>
      </c>
      <c r="AG33" s="273"/>
      <c r="AH33" s="305" t="s">
        <v>180</v>
      </c>
      <c r="AI33" s="181"/>
      <c r="AJ33" s="180">
        <f t="shared" si="0"/>
        <v>7.25</v>
      </c>
    </row>
    <row r="34" spans="1:38" s="7" customFormat="1" ht="18" customHeight="1" x14ac:dyDescent="0.2">
      <c r="A34" s="431">
        <v>27</v>
      </c>
      <c r="B34" s="245"/>
      <c r="C34" s="246">
        <v>2022</v>
      </c>
      <c r="D34" s="269" t="s">
        <v>554</v>
      </c>
      <c r="E34" s="292" t="s">
        <v>555</v>
      </c>
      <c r="F34" s="433">
        <v>7</v>
      </c>
      <c r="G34" s="433">
        <v>6</v>
      </c>
      <c r="H34" s="433">
        <v>7</v>
      </c>
      <c r="I34" s="433">
        <v>7</v>
      </c>
      <c r="J34" s="433">
        <v>7.5</v>
      </c>
      <c r="K34" s="433">
        <v>7.5</v>
      </c>
      <c r="L34" s="433">
        <v>7</v>
      </c>
      <c r="M34" s="433">
        <v>7.5</v>
      </c>
      <c r="N34" s="433">
        <v>7</v>
      </c>
      <c r="O34" s="433">
        <v>7.5</v>
      </c>
      <c r="P34" s="433">
        <v>7</v>
      </c>
      <c r="Q34" s="433">
        <v>6.5</v>
      </c>
      <c r="R34" s="433">
        <v>6.6</v>
      </c>
      <c r="S34" s="433">
        <v>8</v>
      </c>
      <c r="T34" s="433">
        <v>7</v>
      </c>
      <c r="U34" s="433">
        <v>7</v>
      </c>
      <c r="V34" s="433">
        <v>7</v>
      </c>
      <c r="W34" s="433">
        <v>7</v>
      </c>
      <c r="X34" s="433">
        <v>8</v>
      </c>
      <c r="Y34" s="433">
        <v>7</v>
      </c>
      <c r="Z34" s="243">
        <f t="shared" si="1"/>
        <v>7.1049999999999995</v>
      </c>
      <c r="AA34" s="242"/>
      <c r="AB34" s="242"/>
      <c r="AC34" s="242"/>
      <c r="AD34" s="277">
        <f t="shared" si="2"/>
        <v>0</v>
      </c>
      <c r="AE34" s="277">
        <f t="shared" si="3"/>
        <v>3.5524999999999998</v>
      </c>
      <c r="AF34" s="660" t="s">
        <v>101</v>
      </c>
      <c r="AG34" s="273"/>
      <c r="AH34" s="263" t="s">
        <v>179</v>
      </c>
      <c r="AI34" s="181"/>
      <c r="AJ34" s="180">
        <f t="shared" si="0"/>
        <v>7.1049999999999995</v>
      </c>
    </row>
    <row r="35" spans="1:38" s="7" customFormat="1" ht="18" customHeight="1" x14ac:dyDescent="0.2">
      <c r="A35" s="431">
        <v>28</v>
      </c>
      <c r="B35" s="245"/>
      <c r="C35" s="246">
        <v>2022</v>
      </c>
      <c r="D35" s="269" t="s">
        <v>556</v>
      </c>
      <c r="E35" s="294" t="s">
        <v>557</v>
      </c>
      <c r="F35" s="433">
        <v>7</v>
      </c>
      <c r="G35" s="433">
        <v>6.5</v>
      </c>
      <c r="H35" s="433">
        <v>7</v>
      </c>
      <c r="I35" s="433">
        <v>7</v>
      </c>
      <c r="J35" s="433">
        <v>7.5</v>
      </c>
      <c r="K35" s="433">
        <v>7</v>
      </c>
      <c r="L35" s="433">
        <v>8</v>
      </c>
      <c r="M35" s="433">
        <v>7</v>
      </c>
      <c r="N35" s="433">
        <v>8</v>
      </c>
      <c r="O35" s="433">
        <v>7</v>
      </c>
      <c r="P35" s="433">
        <v>7.5</v>
      </c>
      <c r="Q35" s="433">
        <v>7.5</v>
      </c>
      <c r="R35" s="433">
        <v>7.6</v>
      </c>
      <c r="S35" s="433">
        <v>7</v>
      </c>
      <c r="T35" s="433">
        <v>7.5</v>
      </c>
      <c r="U35" s="433">
        <v>6.5</v>
      </c>
      <c r="V35" s="433">
        <v>7</v>
      </c>
      <c r="W35" s="433">
        <v>7</v>
      </c>
      <c r="X35" s="433">
        <v>7</v>
      </c>
      <c r="Y35" s="433">
        <v>6.5</v>
      </c>
      <c r="Z35" s="243">
        <f t="shared" si="1"/>
        <v>7.1549999999999994</v>
      </c>
      <c r="AA35" s="242"/>
      <c r="AB35" s="242"/>
      <c r="AC35" s="242"/>
      <c r="AD35" s="277">
        <f t="shared" si="2"/>
        <v>0</v>
      </c>
      <c r="AE35" s="277">
        <f t="shared" si="3"/>
        <v>3.5774999999999997</v>
      </c>
      <c r="AF35" s="660" t="s">
        <v>101</v>
      </c>
      <c r="AG35" s="273"/>
      <c r="AH35" s="263" t="s">
        <v>169</v>
      </c>
      <c r="AI35" s="181"/>
      <c r="AJ35" s="180">
        <f t="shared" si="0"/>
        <v>7.1549999999999994</v>
      </c>
      <c r="AL35" s="7" t="s">
        <v>9</v>
      </c>
    </row>
    <row r="36" spans="1:38" s="7" customFormat="1" ht="18" customHeight="1" x14ac:dyDescent="0.2">
      <c r="A36" s="431">
        <v>29</v>
      </c>
      <c r="B36" s="245"/>
      <c r="C36" s="246">
        <v>2022</v>
      </c>
      <c r="D36" s="269" t="s">
        <v>558</v>
      </c>
      <c r="E36" s="294" t="s">
        <v>559</v>
      </c>
      <c r="F36" s="433">
        <v>7</v>
      </c>
      <c r="G36" s="433">
        <v>7</v>
      </c>
      <c r="H36" s="433">
        <v>7.5</v>
      </c>
      <c r="I36" s="433">
        <v>8</v>
      </c>
      <c r="J36" s="433">
        <v>8</v>
      </c>
      <c r="K36" s="433">
        <v>8</v>
      </c>
      <c r="L36" s="433">
        <v>8</v>
      </c>
      <c r="M36" s="433">
        <v>6.5</v>
      </c>
      <c r="N36" s="433">
        <v>8</v>
      </c>
      <c r="O36" s="433">
        <v>6.5</v>
      </c>
      <c r="P36" s="433">
        <v>8</v>
      </c>
      <c r="Q36" s="433">
        <v>7</v>
      </c>
      <c r="R36" s="433">
        <v>7.6</v>
      </c>
      <c r="S36" s="433">
        <v>6.5</v>
      </c>
      <c r="T36" s="433">
        <v>7</v>
      </c>
      <c r="U36" s="433">
        <v>8</v>
      </c>
      <c r="V36" s="433">
        <v>7</v>
      </c>
      <c r="W36" s="433">
        <v>7</v>
      </c>
      <c r="X36" s="433">
        <v>7.5</v>
      </c>
      <c r="Y36" s="433">
        <v>6.5</v>
      </c>
      <c r="Z36" s="243">
        <f t="shared" si="1"/>
        <v>7.33</v>
      </c>
      <c r="AA36" s="242"/>
      <c r="AB36" s="242"/>
      <c r="AC36" s="242"/>
      <c r="AD36" s="277">
        <f t="shared" si="2"/>
        <v>0</v>
      </c>
      <c r="AE36" s="277">
        <f t="shared" si="3"/>
        <v>3.665</v>
      </c>
      <c r="AF36" s="660" t="s">
        <v>101</v>
      </c>
      <c r="AG36" s="273"/>
      <c r="AH36" s="300" t="s">
        <v>184</v>
      </c>
      <c r="AI36" s="181"/>
      <c r="AJ36" s="180">
        <f t="shared" si="0"/>
        <v>7.33</v>
      </c>
    </row>
    <row r="37" spans="1:38" s="7" customFormat="1" ht="18" customHeight="1" x14ac:dyDescent="0.2">
      <c r="A37" s="431">
        <v>30</v>
      </c>
      <c r="B37" s="245"/>
      <c r="C37" s="246">
        <v>2022</v>
      </c>
      <c r="D37" s="269" t="s">
        <v>560</v>
      </c>
      <c r="E37" s="294" t="s">
        <v>561</v>
      </c>
      <c r="F37" s="433">
        <v>7</v>
      </c>
      <c r="G37" s="433">
        <v>7</v>
      </c>
      <c r="H37" s="433">
        <v>7</v>
      </c>
      <c r="I37" s="433">
        <v>6</v>
      </c>
      <c r="J37" s="433">
        <v>7.5</v>
      </c>
      <c r="K37" s="433">
        <v>7.5</v>
      </c>
      <c r="L37" s="433">
        <v>8</v>
      </c>
      <c r="M37" s="433">
        <v>7.5</v>
      </c>
      <c r="N37" s="433">
        <v>7</v>
      </c>
      <c r="O37" s="433">
        <v>7.5</v>
      </c>
      <c r="P37" s="433">
        <v>8</v>
      </c>
      <c r="Q37" s="433">
        <v>7</v>
      </c>
      <c r="R37" s="433">
        <v>8</v>
      </c>
      <c r="S37" s="433">
        <v>8</v>
      </c>
      <c r="T37" s="433">
        <v>7</v>
      </c>
      <c r="U37" s="433">
        <v>7</v>
      </c>
      <c r="V37" s="433">
        <v>7</v>
      </c>
      <c r="W37" s="433">
        <v>7.5</v>
      </c>
      <c r="X37" s="433">
        <v>7</v>
      </c>
      <c r="Y37" s="433">
        <v>6.5</v>
      </c>
      <c r="Z37" s="243">
        <f t="shared" si="1"/>
        <v>7.25</v>
      </c>
      <c r="AA37" s="242"/>
      <c r="AB37" s="242"/>
      <c r="AC37" s="242"/>
      <c r="AD37" s="277">
        <f t="shared" si="2"/>
        <v>0</v>
      </c>
      <c r="AE37" s="277">
        <f t="shared" si="3"/>
        <v>3.625</v>
      </c>
      <c r="AF37" s="660" t="s">
        <v>95</v>
      </c>
      <c r="AG37" s="273"/>
      <c r="AH37" s="263" t="s">
        <v>141</v>
      </c>
      <c r="AI37" s="181"/>
      <c r="AJ37" s="180">
        <f t="shared" si="0"/>
        <v>7.25</v>
      </c>
    </row>
    <row r="38" spans="1:38" s="7" customFormat="1" ht="18" customHeight="1" x14ac:dyDescent="0.2">
      <c r="A38" s="431">
        <v>31</v>
      </c>
      <c r="B38" s="245"/>
      <c r="C38" s="246">
        <v>2022</v>
      </c>
      <c r="D38" s="269" t="s">
        <v>242</v>
      </c>
      <c r="E38" s="301" t="s">
        <v>544</v>
      </c>
      <c r="F38" s="433">
        <v>7</v>
      </c>
      <c r="G38" s="433">
        <v>8</v>
      </c>
      <c r="H38" s="433">
        <v>7.5</v>
      </c>
      <c r="I38" s="433">
        <v>7</v>
      </c>
      <c r="J38" s="433">
        <v>7.5</v>
      </c>
      <c r="K38" s="433">
        <v>8</v>
      </c>
      <c r="L38" s="433">
        <v>8</v>
      </c>
      <c r="M38" s="433">
        <v>7</v>
      </c>
      <c r="N38" s="433">
        <v>8</v>
      </c>
      <c r="O38" s="433">
        <v>7.5</v>
      </c>
      <c r="P38" s="433">
        <v>8</v>
      </c>
      <c r="Q38" s="433">
        <v>7.5</v>
      </c>
      <c r="R38" s="433">
        <v>6.6</v>
      </c>
      <c r="S38" s="433">
        <v>7.5</v>
      </c>
      <c r="T38" s="433">
        <v>7</v>
      </c>
      <c r="U38" s="433">
        <v>8</v>
      </c>
      <c r="V38" s="433">
        <v>6</v>
      </c>
      <c r="W38" s="433">
        <v>7.5</v>
      </c>
      <c r="X38" s="433">
        <v>6.5</v>
      </c>
      <c r="Y38" s="433">
        <v>7</v>
      </c>
      <c r="Z38" s="243">
        <f t="shared" si="1"/>
        <v>7.3549999999999995</v>
      </c>
      <c r="AA38" s="242"/>
      <c r="AB38" s="242"/>
      <c r="AC38" s="242"/>
      <c r="AD38" s="277">
        <f t="shared" si="2"/>
        <v>0</v>
      </c>
      <c r="AE38" s="277">
        <f t="shared" si="3"/>
        <v>3.6774999999999998</v>
      </c>
      <c r="AF38" s="660" t="s">
        <v>101</v>
      </c>
      <c r="AG38" s="273"/>
      <c r="AH38" s="300" t="s">
        <v>667</v>
      </c>
      <c r="AI38" s="181"/>
      <c r="AJ38" s="180">
        <f t="shared" si="0"/>
        <v>7.3549999999999995</v>
      </c>
    </row>
    <row r="39" spans="1:38" s="7" customFormat="1" ht="18" customHeight="1" x14ac:dyDescent="0.2">
      <c r="A39" s="431">
        <v>32</v>
      </c>
      <c r="B39" s="245"/>
      <c r="C39" s="246">
        <v>2022</v>
      </c>
      <c r="D39" s="269" t="s">
        <v>564</v>
      </c>
      <c r="E39" s="294" t="s">
        <v>565</v>
      </c>
      <c r="F39" s="433">
        <v>7</v>
      </c>
      <c r="G39" s="433">
        <v>8</v>
      </c>
      <c r="H39" s="433">
        <v>7.5</v>
      </c>
      <c r="I39" s="433">
        <v>5</v>
      </c>
      <c r="J39" s="433">
        <v>8</v>
      </c>
      <c r="K39" s="433">
        <v>7.5</v>
      </c>
      <c r="L39" s="433">
        <v>7.5</v>
      </c>
      <c r="M39" s="433">
        <v>8</v>
      </c>
      <c r="N39" s="433">
        <v>7</v>
      </c>
      <c r="O39" s="433">
        <v>7</v>
      </c>
      <c r="P39" s="433">
        <v>8</v>
      </c>
      <c r="Q39" s="433">
        <v>8</v>
      </c>
      <c r="R39" s="433">
        <v>7</v>
      </c>
      <c r="S39" s="433">
        <v>8</v>
      </c>
      <c r="T39" s="433">
        <v>7.5</v>
      </c>
      <c r="U39" s="433">
        <v>8</v>
      </c>
      <c r="V39" s="433">
        <v>8</v>
      </c>
      <c r="W39" s="433">
        <v>8</v>
      </c>
      <c r="X39" s="433">
        <v>8</v>
      </c>
      <c r="Y39" s="433">
        <v>7.5</v>
      </c>
      <c r="Z39" s="243">
        <f t="shared" si="1"/>
        <v>7.5250000000000004</v>
      </c>
      <c r="AA39" s="242"/>
      <c r="AB39" s="242"/>
      <c r="AC39" s="242"/>
      <c r="AD39" s="277">
        <f t="shared" si="2"/>
        <v>0</v>
      </c>
      <c r="AE39" s="277">
        <f t="shared" si="3"/>
        <v>3.7625000000000002</v>
      </c>
      <c r="AF39" s="660" t="s">
        <v>101</v>
      </c>
      <c r="AG39" s="273"/>
      <c r="AH39" s="263" t="s">
        <v>193</v>
      </c>
      <c r="AI39" s="181"/>
      <c r="AJ39" s="180">
        <f t="shared" si="0"/>
        <v>7.5250000000000004</v>
      </c>
    </row>
    <row r="40" spans="1:38" s="7" customFormat="1" ht="18" customHeight="1" x14ac:dyDescent="0.2">
      <c r="A40" s="431">
        <v>33</v>
      </c>
      <c r="B40" s="245"/>
      <c r="C40" s="246">
        <v>2022</v>
      </c>
      <c r="D40" s="269" t="s">
        <v>566</v>
      </c>
      <c r="E40" s="292" t="s">
        <v>567</v>
      </c>
      <c r="F40" s="434">
        <v>8</v>
      </c>
      <c r="G40" s="433">
        <v>8</v>
      </c>
      <c r="H40" s="433">
        <v>8</v>
      </c>
      <c r="I40" s="433">
        <v>8</v>
      </c>
      <c r="J40" s="433">
        <v>8</v>
      </c>
      <c r="K40" s="433">
        <v>8</v>
      </c>
      <c r="L40" s="433">
        <v>8</v>
      </c>
      <c r="M40" s="433">
        <v>7.5</v>
      </c>
      <c r="N40" s="433">
        <v>8</v>
      </c>
      <c r="O40" s="433">
        <v>7</v>
      </c>
      <c r="P40" s="433">
        <v>8.5</v>
      </c>
      <c r="Q40" s="433">
        <v>8.5</v>
      </c>
      <c r="R40" s="433">
        <v>8</v>
      </c>
      <c r="S40" s="433">
        <v>8.5</v>
      </c>
      <c r="T40" s="433">
        <v>8</v>
      </c>
      <c r="U40" s="433">
        <v>8.5</v>
      </c>
      <c r="V40" s="433">
        <v>7</v>
      </c>
      <c r="W40" s="433">
        <v>8</v>
      </c>
      <c r="X40" s="433">
        <v>8.5</v>
      </c>
      <c r="Y40" s="433">
        <v>8</v>
      </c>
      <c r="Z40" s="444">
        <f t="shared" si="1"/>
        <v>8</v>
      </c>
      <c r="AA40" s="242"/>
      <c r="AB40" s="242"/>
      <c r="AC40" s="242"/>
      <c r="AD40" s="277">
        <f t="shared" si="2"/>
        <v>0</v>
      </c>
      <c r="AE40" s="277">
        <f t="shared" si="3"/>
        <v>4</v>
      </c>
      <c r="AF40" s="660" t="s">
        <v>101</v>
      </c>
      <c r="AG40" s="273"/>
      <c r="AH40" s="263" t="s">
        <v>174</v>
      </c>
      <c r="AI40" s="181"/>
      <c r="AJ40" s="221">
        <f t="shared" si="0"/>
        <v>8</v>
      </c>
    </row>
    <row r="41" spans="1:38" s="7" customFormat="1" ht="18" customHeight="1" x14ac:dyDescent="0.2">
      <c r="A41" s="431">
        <v>34</v>
      </c>
      <c r="B41" s="245"/>
      <c r="C41" s="246">
        <v>2022</v>
      </c>
      <c r="D41" s="269" t="s">
        <v>569</v>
      </c>
      <c r="E41" s="292" t="s">
        <v>570</v>
      </c>
      <c r="F41" s="434">
        <v>7</v>
      </c>
      <c r="G41" s="433">
        <v>6.5</v>
      </c>
      <c r="H41" s="433">
        <v>7</v>
      </c>
      <c r="I41" s="433">
        <v>7</v>
      </c>
      <c r="J41" s="433">
        <v>6.5</v>
      </c>
      <c r="K41" s="433">
        <v>7</v>
      </c>
      <c r="L41" s="433">
        <v>6.5</v>
      </c>
      <c r="M41" s="433">
        <v>7.5</v>
      </c>
      <c r="N41" s="433">
        <v>7</v>
      </c>
      <c r="O41" s="433">
        <v>6.5</v>
      </c>
      <c r="P41" s="433">
        <v>7.5</v>
      </c>
      <c r="Q41" s="433">
        <v>7.5</v>
      </c>
      <c r="R41" s="433">
        <v>6.6</v>
      </c>
      <c r="S41" s="433">
        <v>8</v>
      </c>
      <c r="T41" s="433">
        <v>8</v>
      </c>
      <c r="U41" s="433">
        <v>7.5</v>
      </c>
      <c r="V41" s="433">
        <v>7</v>
      </c>
      <c r="W41" s="433">
        <v>6.5</v>
      </c>
      <c r="X41" s="433">
        <v>8</v>
      </c>
      <c r="Y41" s="433">
        <v>7</v>
      </c>
      <c r="Z41" s="243">
        <f t="shared" si="1"/>
        <v>7.1049999999999995</v>
      </c>
      <c r="AA41" s="242"/>
      <c r="AB41" s="242"/>
      <c r="AC41" s="242"/>
      <c r="AD41" s="277">
        <f t="shared" si="2"/>
        <v>0</v>
      </c>
      <c r="AE41" s="277">
        <f t="shared" si="3"/>
        <v>3.5524999999999998</v>
      </c>
      <c r="AF41" s="660" t="s">
        <v>101</v>
      </c>
      <c r="AG41" s="273"/>
      <c r="AH41" s="300" t="s">
        <v>176</v>
      </c>
      <c r="AI41" s="181"/>
      <c r="AJ41" s="180">
        <f t="shared" si="0"/>
        <v>7.1049999999999995</v>
      </c>
    </row>
    <row r="42" spans="1:38" s="7" customFormat="1" ht="18" customHeight="1" x14ac:dyDescent="0.2">
      <c r="A42" s="431">
        <v>35</v>
      </c>
      <c r="B42" s="245"/>
      <c r="C42" s="246">
        <v>2022</v>
      </c>
      <c r="D42" s="269" t="s">
        <v>571</v>
      </c>
      <c r="E42" s="303" t="s">
        <v>572</v>
      </c>
      <c r="F42" s="434">
        <v>6.5</v>
      </c>
      <c r="G42" s="433">
        <v>6.5</v>
      </c>
      <c r="H42" s="433">
        <v>7.5</v>
      </c>
      <c r="I42" s="433">
        <v>5</v>
      </c>
      <c r="J42" s="433">
        <v>8</v>
      </c>
      <c r="K42" s="433">
        <v>8</v>
      </c>
      <c r="L42" s="433">
        <v>7.5</v>
      </c>
      <c r="M42" s="433">
        <v>7</v>
      </c>
      <c r="N42" s="433">
        <v>7</v>
      </c>
      <c r="O42" s="433">
        <v>6.5</v>
      </c>
      <c r="P42" s="433">
        <v>7</v>
      </c>
      <c r="Q42" s="433">
        <v>6.5</v>
      </c>
      <c r="R42" s="433">
        <v>7.4</v>
      </c>
      <c r="S42" s="433">
        <v>7.5</v>
      </c>
      <c r="T42" s="433">
        <v>7</v>
      </c>
      <c r="U42" s="433">
        <v>7</v>
      </c>
      <c r="V42" s="433">
        <v>7.5</v>
      </c>
      <c r="W42" s="433">
        <v>6.5</v>
      </c>
      <c r="X42" s="433">
        <v>7.5</v>
      </c>
      <c r="Y42" s="433">
        <v>6.5</v>
      </c>
      <c r="Z42" s="243">
        <f t="shared" si="1"/>
        <v>6.9950000000000001</v>
      </c>
      <c r="AA42" s="242"/>
      <c r="AB42" s="242"/>
      <c r="AC42" s="242"/>
      <c r="AD42" s="277">
        <f t="shared" si="2"/>
        <v>0</v>
      </c>
      <c r="AE42" s="277">
        <f t="shared" si="3"/>
        <v>3.4975000000000001</v>
      </c>
      <c r="AF42" s="660" t="s">
        <v>95</v>
      </c>
      <c r="AG42" s="273"/>
      <c r="AH42" s="263" t="s">
        <v>180</v>
      </c>
      <c r="AI42" s="181"/>
      <c r="AJ42" s="180">
        <f t="shared" si="0"/>
        <v>6.9950000000000001</v>
      </c>
    </row>
    <row r="43" spans="1:38" s="7" customFormat="1" ht="18" customHeight="1" x14ac:dyDescent="0.2">
      <c r="A43" s="431">
        <v>36</v>
      </c>
      <c r="B43" s="245"/>
      <c r="C43" s="246">
        <v>2022</v>
      </c>
      <c r="D43" s="269" t="s">
        <v>573</v>
      </c>
      <c r="E43" s="292" t="s">
        <v>574</v>
      </c>
      <c r="F43" s="434">
        <v>7</v>
      </c>
      <c r="G43" s="433">
        <v>7</v>
      </c>
      <c r="H43" s="433">
        <v>7</v>
      </c>
      <c r="I43" s="433">
        <v>7</v>
      </c>
      <c r="J43" s="433">
        <v>7.5</v>
      </c>
      <c r="K43" s="433">
        <v>7</v>
      </c>
      <c r="L43" s="433">
        <v>7</v>
      </c>
      <c r="M43" s="433">
        <v>7.5</v>
      </c>
      <c r="N43" s="433">
        <v>6.5</v>
      </c>
      <c r="O43" s="433">
        <v>7.5</v>
      </c>
      <c r="P43" s="433">
        <v>6.5</v>
      </c>
      <c r="Q43" s="433">
        <v>7.5</v>
      </c>
      <c r="R43" s="433">
        <v>6.6</v>
      </c>
      <c r="S43" s="433">
        <v>7</v>
      </c>
      <c r="T43" s="433">
        <v>7</v>
      </c>
      <c r="U43" s="433">
        <v>7</v>
      </c>
      <c r="V43" s="433">
        <v>7</v>
      </c>
      <c r="W43" s="433">
        <v>7</v>
      </c>
      <c r="X43" s="433">
        <v>7.5</v>
      </c>
      <c r="Y43" s="433">
        <v>6.5</v>
      </c>
      <c r="Z43" s="243">
        <f t="shared" si="1"/>
        <v>7.0299999999999994</v>
      </c>
      <c r="AA43" s="242"/>
      <c r="AB43" s="242"/>
      <c r="AC43" s="242"/>
      <c r="AD43" s="277">
        <f t="shared" si="2"/>
        <v>0</v>
      </c>
      <c r="AE43" s="277">
        <f t="shared" si="3"/>
        <v>3.5149999999999997</v>
      </c>
      <c r="AF43" s="660" t="s">
        <v>101</v>
      </c>
      <c r="AG43" s="273"/>
      <c r="AH43" s="300" t="s">
        <v>190</v>
      </c>
      <c r="AI43" s="181"/>
      <c r="AJ43" s="180">
        <f t="shared" si="0"/>
        <v>7.0299999999999994</v>
      </c>
    </row>
    <row r="44" spans="1:38" s="7" customFormat="1" ht="18" customHeight="1" x14ac:dyDescent="0.2">
      <c r="A44" s="431">
        <v>37</v>
      </c>
      <c r="B44" s="245"/>
      <c r="C44" s="246">
        <v>2022</v>
      </c>
      <c r="D44" s="269" t="s">
        <v>575</v>
      </c>
      <c r="E44" s="294" t="s">
        <v>263</v>
      </c>
      <c r="F44" s="434">
        <v>7</v>
      </c>
      <c r="G44" s="433">
        <v>8</v>
      </c>
      <c r="H44" s="433">
        <v>7.5</v>
      </c>
      <c r="I44" s="433">
        <v>6</v>
      </c>
      <c r="J44" s="433">
        <v>8</v>
      </c>
      <c r="K44" s="433">
        <v>8</v>
      </c>
      <c r="L44" s="433">
        <v>8</v>
      </c>
      <c r="M44" s="433">
        <v>7.5</v>
      </c>
      <c r="N44" s="433">
        <v>7.5</v>
      </c>
      <c r="O44" s="433">
        <v>7.5</v>
      </c>
      <c r="P44" s="433">
        <v>7</v>
      </c>
      <c r="Q44" s="433">
        <v>7.5</v>
      </c>
      <c r="R44" s="433">
        <v>7</v>
      </c>
      <c r="S44" s="433">
        <v>7.5</v>
      </c>
      <c r="T44" s="433">
        <v>7</v>
      </c>
      <c r="U44" s="433">
        <v>7</v>
      </c>
      <c r="V44" s="433">
        <v>7.5</v>
      </c>
      <c r="W44" s="433">
        <v>8</v>
      </c>
      <c r="X44" s="433">
        <v>7</v>
      </c>
      <c r="Y44" s="433">
        <v>7.5</v>
      </c>
      <c r="Z44" s="243">
        <f t="shared" si="1"/>
        <v>7.4</v>
      </c>
      <c r="AA44" s="242"/>
      <c r="AB44" s="242"/>
      <c r="AC44" s="242"/>
      <c r="AD44" s="277">
        <f t="shared" si="2"/>
        <v>0</v>
      </c>
      <c r="AE44" s="277">
        <f t="shared" si="3"/>
        <v>3.7</v>
      </c>
      <c r="AF44" s="660" t="s">
        <v>101</v>
      </c>
      <c r="AG44" s="273"/>
      <c r="AH44" s="263" t="s">
        <v>192</v>
      </c>
      <c r="AI44" s="181"/>
      <c r="AJ44" s="180">
        <f t="shared" si="0"/>
        <v>7.4</v>
      </c>
    </row>
    <row r="45" spans="1:38" s="7" customFormat="1" ht="18" customHeight="1" x14ac:dyDescent="0.2">
      <c r="A45" s="431">
        <v>38</v>
      </c>
      <c r="B45" s="245"/>
      <c r="C45" s="246">
        <v>2022</v>
      </c>
      <c r="D45" s="269" t="s">
        <v>576</v>
      </c>
      <c r="E45" s="292" t="s">
        <v>577</v>
      </c>
      <c r="F45" s="434">
        <v>7.5</v>
      </c>
      <c r="G45" s="433">
        <v>6.5</v>
      </c>
      <c r="H45" s="433">
        <v>7.5</v>
      </c>
      <c r="I45" s="433">
        <v>6</v>
      </c>
      <c r="J45" s="433">
        <v>7.5</v>
      </c>
      <c r="K45" s="433">
        <v>7</v>
      </c>
      <c r="L45" s="433">
        <v>8</v>
      </c>
      <c r="M45" s="433">
        <v>8</v>
      </c>
      <c r="N45" s="433">
        <v>8</v>
      </c>
      <c r="O45" s="433">
        <v>7</v>
      </c>
      <c r="P45" s="433">
        <v>8</v>
      </c>
      <c r="Q45" s="433">
        <v>6.5</v>
      </c>
      <c r="R45" s="433">
        <v>7.4</v>
      </c>
      <c r="S45" s="433">
        <v>7</v>
      </c>
      <c r="T45" s="433">
        <v>7</v>
      </c>
      <c r="U45" s="433">
        <v>8</v>
      </c>
      <c r="V45" s="433">
        <v>6.5</v>
      </c>
      <c r="W45" s="433">
        <v>8</v>
      </c>
      <c r="X45" s="433">
        <v>8</v>
      </c>
      <c r="Y45" s="433">
        <v>7</v>
      </c>
      <c r="Z45" s="243">
        <f t="shared" si="1"/>
        <v>7.32</v>
      </c>
      <c r="AA45" s="242"/>
      <c r="AB45" s="242"/>
      <c r="AC45" s="242"/>
      <c r="AD45" s="277">
        <f t="shared" si="2"/>
        <v>0</v>
      </c>
      <c r="AE45" s="277">
        <f t="shared" si="3"/>
        <v>3.66</v>
      </c>
      <c r="AF45" s="660" t="s">
        <v>101</v>
      </c>
      <c r="AG45" s="273"/>
      <c r="AH45" s="263" t="s">
        <v>193</v>
      </c>
      <c r="AI45" s="181"/>
      <c r="AJ45" s="180">
        <f t="shared" si="0"/>
        <v>7.32</v>
      </c>
    </row>
    <row r="46" spans="1:38" s="7" customFormat="1" ht="18" customHeight="1" x14ac:dyDescent="0.2">
      <c r="A46" s="431">
        <v>39</v>
      </c>
      <c r="B46" s="245"/>
      <c r="C46" s="246">
        <v>2022</v>
      </c>
      <c r="D46" s="269" t="s">
        <v>578</v>
      </c>
      <c r="E46" s="302" t="s">
        <v>579</v>
      </c>
      <c r="F46" s="434">
        <v>7</v>
      </c>
      <c r="G46" s="433">
        <v>7</v>
      </c>
      <c r="H46" s="433">
        <v>6.5</v>
      </c>
      <c r="I46" s="433">
        <v>7</v>
      </c>
      <c r="J46" s="433">
        <v>8</v>
      </c>
      <c r="K46" s="433">
        <v>7.5</v>
      </c>
      <c r="L46" s="433">
        <v>8</v>
      </c>
      <c r="M46" s="433">
        <v>8</v>
      </c>
      <c r="N46" s="433">
        <v>7</v>
      </c>
      <c r="O46" s="433">
        <v>7.5</v>
      </c>
      <c r="P46" s="433">
        <v>8</v>
      </c>
      <c r="Q46" s="433">
        <v>7.5</v>
      </c>
      <c r="R46" s="433">
        <v>7.8</v>
      </c>
      <c r="S46" s="433">
        <v>8</v>
      </c>
      <c r="T46" s="433">
        <v>8</v>
      </c>
      <c r="U46" s="433">
        <v>6.5</v>
      </c>
      <c r="V46" s="433">
        <v>7.5</v>
      </c>
      <c r="W46" s="433">
        <v>7.5</v>
      </c>
      <c r="X46" s="433">
        <v>7.5</v>
      </c>
      <c r="Y46" s="433">
        <v>6.5</v>
      </c>
      <c r="Z46" s="243">
        <f t="shared" si="1"/>
        <v>7.4150000000000009</v>
      </c>
      <c r="AA46" s="242"/>
      <c r="AB46" s="242"/>
      <c r="AC46" s="242"/>
      <c r="AD46" s="277">
        <f t="shared" si="2"/>
        <v>0</v>
      </c>
      <c r="AE46" s="277">
        <f t="shared" si="3"/>
        <v>3.7075000000000005</v>
      </c>
      <c r="AF46" s="660" t="s">
        <v>101</v>
      </c>
      <c r="AG46" s="273"/>
      <c r="AH46" s="263" t="s">
        <v>12</v>
      </c>
      <c r="AI46" s="181"/>
      <c r="AJ46" s="180">
        <f t="shared" si="0"/>
        <v>7.4150000000000009</v>
      </c>
    </row>
    <row r="47" spans="1:38" s="7" customFormat="1" ht="18" customHeight="1" x14ac:dyDescent="0.2">
      <c r="A47" s="431">
        <v>40</v>
      </c>
      <c r="B47" s="245"/>
      <c r="C47" s="246">
        <v>2022</v>
      </c>
      <c r="D47" s="304" t="s">
        <v>580</v>
      </c>
      <c r="E47" s="292" t="s">
        <v>581</v>
      </c>
      <c r="F47" s="434">
        <v>7.5</v>
      </c>
      <c r="G47" s="433">
        <v>8</v>
      </c>
      <c r="H47" s="433">
        <v>7.5</v>
      </c>
      <c r="I47" s="433">
        <v>8</v>
      </c>
      <c r="J47" s="433">
        <v>7.5</v>
      </c>
      <c r="K47" s="433">
        <v>8</v>
      </c>
      <c r="L47" s="433">
        <v>8</v>
      </c>
      <c r="M47" s="433">
        <v>8</v>
      </c>
      <c r="N47" s="433">
        <v>8</v>
      </c>
      <c r="O47" s="433">
        <v>8</v>
      </c>
      <c r="P47" s="433">
        <v>8</v>
      </c>
      <c r="Q47" s="433">
        <v>8</v>
      </c>
      <c r="R47" s="433">
        <v>7.2</v>
      </c>
      <c r="S47" s="433">
        <v>8</v>
      </c>
      <c r="T47" s="433">
        <v>7.5</v>
      </c>
      <c r="U47" s="433">
        <v>7</v>
      </c>
      <c r="V47" s="433">
        <v>7</v>
      </c>
      <c r="W47" s="433">
        <v>8</v>
      </c>
      <c r="X47" s="433">
        <v>8</v>
      </c>
      <c r="Y47" s="433">
        <v>7.5</v>
      </c>
      <c r="Z47" s="243">
        <f t="shared" si="1"/>
        <v>7.7349999999999994</v>
      </c>
      <c r="AA47" s="242"/>
      <c r="AB47" s="242"/>
      <c r="AC47" s="242"/>
      <c r="AD47" s="277"/>
      <c r="AE47" s="277"/>
      <c r="AF47" s="660" t="s">
        <v>101</v>
      </c>
      <c r="AG47" s="273"/>
      <c r="AH47" s="261" t="s">
        <v>193</v>
      </c>
      <c r="AI47" s="181"/>
      <c r="AJ47" s="180">
        <f t="shared" si="0"/>
        <v>7.7349999999999994</v>
      </c>
    </row>
    <row r="48" spans="1:38" s="7" customFormat="1" ht="18" customHeight="1" x14ac:dyDescent="0.2">
      <c r="A48" s="431">
        <v>41</v>
      </c>
      <c r="B48" s="245"/>
      <c r="C48" s="246">
        <v>2022</v>
      </c>
      <c r="D48" s="304" t="s">
        <v>582</v>
      </c>
      <c r="E48" s="292" t="s">
        <v>583</v>
      </c>
      <c r="F48" s="657">
        <v>6.5</v>
      </c>
      <c r="G48" s="433">
        <v>7</v>
      </c>
      <c r="H48" s="656">
        <v>7</v>
      </c>
      <c r="I48" s="433">
        <v>7</v>
      </c>
      <c r="J48" s="433">
        <v>7.5</v>
      </c>
      <c r="K48" s="433">
        <v>6.5</v>
      </c>
      <c r="L48" s="433">
        <v>7</v>
      </c>
      <c r="M48" s="433">
        <v>7</v>
      </c>
      <c r="N48" s="433">
        <v>7</v>
      </c>
      <c r="O48" s="433">
        <v>7</v>
      </c>
      <c r="P48" s="433">
        <v>7.5</v>
      </c>
      <c r="Q48" s="433">
        <v>7.5</v>
      </c>
      <c r="R48" s="433">
        <v>7.2</v>
      </c>
      <c r="S48" s="433">
        <v>7</v>
      </c>
      <c r="T48" s="433">
        <v>7.5</v>
      </c>
      <c r="U48" s="433">
        <v>7</v>
      </c>
      <c r="V48" s="433">
        <v>7</v>
      </c>
      <c r="W48" s="433">
        <v>7.5</v>
      </c>
      <c r="X48" s="433">
        <v>7.5</v>
      </c>
      <c r="Y48" s="433">
        <v>6.5</v>
      </c>
      <c r="Z48" s="243">
        <f t="shared" si="1"/>
        <v>7.0849999999999991</v>
      </c>
      <c r="AA48" s="242"/>
      <c r="AB48" s="242"/>
      <c r="AC48" s="242"/>
      <c r="AD48" s="277">
        <f t="shared" ref="AD48:AD51" si="4">SUM(AA48:AC48)/3</f>
        <v>0</v>
      </c>
      <c r="AE48" s="277">
        <f t="shared" ref="AE48:AE51" si="5">SUM(Z48+AD48)/2</f>
        <v>3.5424999999999995</v>
      </c>
      <c r="AF48" s="660" t="s">
        <v>101</v>
      </c>
      <c r="AG48" s="273"/>
      <c r="AH48" s="261" t="s">
        <v>174</v>
      </c>
      <c r="AI48" s="181"/>
      <c r="AJ48" s="180">
        <f t="shared" si="0"/>
        <v>7.0849999999999991</v>
      </c>
    </row>
    <row r="49" spans="1:36" s="7" customFormat="1" ht="18" customHeight="1" x14ac:dyDescent="0.2">
      <c r="A49" s="431">
        <v>42</v>
      </c>
      <c r="B49" s="245"/>
      <c r="C49" s="246">
        <v>2022</v>
      </c>
      <c r="D49" s="269" t="s">
        <v>590</v>
      </c>
      <c r="E49" s="294" t="s">
        <v>591</v>
      </c>
      <c r="F49" s="433">
        <v>7</v>
      </c>
      <c r="G49" s="433">
        <v>7.5</v>
      </c>
      <c r="H49" s="433">
        <v>7.5</v>
      </c>
      <c r="I49" s="433">
        <v>7</v>
      </c>
      <c r="J49" s="433">
        <v>7.5</v>
      </c>
      <c r="K49" s="433">
        <v>7.5</v>
      </c>
      <c r="L49" s="433">
        <v>7.5</v>
      </c>
      <c r="M49" s="433">
        <v>7.5</v>
      </c>
      <c r="N49" s="433">
        <v>8</v>
      </c>
      <c r="O49" s="433">
        <v>8</v>
      </c>
      <c r="P49" s="433">
        <v>8</v>
      </c>
      <c r="Q49" s="433">
        <v>8</v>
      </c>
      <c r="R49" s="433">
        <v>7</v>
      </c>
      <c r="S49" s="433">
        <v>6.5</v>
      </c>
      <c r="T49" s="433">
        <v>7</v>
      </c>
      <c r="U49" s="433">
        <v>8</v>
      </c>
      <c r="V49" s="433">
        <v>6.5</v>
      </c>
      <c r="W49" s="433">
        <v>8</v>
      </c>
      <c r="X49" s="433">
        <v>6.5</v>
      </c>
      <c r="Y49" s="433">
        <v>7</v>
      </c>
      <c r="Z49" s="243">
        <f t="shared" si="1"/>
        <v>7.375</v>
      </c>
      <c r="AA49" s="242"/>
      <c r="AB49" s="242"/>
      <c r="AC49" s="242"/>
      <c r="AD49" s="277">
        <f t="shared" si="4"/>
        <v>0</v>
      </c>
      <c r="AE49" s="277">
        <f t="shared" si="5"/>
        <v>3.6875</v>
      </c>
      <c r="AF49" s="660" t="s">
        <v>101</v>
      </c>
      <c r="AG49" s="273"/>
      <c r="AH49" s="263" t="s">
        <v>192</v>
      </c>
      <c r="AI49" s="181"/>
      <c r="AJ49" s="180">
        <f t="shared" si="0"/>
        <v>7.375</v>
      </c>
    </row>
    <row r="50" spans="1:36" s="7" customFormat="1" ht="18" customHeight="1" x14ac:dyDescent="0.2">
      <c r="A50" s="431">
        <v>43</v>
      </c>
      <c r="B50" s="245"/>
      <c r="C50" s="246">
        <v>2022</v>
      </c>
      <c r="D50" s="269" t="s">
        <v>592</v>
      </c>
      <c r="E50" s="294" t="s">
        <v>553</v>
      </c>
      <c r="F50" s="433">
        <v>7</v>
      </c>
      <c r="G50" s="433">
        <v>7</v>
      </c>
      <c r="H50" s="433">
        <v>7</v>
      </c>
      <c r="I50" s="433">
        <v>7</v>
      </c>
      <c r="J50" s="433">
        <v>8</v>
      </c>
      <c r="K50" s="433">
        <v>7.5</v>
      </c>
      <c r="L50" s="433">
        <v>7.5</v>
      </c>
      <c r="M50" s="433">
        <v>6.5</v>
      </c>
      <c r="N50" s="433">
        <v>7</v>
      </c>
      <c r="O50" s="433">
        <v>7.5</v>
      </c>
      <c r="P50" s="433">
        <v>7.5</v>
      </c>
      <c r="Q50" s="433">
        <v>6.5</v>
      </c>
      <c r="R50" s="433">
        <v>7.2</v>
      </c>
      <c r="S50" s="433">
        <v>7.5</v>
      </c>
      <c r="T50" s="433">
        <v>7</v>
      </c>
      <c r="U50" s="433">
        <v>7</v>
      </c>
      <c r="V50" s="433">
        <v>7</v>
      </c>
      <c r="W50" s="433">
        <v>7.5</v>
      </c>
      <c r="X50" s="433">
        <v>7.5</v>
      </c>
      <c r="Y50" s="433">
        <v>6.5</v>
      </c>
      <c r="Z50" s="243">
        <f t="shared" si="1"/>
        <v>7.1599999999999993</v>
      </c>
      <c r="AA50" s="242"/>
      <c r="AB50" s="242"/>
      <c r="AC50" s="242"/>
      <c r="AD50" s="277">
        <f t="shared" si="4"/>
        <v>0</v>
      </c>
      <c r="AE50" s="277">
        <f t="shared" si="5"/>
        <v>3.5799999999999996</v>
      </c>
      <c r="AF50" s="660" t="s">
        <v>101</v>
      </c>
      <c r="AG50" s="273"/>
      <c r="AH50" s="263" t="s">
        <v>184</v>
      </c>
      <c r="AI50" s="181"/>
      <c r="AJ50" s="180">
        <f t="shared" si="0"/>
        <v>7.1599999999999993</v>
      </c>
    </row>
    <row r="51" spans="1:36" s="7" customFormat="1" ht="18" customHeight="1" x14ac:dyDescent="0.2">
      <c r="A51" s="431">
        <v>44</v>
      </c>
      <c r="B51" s="245"/>
      <c r="C51" s="246">
        <v>2022</v>
      </c>
      <c r="D51" s="269" t="s">
        <v>593</v>
      </c>
      <c r="E51" s="299" t="s">
        <v>594</v>
      </c>
      <c r="F51" s="433">
        <v>7</v>
      </c>
      <c r="G51" s="433">
        <v>8</v>
      </c>
      <c r="H51" s="433">
        <v>7.5</v>
      </c>
      <c r="I51" s="433">
        <v>6</v>
      </c>
      <c r="J51" s="433">
        <v>8</v>
      </c>
      <c r="K51" s="433">
        <v>7.5</v>
      </c>
      <c r="L51" s="433">
        <v>8</v>
      </c>
      <c r="M51" s="433">
        <v>8</v>
      </c>
      <c r="N51" s="433">
        <v>8</v>
      </c>
      <c r="O51" s="433">
        <v>7</v>
      </c>
      <c r="P51" s="433">
        <v>8</v>
      </c>
      <c r="Q51" s="433">
        <v>8</v>
      </c>
      <c r="R51" s="433">
        <v>7.2</v>
      </c>
      <c r="S51" s="433">
        <v>7</v>
      </c>
      <c r="T51" s="433">
        <v>7</v>
      </c>
      <c r="U51" s="433">
        <v>8</v>
      </c>
      <c r="V51" s="433">
        <v>7</v>
      </c>
      <c r="W51" s="433">
        <v>8</v>
      </c>
      <c r="X51" s="433">
        <v>7</v>
      </c>
      <c r="Y51" s="433">
        <v>7</v>
      </c>
      <c r="Z51" s="243">
        <f t="shared" si="1"/>
        <v>7.4599999999999991</v>
      </c>
      <c r="AA51" s="242"/>
      <c r="AB51" s="242"/>
      <c r="AC51" s="242"/>
      <c r="AD51" s="277">
        <f t="shared" si="4"/>
        <v>0</v>
      </c>
      <c r="AE51" s="277">
        <f t="shared" si="5"/>
        <v>3.7299999999999995</v>
      </c>
      <c r="AF51" s="660" t="s">
        <v>101</v>
      </c>
      <c r="AG51" s="273"/>
      <c r="AH51" s="261" t="s">
        <v>174</v>
      </c>
      <c r="AI51" s="181"/>
      <c r="AJ51" s="180">
        <f t="shared" si="0"/>
        <v>7.4599999999999991</v>
      </c>
    </row>
    <row r="52" spans="1:36" s="7" customFormat="1" ht="18" customHeight="1" x14ac:dyDescent="0.2">
      <c r="A52" s="431">
        <v>45</v>
      </c>
      <c r="B52" s="245"/>
      <c r="C52" s="246">
        <v>2022</v>
      </c>
      <c r="D52" s="269" t="s">
        <v>595</v>
      </c>
      <c r="E52" s="299" t="s">
        <v>596</v>
      </c>
      <c r="F52" s="433">
        <v>8</v>
      </c>
      <c r="G52" s="433">
        <v>7.5</v>
      </c>
      <c r="H52" s="433">
        <v>8</v>
      </c>
      <c r="I52" s="433">
        <v>8</v>
      </c>
      <c r="J52" s="433">
        <v>7</v>
      </c>
      <c r="K52" s="433">
        <v>8</v>
      </c>
      <c r="L52" s="433">
        <v>7</v>
      </c>
      <c r="M52" s="433">
        <v>7</v>
      </c>
      <c r="N52" s="433">
        <v>7</v>
      </c>
      <c r="O52" s="433">
        <v>6.5</v>
      </c>
      <c r="P52" s="433">
        <v>7.5</v>
      </c>
      <c r="Q52" s="433">
        <v>7</v>
      </c>
      <c r="R52" s="433">
        <v>8.5</v>
      </c>
      <c r="S52" s="433">
        <v>7</v>
      </c>
      <c r="T52" s="433">
        <v>7</v>
      </c>
      <c r="U52" s="433">
        <v>7</v>
      </c>
      <c r="V52" s="433">
        <v>7</v>
      </c>
      <c r="W52" s="433">
        <v>7.5</v>
      </c>
      <c r="X52" s="433">
        <v>7</v>
      </c>
      <c r="Y52" s="433">
        <v>6.5</v>
      </c>
      <c r="Z52" s="243">
        <f t="shared" si="1"/>
        <v>7.3</v>
      </c>
      <c r="AA52" s="242"/>
      <c r="AB52" s="242"/>
      <c r="AC52" s="242"/>
      <c r="AD52" s="277"/>
      <c r="AE52" s="277"/>
      <c r="AF52" s="660" t="s">
        <v>101</v>
      </c>
      <c r="AG52" s="273"/>
      <c r="AH52" s="261" t="s">
        <v>17</v>
      </c>
      <c r="AI52" s="181"/>
      <c r="AJ52" s="180">
        <f t="shared" si="0"/>
        <v>7.3</v>
      </c>
    </row>
    <row r="53" spans="1:36" s="7" customFormat="1" ht="18" customHeight="1" x14ac:dyDescent="0.2">
      <c r="A53" s="431">
        <v>46</v>
      </c>
      <c r="B53" s="245"/>
      <c r="C53" s="246">
        <v>2022</v>
      </c>
      <c r="D53" s="269" t="s">
        <v>597</v>
      </c>
      <c r="E53" s="292" t="s">
        <v>598</v>
      </c>
      <c r="F53" s="433">
        <v>7</v>
      </c>
      <c r="G53" s="433">
        <v>6</v>
      </c>
      <c r="H53" s="433">
        <v>7</v>
      </c>
      <c r="I53" s="433">
        <v>7</v>
      </c>
      <c r="J53" s="433">
        <v>8</v>
      </c>
      <c r="K53" s="433">
        <v>7</v>
      </c>
      <c r="L53" s="433">
        <v>7</v>
      </c>
      <c r="M53" s="433">
        <v>7</v>
      </c>
      <c r="N53" s="433">
        <v>7</v>
      </c>
      <c r="O53" s="433">
        <v>7</v>
      </c>
      <c r="P53" s="433">
        <v>6.5</v>
      </c>
      <c r="Q53" s="433">
        <v>7</v>
      </c>
      <c r="R53" s="433">
        <v>7.8</v>
      </c>
      <c r="S53" s="433">
        <v>7.5</v>
      </c>
      <c r="T53" s="433">
        <v>7.5</v>
      </c>
      <c r="U53" s="433">
        <v>7</v>
      </c>
      <c r="V53" s="433">
        <v>7</v>
      </c>
      <c r="W53" s="433">
        <v>7</v>
      </c>
      <c r="X53" s="433">
        <v>8</v>
      </c>
      <c r="Y53" s="433">
        <v>7.5</v>
      </c>
      <c r="Z53" s="243">
        <f t="shared" si="1"/>
        <v>7.1400000000000006</v>
      </c>
      <c r="AA53" s="242"/>
      <c r="AB53" s="242"/>
      <c r="AC53" s="242"/>
      <c r="AD53" s="277"/>
      <c r="AE53" s="277"/>
      <c r="AF53" s="660" t="s">
        <v>101</v>
      </c>
      <c r="AG53" s="273"/>
      <c r="AH53" s="261" t="s">
        <v>186</v>
      </c>
      <c r="AI53" s="181"/>
      <c r="AJ53" s="180">
        <f t="shared" si="0"/>
        <v>7.1400000000000006</v>
      </c>
    </row>
    <row r="54" spans="1:36" s="7" customFormat="1" ht="18" customHeight="1" x14ac:dyDescent="0.2">
      <c r="A54" s="431">
        <v>47</v>
      </c>
      <c r="B54" s="245"/>
      <c r="C54" s="246">
        <v>2022</v>
      </c>
      <c r="D54" s="269" t="s">
        <v>599</v>
      </c>
      <c r="E54" s="292" t="s">
        <v>600</v>
      </c>
      <c r="F54" s="433">
        <v>7</v>
      </c>
      <c r="G54" s="433">
        <v>7.5</v>
      </c>
      <c r="H54" s="433">
        <v>8</v>
      </c>
      <c r="I54" s="433">
        <v>6</v>
      </c>
      <c r="J54" s="433">
        <v>7.5</v>
      </c>
      <c r="K54" s="433">
        <v>7.5</v>
      </c>
      <c r="L54" s="433">
        <v>6.5</v>
      </c>
      <c r="M54" s="433">
        <v>8</v>
      </c>
      <c r="N54" s="433">
        <v>8</v>
      </c>
      <c r="O54" s="433">
        <v>8</v>
      </c>
      <c r="P54" s="433">
        <v>7.5</v>
      </c>
      <c r="Q54" s="433">
        <v>8</v>
      </c>
      <c r="R54" s="433">
        <v>6.8</v>
      </c>
      <c r="S54" s="433">
        <v>7.5</v>
      </c>
      <c r="T54" s="433">
        <v>7.5</v>
      </c>
      <c r="U54" s="433">
        <v>6.5</v>
      </c>
      <c r="V54" s="433">
        <v>7</v>
      </c>
      <c r="W54" s="433">
        <v>8</v>
      </c>
      <c r="X54" s="433">
        <v>7.5</v>
      </c>
      <c r="Y54" s="433">
        <v>7.5</v>
      </c>
      <c r="Z54" s="243">
        <f t="shared" si="1"/>
        <v>7.3900000000000006</v>
      </c>
      <c r="AA54" s="242"/>
      <c r="AB54" s="242"/>
      <c r="AC54" s="242"/>
      <c r="AD54" s="277"/>
      <c r="AE54" s="277"/>
      <c r="AF54" s="660" t="s">
        <v>101</v>
      </c>
      <c r="AG54" s="273"/>
      <c r="AH54" s="261" t="s">
        <v>189</v>
      </c>
      <c r="AI54" s="181"/>
      <c r="AJ54" s="180">
        <f t="shared" si="0"/>
        <v>7.3900000000000006</v>
      </c>
    </row>
    <row r="55" spans="1:36" s="7" customFormat="1" ht="18" customHeight="1" x14ac:dyDescent="0.2">
      <c r="A55" s="431">
        <v>48</v>
      </c>
      <c r="B55" s="245"/>
      <c r="C55" s="246">
        <v>2022</v>
      </c>
      <c r="D55" s="269" t="s">
        <v>601</v>
      </c>
      <c r="E55" s="294" t="s">
        <v>602</v>
      </c>
      <c r="F55" s="433">
        <v>6.5</v>
      </c>
      <c r="G55" s="433">
        <v>6.5</v>
      </c>
      <c r="H55" s="433">
        <v>7.5</v>
      </c>
      <c r="I55" s="433">
        <v>7</v>
      </c>
      <c r="J55" s="433">
        <v>8</v>
      </c>
      <c r="K55" s="433">
        <v>7</v>
      </c>
      <c r="L55" s="433">
        <v>8</v>
      </c>
      <c r="M55" s="433">
        <v>7.5</v>
      </c>
      <c r="N55" s="433">
        <v>8</v>
      </c>
      <c r="O55" s="433">
        <v>7.5</v>
      </c>
      <c r="P55" s="433">
        <v>8</v>
      </c>
      <c r="Q55" s="433">
        <v>6.5</v>
      </c>
      <c r="R55" s="433">
        <v>7.6</v>
      </c>
      <c r="S55" s="433">
        <v>7</v>
      </c>
      <c r="T55" s="433">
        <v>8</v>
      </c>
      <c r="U55" s="433">
        <v>8</v>
      </c>
      <c r="V55" s="433">
        <v>7</v>
      </c>
      <c r="W55" s="433">
        <v>7</v>
      </c>
      <c r="X55" s="433">
        <v>7</v>
      </c>
      <c r="Y55" s="433">
        <v>6.5</v>
      </c>
      <c r="Z55" s="243">
        <f t="shared" si="1"/>
        <v>7.3049999999999997</v>
      </c>
      <c r="AA55" s="242"/>
      <c r="AB55" s="242"/>
      <c r="AC55" s="242"/>
      <c r="AD55" s="277"/>
      <c r="AE55" s="277"/>
      <c r="AF55" s="661" t="s">
        <v>2082</v>
      </c>
      <c r="AG55" s="273"/>
      <c r="AH55" s="261" t="s">
        <v>193</v>
      </c>
      <c r="AI55" s="181"/>
      <c r="AJ55" s="180">
        <f t="shared" si="0"/>
        <v>7.3049999999999997</v>
      </c>
    </row>
    <row r="56" spans="1:36" s="7" customFormat="1" ht="18" customHeight="1" x14ac:dyDescent="0.2">
      <c r="A56" s="431">
        <v>49</v>
      </c>
      <c r="B56" s="245"/>
      <c r="C56" s="246">
        <v>2022</v>
      </c>
      <c r="D56" s="269" t="s">
        <v>603</v>
      </c>
      <c r="E56" s="292" t="s">
        <v>604</v>
      </c>
      <c r="F56" s="433">
        <v>7</v>
      </c>
      <c r="G56" s="433">
        <v>7</v>
      </c>
      <c r="H56" s="433">
        <v>7</v>
      </c>
      <c r="I56" s="433">
        <v>7</v>
      </c>
      <c r="J56" s="433">
        <v>8</v>
      </c>
      <c r="K56" s="433">
        <v>8</v>
      </c>
      <c r="L56" s="433">
        <v>8</v>
      </c>
      <c r="M56" s="433">
        <v>8</v>
      </c>
      <c r="N56" s="433">
        <v>7.5</v>
      </c>
      <c r="O56" s="433">
        <v>7.5</v>
      </c>
      <c r="P56" s="433">
        <v>8</v>
      </c>
      <c r="Q56" s="433">
        <v>7</v>
      </c>
      <c r="R56" s="433">
        <v>8</v>
      </c>
      <c r="S56" s="433">
        <v>7</v>
      </c>
      <c r="T56" s="433">
        <v>6.5</v>
      </c>
      <c r="U56" s="433">
        <v>7.5</v>
      </c>
      <c r="V56" s="433">
        <v>7</v>
      </c>
      <c r="W56" s="433">
        <v>7</v>
      </c>
      <c r="X56" s="433">
        <v>7</v>
      </c>
      <c r="Y56" s="433">
        <v>7.5</v>
      </c>
      <c r="Z56" s="243">
        <f t="shared" si="1"/>
        <v>7.375</v>
      </c>
      <c r="AA56" s="242"/>
      <c r="AB56" s="242"/>
      <c r="AC56" s="242"/>
      <c r="AD56" s="277"/>
      <c r="AE56" s="277"/>
      <c r="AF56" s="660" t="s">
        <v>95</v>
      </c>
      <c r="AG56" s="273"/>
      <c r="AH56" s="261" t="s">
        <v>171</v>
      </c>
      <c r="AI56" s="181"/>
      <c r="AJ56" s="180">
        <f t="shared" si="0"/>
        <v>7.375</v>
      </c>
    </row>
    <row r="57" spans="1:36" s="7" customFormat="1" ht="18" customHeight="1" x14ac:dyDescent="0.2">
      <c r="A57" s="431">
        <v>50</v>
      </c>
      <c r="B57" s="245"/>
      <c r="C57" s="246">
        <v>2022</v>
      </c>
      <c r="D57" s="269" t="s">
        <v>605</v>
      </c>
      <c r="E57" s="302" t="s">
        <v>152</v>
      </c>
      <c r="F57" s="433">
        <v>7</v>
      </c>
      <c r="G57" s="433">
        <v>7</v>
      </c>
      <c r="H57" s="433">
        <v>7</v>
      </c>
      <c r="I57" s="433">
        <v>7</v>
      </c>
      <c r="J57" s="433">
        <v>7.5</v>
      </c>
      <c r="K57" s="433">
        <v>7.5</v>
      </c>
      <c r="L57" s="433">
        <v>7</v>
      </c>
      <c r="M57" s="433">
        <v>7.5</v>
      </c>
      <c r="N57" s="433">
        <v>7</v>
      </c>
      <c r="O57" s="433">
        <v>7.5</v>
      </c>
      <c r="P57" s="433">
        <v>7</v>
      </c>
      <c r="Q57" s="433">
        <v>7.5</v>
      </c>
      <c r="R57" s="433">
        <v>7.4</v>
      </c>
      <c r="S57" s="433">
        <v>8</v>
      </c>
      <c r="T57" s="433">
        <v>8</v>
      </c>
      <c r="U57" s="433">
        <v>6.5</v>
      </c>
      <c r="V57" s="433">
        <v>7.5</v>
      </c>
      <c r="W57" s="433">
        <v>7.5</v>
      </c>
      <c r="X57" s="433">
        <v>7.5</v>
      </c>
      <c r="Y57" s="433">
        <v>7</v>
      </c>
      <c r="Z57" s="243">
        <f t="shared" si="1"/>
        <v>7.2949999999999999</v>
      </c>
      <c r="AA57" s="242"/>
      <c r="AB57" s="242"/>
      <c r="AC57" s="242"/>
      <c r="AD57" s="277"/>
      <c r="AE57" s="277"/>
      <c r="AF57" s="660" t="s">
        <v>101</v>
      </c>
      <c r="AG57" s="273"/>
      <c r="AH57" s="261" t="s">
        <v>195</v>
      </c>
      <c r="AI57" s="181"/>
      <c r="AJ57" s="180">
        <f t="shared" si="0"/>
        <v>7.2949999999999999</v>
      </c>
    </row>
    <row r="58" spans="1:36" s="7" customFormat="1" ht="18" customHeight="1" x14ac:dyDescent="0.2">
      <c r="A58" s="431">
        <v>51</v>
      </c>
      <c r="B58" s="245"/>
      <c r="C58" s="246">
        <v>2022</v>
      </c>
      <c r="D58" s="304" t="s">
        <v>606</v>
      </c>
      <c r="E58" s="292" t="s">
        <v>607</v>
      </c>
      <c r="F58" s="433">
        <v>7</v>
      </c>
      <c r="G58" s="433">
        <v>7</v>
      </c>
      <c r="H58" s="433">
        <v>7</v>
      </c>
      <c r="I58" s="433">
        <v>6</v>
      </c>
      <c r="J58" s="433">
        <v>7.5</v>
      </c>
      <c r="K58" s="433">
        <v>7</v>
      </c>
      <c r="L58" s="433">
        <v>7</v>
      </c>
      <c r="M58" s="433">
        <v>8</v>
      </c>
      <c r="N58" s="433">
        <v>7</v>
      </c>
      <c r="O58" s="433">
        <v>7</v>
      </c>
      <c r="P58" s="433">
        <v>8</v>
      </c>
      <c r="Q58" s="433">
        <v>7.5</v>
      </c>
      <c r="R58" s="433">
        <v>7</v>
      </c>
      <c r="S58" s="433">
        <v>8</v>
      </c>
      <c r="T58" s="433">
        <v>7.5</v>
      </c>
      <c r="U58" s="433">
        <v>7</v>
      </c>
      <c r="V58" s="433">
        <v>6.5</v>
      </c>
      <c r="W58" s="433">
        <v>8</v>
      </c>
      <c r="X58" s="433">
        <v>7.5</v>
      </c>
      <c r="Y58" s="433">
        <v>7</v>
      </c>
      <c r="Z58" s="243">
        <f t="shared" si="1"/>
        <v>7.2249999999999996</v>
      </c>
      <c r="AA58" s="242"/>
      <c r="AB58" s="242"/>
      <c r="AC58" s="242"/>
      <c r="AD58" s="277"/>
      <c r="AE58" s="277"/>
      <c r="AF58" s="660" t="s">
        <v>101</v>
      </c>
      <c r="AG58" s="273"/>
      <c r="AH58" s="261" t="s">
        <v>193</v>
      </c>
      <c r="AI58" s="181"/>
      <c r="AJ58" s="180">
        <f t="shared" si="0"/>
        <v>7.2249999999999996</v>
      </c>
    </row>
    <row r="59" spans="1:36" s="7" customFormat="1" ht="18" customHeight="1" x14ac:dyDescent="0.2">
      <c r="A59" s="431">
        <v>52</v>
      </c>
      <c r="B59" s="245"/>
      <c r="C59" s="246">
        <v>2022</v>
      </c>
      <c r="D59" s="304" t="s">
        <v>608</v>
      </c>
      <c r="E59" s="292" t="s">
        <v>609</v>
      </c>
      <c r="F59" s="433">
        <v>6.5</v>
      </c>
      <c r="G59" s="433">
        <v>7.5</v>
      </c>
      <c r="H59" s="433">
        <v>8</v>
      </c>
      <c r="I59" s="433">
        <v>7</v>
      </c>
      <c r="J59" s="433">
        <v>7.5</v>
      </c>
      <c r="K59" s="433">
        <v>8</v>
      </c>
      <c r="L59" s="433">
        <v>7.5</v>
      </c>
      <c r="M59" s="433">
        <v>8</v>
      </c>
      <c r="N59" s="433">
        <v>7.5</v>
      </c>
      <c r="O59" s="433">
        <v>8</v>
      </c>
      <c r="P59" s="433">
        <v>7</v>
      </c>
      <c r="Q59" s="433">
        <v>8</v>
      </c>
      <c r="R59" s="433">
        <v>7.4</v>
      </c>
      <c r="S59" s="433">
        <v>7</v>
      </c>
      <c r="T59" s="433">
        <v>8</v>
      </c>
      <c r="U59" s="433">
        <v>7</v>
      </c>
      <c r="V59" s="433">
        <v>6.5</v>
      </c>
      <c r="W59" s="433">
        <v>7</v>
      </c>
      <c r="X59" s="433">
        <v>7</v>
      </c>
      <c r="Y59" s="433">
        <v>7</v>
      </c>
      <c r="Z59" s="243">
        <f t="shared" si="1"/>
        <v>7.37</v>
      </c>
      <c r="AA59" s="242"/>
      <c r="AB59" s="242"/>
      <c r="AC59" s="242"/>
      <c r="AD59" s="277"/>
      <c r="AE59" s="277"/>
      <c r="AF59" s="660" t="s">
        <v>101</v>
      </c>
      <c r="AG59" s="273"/>
      <c r="AH59" s="261" t="s">
        <v>194</v>
      </c>
      <c r="AI59" s="181"/>
      <c r="AJ59" s="180">
        <f t="shared" si="0"/>
        <v>7.37</v>
      </c>
    </row>
    <row r="60" spans="1:36" s="7" customFormat="1" ht="18" customHeight="1" x14ac:dyDescent="0.2">
      <c r="A60" s="431">
        <v>53</v>
      </c>
      <c r="B60" s="245"/>
      <c r="C60" s="246">
        <v>2022</v>
      </c>
      <c r="D60" s="269" t="s">
        <v>610</v>
      </c>
      <c r="E60" s="292" t="s">
        <v>611</v>
      </c>
      <c r="F60" s="433">
        <v>7</v>
      </c>
      <c r="G60" s="433">
        <v>7.5</v>
      </c>
      <c r="H60" s="433">
        <v>7</v>
      </c>
      <c r="I60" s="433">
        <v>7</v>
      </c>
      <c r="J60" s="433">
        <v>8</v>
      </c>
      <c r="K60" s="433">
        <v>8</v>
      </c>
      <c r="L60" s="433">
        <v>7</v>
      </c>
      <c r="M60" s="433">
        <v>7.5</v>
      </c>
      <c r="N60" s="433">
        <v>6.5</v>
      </c>
      <c r="O60" s="433">
        <v>7</v>
      </c>
      <c r="P60" s="433">
        <v>7</v>
      </c>
      <c r="Q60" s="433">
        <v>6.5</v>
      </c>
      <c r="R60" s="433">
        <v>8.1999999999999993</v>
      </c>
      <c r="S60" s="433">
        <v>7.5</v>
      </c>
      <c r="T60" s="433">
        <v>7</v>
      </c>
      <c r="U60" s="433">
        <v>6.5</v>
      </c>
      <c r="V60" s="433">
        <v>7</v>
      </c>
      <c r="W60" s="433">
        <v>7.5</v>
      </c>
      <c r="X60" s="433">
        <v>7.5</v>
      </c>
      <c r="Y60" s="433">
        <v>7.5</v>
      </c>
      <c r="Z60" s="243">
        <f t="shared" si="1"/>
        <v>7.2349999999999994</v>
      </c>
      <c r="AA60" s="242"/>
      <c r="AB60" s="242"/>
      <c r="AC60" s="242"/>
      <c r="AD60" s="277"/>
      <c r="AE60" s="277"/>
      <c r="AF60" s="660" t="s">
        <v>101</v>
      </c>
      <c r="AG60" s="273"/>
      <c r="AH60" s="261" t="s">
        <v>182</v>
      </c>
      <c r="AI60" s="181"/>
      <c r="AJ60" s="180">
        <f t="shared" si="0"/>
        <v>7.2349999999999994</v>
      </c>
    </row>
    <row r="61" spans="1:36" s="7" customFormat="1" ht="18" customHeight="1" x14ac:dyDescent="0.2">
      <c r="A61" s="431">
        <v>54</v>
      </c>
      <c r="B61" s="245"/>
      <c r="C61" s="246">
        <v>2022</v>
      </c>
      <c r="D61" s="269" t="s">
        <v>664</v>
      </c>
      <c r="E61" s="299" t="s">
        <v>612</v>
      </c>
      <c r="F61" s="433">
        <v>7</v>
      </c>
      <c r="G61" s="433">
        <v>6.5</v>
      </c>
      <c r="H61" s="433">
        <v>6.5</v>
      </c>
      <c r="I61" s="433">
        <v>6</v>
      </c>
      <c r="J61" s="433">
        <v>7</v>
      </c>
      <c r="K61" s="433">
        <v>7</v>
      </c>
      <c r="L61" s="433">
        <v>8</v>
      </c>
      <c r="M61" s="433">
        <v>7.5</v>
      </c>
      <c r="N61" s="433">
        <v>7.5</v>
      </c>
      <c r="O61" s="433">
        <v>8</v>
      </c>
      <c r="P61" s="433">
        <v>8</v>
      </c>
      <c r="Q61" s="433">
        <v>7</v>
      </c>
      <c r="R61" s="433">
        <v>7</v>
      </c>
      <c r="S61" s="433">
        <v>7.5</v>
      </c>
      <c r="T61" s="433">
        <v>7</v>
      </c>
      <c r="U61" s="433">
        <v>7</v>
      </c>
      <c r="V61" s="433">
        <v>7</v>
      </c>
      <c r="W61" s="433">
        <v>7.5</v>
      </c>
      <c r="X61" s="433">
        <v>7</v>
      </c>
      <c r="Y61" s="433">
        <v>7.5</v>
      </c>
      <c r="Z61" s="243">
        <f t="shared" si="1"/>
        <v>7.1749999999999998</v>
      </c>
      <c r="AA61" s="242"/>
      <c r="AB61" s="242"/>
      <c r="AC61" s="242"/>
      <c r="AD61" s="277"/>
      <c r="AE61" s="277"/>
      <c r="AF61" s="660" t="s">
        <v>101</v>
      </c>
      <c r="AG61" s="273"/>
      <c r="AH61" s="261" t="s">
        <v>200</v>
      </c>
      <c r="AI61" s="181"/>
      <c r="AJ61" s="180">
        <f t="shared" si="0"/>
        <v>7.1749999999999998</v>
      </c>
    </row>
    <row r="62" spans="1:36" s="7" customFormat="1" ht="18" customHeight="1" x14ac:dyDescent="0.2">
      <c r="A62" s="431">
        <v>55</v>
      </c>
      <c r="B62" s="245"/>
      <c r="C62" s="246">
        <v>2022</v>
      </c>
      <c r="D62" s="269" t="s">
        <v>613</v>
      </c>
      <c r="E62" s="294" t="s">
        <v>614</v>
      </c>
      <c r="F62" s="433">
        <v>7</v>
      </c>
      <c r="G62" s="433">
        <v>7</v>
      </c>
      <c r="H62" s="433">
        <v>7</v>
      </c>
      <c r="I62" s="433">
        <v>6</v>
      </c>
      <c r="J62" s="433">
        <v>7.5</v>
      </c>
      <c r="K62" s="433">
        <v>8</v>
      </c>
      <c r="L62" s="433">
        <v>7.5</v>
      </c>
      <c r="M62" s="433">
        <v>7.5</v>
      </c>
      <c r="N62" s="433">
        <v>7.5</v>
      </c>
      <c r="O62" s="433">
        <v>7.5</v>
      </c>
      <c r="P62" s="433">
        <v>8</v>
      </c>
      <c r="Q62" s="433">
        <v>8</v>
      </c>
      <c r="R62" s="433">
        <v>7</v>
      </c>
      <c r="S62" s="433">
        <v>7</v>
      </c>
      <c r="T62" s="433">
        <v>8</v>
      </c>
      <c r="U62" s="433">
        <v>8</v>
      </c>
      <c r="V62" s="433">
        <v>6.5</v>
      </c>
      <c r="W62" s="433">
        <v>8</v>
      </c>
      <c r="X62" s="433">
        <v>7</v>
      </c>
      <c r="Y62" s="433">
        <v>7</v>
      </c>
      <c r="Z62" s="243">
        <f t="shared" si="1"/>
        <v>7.35</v>
      </c>
      <c r="AA62" s="242"/>
      <c r="AB62" s="242"/>
      <c r="AC62" s="242"/>
      <c r="AD62" s="277"/>
      <c r="AE62" s="277"/>
      <c r="AF62" s="660" t="s">
        <v>101</v>
      </c>
      <c r="AG62" s="273"/>
      <c r="AH62" s="261" t="s">
        <v>183</v>
      </c>
      <c r="AI62" s="181"/>
      <c r="AJ62" s="180">
        <f t="shared" si="0"/>
        <v>7.35</v>
      </c>
    </row>
    <row r="63" spans="1:36" s="7" customFormat="1" ht="18" customHeight="1" x14ac:dyDescent="0.2">
      <c r="A63" s="431">
        <v>56</v>
      </c>
      <c r="B63" s="245"/>
      <c r="C63" s="246">
        <v>2022</v>
      </c>
      <c r="D63" s="269" t="s">
        <v>615</v>
      </c>
      <c r="E63" s="294" t="s">
        <v>616</v>
      </c>
      <c r="F63" s="433">
        <v>7</v>
      </c>
      <c r="G63" s="433">
        <v>8</v>
      </c>
      <c r="H63" s="433">
        <v>7.5</v>
      </c>
      <c r="I63" s="433">
        <v>6</v>
      </c>
      <c r="J63" s="433">
        <v>8</v>
      </c>
      <c r="K63" s="433">
        <v>7</v>
      </c>
      <c r="L63" s="433">
        <v>7.5</v>
      </c>
      <c r="M63" s="433">
        <v>8</v>
      </c>
      <c r="N63" s="433">
        <v>8</v>
      </c>
      <c r="O63" s="433">
        <v>7.5</v>
      </c>
      <c r="P63" s="433">
        <v>7.5</v>
      </c>
      <c r="Q63" s="433">
        <v>7</v>
      </c>
      <c r="R63" s="433">
        <v>7.2</v>
      </c>
      <c r="S63" s="433">
        <v>8</v>
      </c>
      <c r="T63" s="433">
        <v>8</v>
      </c>
      <c r="U63" s="433">
        <v>8</v>
      </c>
      <c r="V63" s="433">
        <v>7</v>
      </c>
      <c r="W63" s="433">
        <v>8</v>
      </c>
      <c r="X63" s="433">
        <v>8</v>
      </c>
      <c r="Y63" s="433">
        <v>7</v>
      </c>
      <c r="Z63" s="243">
        <f t="shared" si="1"/>
        <v>7.51</v>
      </c>
      <c r="AA63" s="242"/>
      <c r="AB63" s="242"/>
      <c r="AC63" s="242"/>
      <c r="AD63" s="277"/>
      <c r="AE63" s="277"/>
      <c r="AF63" s="660" t="s">
        <v>101</v>
      </c>
      <c r="AG63" s="273"/>
      <c r="AH63" s="261" t="s">
        <v>178</v>
      </c>
      <c r="AI63" s="181"/>
      <c r="AJ63" s="180">
        <f t="shared" si="0"/>
        <v>7.51</v>
      </c>
    </row>
    <row r="64" spans="1:36" s="7" customFormat="1" ht="18" customHeight="1" x14ac:dyDescent="0.2">
      <c r="A64" s="431">
        <v>57</v>
      </c>
      <c r="B64" s="245"/>
      <c r="C64" s="246">
        <v>2022</v>
      </c>
      <c r="D64" s="269" t="s">
        <v>617</v>
      </c>
      <c r="E64" s="294" t="s">
        <v>618</v>
      </c>
      <c r="F64" s="433">
        <v>8</v>
      </c>
      <c r="G64" s="433">
        <v>8</v>
      </c>
      <c r="H64" s="433">
        <v>8</v>
      </c>
      <c r="I64" s="433">
        <v>8</v>
      </c>
      <c r="J64" s="433">
        <v>8</v>
      </c>
      <c r="K64" s="433">
        <v>8</v>
      </c>
      <c r="L64" s="433">
        <v>8</v>
      </c>
      <c r="M64" s="433">
        <v>7.5</v>
      </c>
      <c r="N64" s="433">
        <v>8</v>
      </c>
      <c r="O64" s="433">
        <v>8</v>
      </c>
      <c r="P64" s="433">
        <v>8</v>
      </c>
      <c r="Q64" s="433">
        <v>8</v>
      </c>
      <c r="R64" s="433">
        <v>8</v>
      </c>
      <c r="S64" s="433">
        <v>7.5</v>
      </c>
      <c r="T64" s="433">
        <v>8</v>
      </c>
      <c r="U64" s="433">
        <v>8</v>
      </c>
      <c r="V64" s="433">
        <v>8</v>
      </c>
      <c r="W64" s="433">
        <v>8</v>
      </c>
      <c r="X64" s="433">
        <v>8.5</v>
      </c>
      <c r="Y64" s="433">
        <v>8</v>
      </c>
      <c r="Z64" s="243">
        <f t="shared" si="1"/>
        <v>7.9749999999999996</v>
      </c>
      <c r="AA64" s="242"/>
      <c r="AB64" s="242"/>
      <c r="AC64" s="242"/>
      <c r="AD64" s="277"/>
      <c r="AE64" s="277"/>
      <c r="AF64" s="660" t="s">
        <v>101</v>
      </c>
      <c r="AG64" s="273"/>
      <c r="AH64" s="261" t="s">
        <v>193</v>
      </c>
      <c r="AI64" s="181"/>
      <c r="AJ64" s="180">
        <f t="shared" si="0"/>
        <v>7.9749999999999996</v>
      </c>
    </row>
    <row r="65" spans="1:36" s="7" customFormat="1" ht="18" customHeight="1" x14ac:dyDescent="0.2">
      <c r="A65" s="431">
        <v>58</v>
      </c>
      <c r="B65" s="245"/>
      <c r="C65" s="246">
        <v>2022</v>
      </c>
      <c r="D65" s="269" t="s">
        <v>619</v>
      </c>
      <c r="E65" s="294" t="s">
        <v>620</v>
      </c>
      <c r="F65" s="433">
        <v>6.5</v>
      </c>
      <c r="G65" s="433">
        <v>7.5</v>
      </c>
      <c r="H65" s="433">
        <v>6.5</v>
      </c>
      <c r="I65" s="433">
        <v>6</v>
      </c>
      <c r="J65" s="433">
        <v>7.5</v>
      </c>
      <c r="K65" s="433">
        <v>7</v>
      </c>
      <c r="L65" s="433">
        <v>7</v>
      </c>
      <c r="M65" s="433">
        <v>6.5</v>
      </c>
      <c r="N65" s="433">
        <v>7</v>
      </c>
      <c r="O65" s="433">
        <v>6.5</v>
      </c>
      <c r="P65" s="433">
        <v>7.5</v>
      </c>
      <c r="Q65" s="433">
        <v>7.5</v>
      </c>
      <c r="R65" s="433">
        <v>7.6</v>
      </c>
      <c r="S65" s="433">
        <v>7</v>
      </c>
      <c r="T65" s="433">
        <v>7.5</v>
      </c>
      <c r="U65" s="433">
        <v>7</v>
      </c>
      <c r="V65" s="433">
        <v>6</v>
      </c>
      <c r="W65" s="433">
        <v>6.5</v>
      </c>
      <c r="X65" s="433">
        <v>8</v>
      </c>
      <c r="Y65" s="433">
        <v>7</v>
      </c>
      <c r="Z65" s="659">
        <f t="shared" si="1"/>
        <v>6.9799999999999995</v>
      </c>
      <c r="AA65" s="242"/>
      <c r="AB65" s="242"/>
      <c r="AC65" s="242"/>
      <c r="AD65" s="277"/>
      <c r="AE65" s="277"/>
      <c r="AF65" s="660" t="s">
        <v>95</v>
      </c>
      <c r="AG65" s="273"/>
      <c r="AH65" s="261" t="s">
        <v>193</v>
      </c>
      <c r="AI65" s="181"/>
      <c r="AJ65" s="628">
        <f t="shared" si="0"/>
        <v>6.9799999999999995</v>
      </c>
    </row>
    <row r="66" spans="1:36" s="7" customFormat="1" ht="18" customHeight="1" x14ac:dyDescent="0.2">
      <c r="A66" s="431">
        <v>59</v>
      </c>
      <c r="B66" s="245"/>
      <c r="C66" s="246">
        <v>2022</v>
      </c>
      <c r="D66" s="269" t="s">
        <v>621</v>
      </c>
      <c r="E66" s="294" t="s">
        <v>281</v>
      </c>
      <c r="F66" s="433">
        <v>6.5</v>
      </c>
      <c r="G66" s="433">
        <v>7.5</v>
      </c>
      <c r="H66" s="433">
        <v>6</v>
      </c>
      <c r="I66" s="433">
        <v>6</v>
      </c>
      <c r="J66" s="433">
        <v>8</v>
      </c>
      <c r="K66" s="433">
        <v>8</v>
      </c>
      <c r="L66" s="433">
        <v>8</v>
      </c>
      <c r="M66" s="433">
        <v>7.5</v>
      </c>
      <c r="N66" s="433">
        <v>7.5</v>
      </c>
      <c r="O66" s="433">
        <v>8</v>
      </c>
      <c r="P66" s="433">
        <v>7.5</v>
      </c>
      <c r="Q66" s="433">
        <v>7</v>
      </c>
      <c r="R66" s="433">
        <v>8.1999999999999993</v>
      </c>
      <c r="S66" s="433">
        <v>7</v>
      </c>
      <c r="T66" s="433">
        <v>8</v>
      </c>
      <c r="U66" s="433">
        <v>7</v>
      </c>
      <c r="V66" s="433">
        <v>7.5</v>
      </c>
      <c r="W66" s="433">
        <v>8</v>
      </c>
      <c r="X66" s="433">
        <v>7</v>
      </c>
      <c r="Y66" s="433">
        <v>7</v>
      </c>
      <c r="Z66" s="243">
        <f t="shared" si="1"/>
        <v>7.3599999999999994</v>
      </c>
      <c r="AA66" s="242"/>
      <c r="AB66" s="242"/>
      <c r="AC66" s="242"/>
      <c r="AD66" s="277"/>
      <c r="AE66" s="277"/>
      <c r="AF66" s="660" t="s">
        <v>101</v>
      </c>
      <c r="AG66" s="273"/>
      <c r="AH66" s="261" t="s">
        <v>176</v>
      </c>
      <c r="AI66" s="181"/>
      <c r="AJ66" s="180">
        <f t="shared" si="0"/>
        <v>7.3599999999999994</v>
      </c>
    </row>
    <row r="67" spans="1:36" s="7" customFormat="1" ht="18" customHeight="1" x14ac:dyDescent="0.2">
      <c r="A67" s="431">
        <v>60</v>
      </c>
      <c r="B67" s="245"/>
      <c r="C67" s="246">
        <v>2022</v>
      </c>
      <c r="D67" s="269" t="s">
        <v>622</v>
      </c>
      <c r="E67" s="294" t="s">
        <v>152</v>
      </c>
      <c r="F67" s="433">
        <v>7</v>
      </c>
      <c r="G67" s="433">
        <v>7</v>
      </c>
      <c r="H67" s="433">
        <v>7.5</v>
      </c>
      <c r="I67" s="433">
        <v>7</v>
      </c>
      <c r="J67" s="433">
        <v>8</v>
      </c>
      <c r="K67" s="433">
        <v>8</v>
      </c>
      <c r="L67" s="433">
        <v>8</v>
      </c>
      <c r="M67" s="433">
        <v>8</v>
      </c>
      <c r="N67" s="433">
        <v>8</v>
      </c>
      <c r="O67" s="433">
        <v>7.5</v>
      </c>
      <c r="P67" s="433">
        <v>8</v>
      </c>
      <c r="Q67" s="433">
        <v>7</v>
      </c>
      <c r="R67" s="433">
        <v>7.8</v>
      </c>
      <c r="S67" s="433">
        <v>6.5</v>
      </c>
      <c r="T67" s="433">
        <v>7.5</v>
      </c>
      <c r="U67" s="433">
        <v>8</v>
      </c>
      <c r="V67" s="433">
        <v>6</v>
      </c>
      <c r="W67" s="433">
        <v>8</v>
      </c>
      <c r="X67" s="433">
        <v>7</v>
      </c>
      <c r="Y67" s="433">
        <v>7</v>
      </c>
      <c r="Z67" s="243">
        <f t="shared" si="1"/>
        <v>7.44</v>
      </c>
      <c r="AA67" s="242"/>
      <c r="AB67" s="242"/>
      <c r="AC67" s="242"/>
      <c r="AD67" s="277"/>
      <c r="AE67" s="277"/>
      <c r="AF67" s="660" t="s">
        <v>101</v>
      </c>
      <c r="AG67" s="273"/>
      <c r="AH67" s="261" t="s">
        <v>217</v>
      </c>
      <c r="AI67" s="181"/>
      <c r="AJ67" s="180">
        <f t="shared" si="0"/>
        <v>7.44</v>
      </c>
    </row>
    <row r="68" spans="1:36" s="7" customFormat="1" ht="18" customHeight="1" x14ac:dyDescent="0.2">
      <c r="A68" s="431">
        <v>61</v>
      </c>
      <c r="B68" s="245"/>
      <c r="C68" s="246">
        <v>2022</v>
      </c>
      <c r="D68" s="269" t="s">
        <v>623</v>
      </c>
      <c r="E68" s="294" t="s">
        <v>624</v>
      </c>
      <c r="F68" s="433">
        <v>7</v>
      </c>
      <c r="G68" s="433">
        <v>7.5</v>
      </c>
      <c r="H68" s="433">
        <v>7</v>
      </c>
      <c r="I68" s="433">
        <v>7</v>
      </c>
      <c r="J68" s="433">
        <v>8</v>
      </c>
      <c r="K68" s="433">
        <v>7.5</v>
      </c>
      <c r="L68" s="433">
        <v>7.5</v>
      </c>
      <c r="M68" s="433">
        <v>7.5</v>
      </c>
      <c r="N68" s="433">
        <v>7.5</v>
      </c>
      <c r="O68" s="433">
        <v>7</v>
      </c>
      <c r="P68" s="433">
        <v>7.5</v>
      </c>
      <c r="Q68" s="433">
        <v>7</v>
      </c>
      <c r="R68" s="433">
        <v>7.2</v>
      </c>
      <c r="S68" s="433">
        <v>7.5</v>
      </c>
      <c r="T68" s="433">
        <v>7</v>
      </c>
      <c r="U68" s="433">
        <v>7</v>
      </c>
      <c r="V68" s="433">
        <v>6</v>
      </c>
      <c r="W68" s="433">
        <v>8</v>
      </c>
      <c r="X68" s="433">
        <v>7.5</v>
      </c>
      <c r="Y68" s="433">
        <v>7</v>
      </c>
      <c r="Z68" s="243">
        <f t="shared" si="1"/>
        <v>7.26</v>
      </c>
      <c r="AA68" s="242"/>
      <c r="AB68" s="242"/>
      <c r="AC68" s="242"/>
      <c r="AD68" s="277"/>
      <c r="AE68" s="277"/>
      <c r="AF68" s="660" t="s">
        <v>101</v>
      </c>
      <c r="AG68" s="273"/>
      <c r="AH68" s="261" t="s">
        <v>192</v>
      </c>
      <c r="AI68" s="181"/>
      <c r="AJ68" s="180">
        <f t="shared" si="0"/>
        <v>7.26</v>
      </c>
    </row>
    <row r="69" spans="1:36" s="7" customFormat="1" ht="18" customHeight="1" x14ac:dyDescent="0.2">
      <c r="A69" s="431">
        <v>62</v>
      </c>
      <c r="B69" s="245"/>
      <c r="C69" s="246">
        <v>2022</v>
      </c>
      <c r="D69" s="269" t="s">
        <v>625</v>
      </c>
      <c r="E69" s="294" t="s">
        <v>626</v>
      </c>
      <c r="F69" s="433">
        <v>7</v>
      </c>
      <c r="G69" s="433">
        <v>7</v>
      </c>
      <c r="H69" s="433">
        <v>7</v>
      </c>
      <c r="I69" s="433">
        <v>7</v>
      </c>
      <c r="J69" s="433">
        <v>8</v>
      </c>
      <c r="K69" s="433">
        <v>7.5</v>
      </c>
      <c r="L69" s="433">
        <v>6.5</v>
      </c>
      <c r="M69" s="433">
        <v>7</v>
      </c>
      <c r="N69" s="433">
        <v>8</v>
      </c>
      <c r="O69" s="433">
        <v>7.5</v>
      </c>
      <c r="P69" s="433">
        <v>7</v>
      </c>
      <c r="Q69" s="433">
        <v>7</v>
      </c>
      <c r="R69" s="433">
        <v>6.8</v>
      </c>
      <c r="S69" s="433">
        <v>7.5</v>
      </c>
      <c r="T69" s="433">
        <v>7</v>
      </c>
      <c r="U69" s="433">
        <v>7.5</v>
      </c>
      <c r="V69" s="433">
        <v>7</v>
      </c>
      <c r="W69" s="433">
        <v>7.5</v>
      </c>
      <c r="X69" s="433">
        <v>7</v>
      </c>
      <c r="Y69" s="433">
        <v>7</v>
      </c>
      <c r="Z69" s="243">
        <f t="shared" si="1"/>
        <v>7.19</v>
      </c>
      <c r="AA69" s="242"/>
      <c r="AB69" s="242"/>
      <c r="AC69" s="242"/>
      <c r="AD69" s="277"/>
      <c r="AE69" s="277"/>
      <c r="AF69" s="660" t="s">
        <v>101</v>
      </c>
      <c r="AG69" s="273"/>
      <c r="AH69" s="261" t="s">
        <v>182</v>
      </c>
      <c r="AI69" s="181"/>
      <c r="AJ69" s="180">
        <f t="shared" si="0"/>
        <v>7.19</v>
      </c>
    </row>
    <row r="70" spans="1:36" s="7" customFormat="1" ht="18" customHeight="1" x14ac:dyDescent="0.2">
      <c r="A70" s="431">
        <v>63</v>
      </c>
      <c r="B70" s="245"/>
      <c r="C70" s="246">
        <v>2022</v>
      </c>
      <c r="D70" s="269" t="s">
        <v>627</v>
      </c>
      <c r="E70" s="294" t="s">
        <v>628</v>
      </c>
      <c r="F70" s="433">
        <v>7.5</v>
      </c>
      <c r="G70" s="433">
        <v>7.5</v>
      </c>
      <c r="H70" s="433">
        <v>7.5</v>
      </c>
      <c r="I70" s="433">
        <v>7</v>
      </c>
      <c r="J70" s="433">
        <v>8</v>
      </c>
      <c r="K70" s="433">
        <v>7</v>
      </c>
      <c r="L70" s="433">
        <v>8</v>
      </c>
      <c r="M70" s="433">
        <v>7</v>
      </c>
      <c r="N70" s="433">
        <v>7</v>
      </c>
      <c r="O70" s="433">
        <v>8</v>
      </c>
      <c r="P70" s="433">
        <v>8</v>
      </c>
      <c r="Q70" s="433">
        <v>8</v>
      </c>
      <c r="R70" s="433">
        <v>7</v>
      </c>
      <c r="S70" s="433">
        <v>6.5</v>
      </c>
      <c r="T70" s="433">
        <v>7</v>
      </c>
      <c r="U70" s="433">
        <v>7</v>
      </c>
      <c r="V70" s="433">
        <v>7</v>
      </c>
      <c r="W70" s="433">
        <v>8</v>
      </c>
      <c r="X70" s="433">
        <v>6.5</v>
      </c>
      <c r="Y70" s="433">
        <v>7.5</v>
      </c>
      <c r="Z70" s="243">
        <f t="shared" si="1"/>
        <v>7.35</v>
      </c>
      <c r="AA70" s="242"/>
      <c r="AB70" s="242"/>
      <c r="AC70" s="242"/>
      <c r="AD70" s="277"/>
      <c r="AE70" s="277"/>
      <c r="AF70" s="660" t="s">
        <v>101</v>
      </c>
      <c r="AG70" s="273"/>
      <c r="AH70" s="261" t="s">
        <v>195</v>
      </c>
      <c r="AI70" s="181"/>
      <c r="AJ70" s="180">
        <f t="shared" si="0"/>
        <v>7.35</v>
      </c>
    </row>
    <row r="71" spans="1:36" s="7" customFormat="1" ht="18" customHeight="1" x14ac:dyDescent="0.2">
      <c r="A71" s="431">
        <v>64</v>
      </c>
      <c r="B71" s="245"/>
      <c r="C71" s="246">
        <v>2022</v>
      </c>
      <c r="D71" s="269" t="s">
        <v>631</v>
      </c>
      <c r="E71" s="294" t="s">
        <v>632</v>
      </c>
      <c r="F71" s="433">
        <v>7.5</v>
      </c>
      <c r="G71" s="433">
        <v>7.5</v>
      </c>
      <c r="H71" s="433">
        <v>7</v>
      </c>
      <c r="I71" s="433">
        <v>6</v>
      </c>
      <c r="J71" s="433">
        <v>8</v>
      </c>
      <c r="K71" s="433">
        <v>8</v>
      </c>
      <c r="L71" s="433">
        <v>8</v>
      </c>
      <c r="M71" s="433">
        <v>6.5</v>
      </c>
      <c r="N71" s="433">
        <v>8</v>
      </c>
      <c r="O71" s="433">
        <v>7.5</v>
      </c>
      <c r="P71" s="433">
        <v>7</v>
      </c>
      <c r="Q71" s="433">
        <v>7.5</v>
      </c>
      <c r="R71" s="433">
        <v>8</v>
      </c>
      <c r="S71" s="433">
        <v>7</v>
      </c>
      <c r="T71" s="433">
        <v>7.5</v>
      </c>
      <c r="U71" s="433">
        <v>6.5</v>
      </c>
      <c r="V71" s="433">
        <v>7</v>
      </c>
      <c r="W71" s="433">
        <v>7.5</v>
      </c>
      <c r="X71" s="433">
        <v>6.5</v>
      </c>
      <c r="Y71" s="433">
        <v>7</v>
      </c>
      <c r="Z71" s="243">
        <f t="shared" si="1"/>
        <v>7.2750000000000004</v>
      </c>
      <c r="AA71" s="242"/>
      <c r="AB71" s="242"/>
      <c r="AC71" s="242"/>
      <c r="AD71" s="277"/>
      <c r="AE71" s="277"/>
      <c r="AF71" s="660" t="s">
        <v>101</v>
      </c>
      <c r="AG71" s="273"/>
      <c r="AH71" s="261" t="s">
        <v>268</v>
      </c>
      <c r="AI71" s="181"/>
      <c r="AJ71" s="180">
        <f t="shared" si="0"/>
        <v>7.2750000000000004</v>
      </c>
    </row>
    <row r="72" spans="1:36" s="7" customFormat="1" ht="18" customHeight="1" x14ac:dyDescent="0.2">
      <c r="A72" s="431">
        <v>65</v>
      </c>
      <c r="B72" s="245"/>
      <c r="C72" s="246">
        <v>2022</v>
      </c>
      <c r="D72" s="269" t="s">
        <v>633</v>
      </c>
      <c r="E72" s="294" t="s">
        <v>251</v>
      </c>
      <c r="F72" s="658">
        <v>7</v>
      </c>
      <c r="G72" s="433">
        <v>7</v>
      </c>
      <c r="H72" s="656">
        <v>7</v>
      </c>
      <c r="I72" s="433">
        <v>6</v>
      </c>
      <c r="J72" s="433">
        <v>7.5</v>
      </c>
      <c r="K72" s="433">
        <v>8</v>
      </c>
      <c r="L72" s="433">
        <v>7</v>
      </c>
      <c r="M72" s="433">
        <v>8</v>
      </c>
      <c r="N72" s="433">
        <v>7.5</v>
      </c>
      <c r="O72" s="433">
        <v>7.5</v>
      </c>
      <c r="P72" s="433">
        <v>7.5</v>
      </c>
      <c r="Q72" s="433">
        <v>7.5</v>
      </c>
      <c r="R72" s="433">
        <v>7</v>
      </c>
      <c r="S72" s="433">
        <v>8</v>
      </c>
      <c r="T72" s="433">
        <v>8</v>
      </c>
      <c r="U72" s="433">
        <v>8</v>
      </c>
      <c r="V72" s="433">
        <v>7</v>
      </c>
      <c r="W72" s="433">
        <v>8</v>
      </c>
      <c r="X72" s="433">
        <v>7.5</v>
      </c>
      <c r="Y72" s="433">
        <v>7</v>
      </c>
      <c r="Z72" s="243">
        <f t="shared" si="1"/>
        <v>7.4</v>
      </c>
      <c r="AA72" s="242"/>
      <c r="AB72" s="242"/>
      <c r="AC72" s="242"/>
      <c r="AD72" s="277"/>
      <c r="AE72" s="277"/>
      <c r="AF72" s="660" t="s">
        <v>101</v>
      </c>
      <c r="AG72" s="273"/>
      <c r="AH72" s="261" t="s">
        <v>174</v>
      </c>
      <c r="AI72" s="181"/>
      <c r="AJ72" s="180">
        <f t="shared" ref="AJ72:AJ87" si="6">AVERAGE(F72:Y72)</f>
        <v>7.4</v>
      </c>
    </row>
    <row r="73" spans="1:36" s="7" customFormat="1" ht="18" customHeight="1" x14ac:dyDescent="0.2">
      <c r="A73" s="431">
        <v>66</v>
      </c>
      <c r="B73" s="245"/>
      <c r="C73" s="246">
        <v>2022</v>
      </c>
      <c r="D73" s="269" t="s">
        <v>634</v>
      </c>
      <c r="E73" s="294" t="s">
        <v>635</v>
      </c>
      <c r="F73" s="433">
        <v>6.5</v>
      </c>
      <c r="G73" s="433">
        <v>7.5</v>
      </c>
      <c r="H73" s="433">
        <v>6.5</v>
      </c>
      <c r="I73" s="433">
        <v>8</v>
      </c>
      <c r="J73" s="433">
        <v>8</v>
      </c>
      <c r="K73" s="433">
        <v>7.5</v>
      </c>
      <c r="L73" s="433">
        <v>8</v>
      </c>
      <c r="M73" s="433">
        <v>7.5</v>
      </c>
      <c r="N73" s="433">
        <v>8</v>
      </c>
      <c r="O73" s="433">
        <v>7.5</v>
      </c>
      <c r="P73" s="433">
        <v>8</v>
      </c>
      <c r="Q73" s="433">
        <v>8</v>
      </c>
      <c r="R73" s="433">
        <v>7.4</v>
      </c>
      <c r="S73" s="433">
        <v>7.5</v>
      </c>
      <c r="T73" s="433">
        <v>7</v>
      </c>
      <c r="U73" s="433">
        <v>7</v>
      </c>
      <c r="V73" s="433">
        <v>7</v>
      </c>
      <c r="W73" s="433">
        <v>8</v>
      </c>
      <c r="X73" s="433">
        <v>6.5</v>
      </c>
      <c r="Y73" s="433">
        <v>7</v>
      </c>
      <c r="Z73" s="243">
        <f t="shared" ref="Z73:Z87" si="7">SUM(F73:Y73)/20</f>
        <v>7.42</v>
      </c>
      <c r="AA73" s="242"/>
      <c r="AB73" s="242"/>
      <c r="AC73" s="242"/>
      <c r="AD73" s="277"/>
      <c r="AE73" s="277"/>
      <c r="AF73" s="660" t="s">
        <v>95</v>
      </c>
      <c r="AG73" s="273"/>
      <c r="AH73" s="261" t="s">
        <v>194</v>
      </c>
      <c r="AI73" s="181"/>
      <c r="AJ73" s="180">
        <f t="shared" si="6"/>
        <v>7.42</v>
      </c>
    </row>
    <row r="74" spans="1:36" s="7" customFormat="1" ht="18" customHeight="1" x14ac:dyDescent="0.2">
      <c r="A74" s="431">
        <v>67</v>
      </c>
      <c r="B74" s="245"/>
      <c r="C74" s="246">
        <v>2022</v>
      </c>
      <c r="D74" s="269" t="s">
        <v>636</v>
      </c>
      <c r="E74" s="294" t="s">
        <v>602</v>
      </c>
      <c r="F74" s="433">
        <v>7</v>
      </c>
      <c r="G74" s="433">
        <v>7</v>
      </c>
      <c r="H74" s="433">
        <v>7.5</v>
      </c>
      <c r="I74" s="433">
        <v>7</v>
      </c>
      <c r="J74" s="433">
        <v>7.5</v>
      </c>
      <c r="K74" s="433">
        <v>6.5</v>
      </c>
      <c r="L74" s="433">
        <v>7.5</v>
      </c>
      <c r="M74" s="433">
        <v>7</v>
      </c>
      <c r="N74" s="433">
        <v>7</v>
      </c>
      <c r="O74" s="433">
        <v>7</v>
      </c>
      <c r="P74" s="433">
        <v>7</v>
      </c>
      <c r="Q74" s="433">
        <v>7</v>
      </c>
      <c r="R74" s="433">
        <v>6.6</v>
      </c>
      <c r="S74" s="433">
        <v>8</v>
      </c>
      <c r="T74" s="433">
        <v>6.5</v>
      </c>
      <c r="U74" s="433">
        <v>7</v>
      </c>
      <c r="V74" s="433">
        <v>7</v>
      </c>
      <c r="W74" s="433">
        <v>7</v>
      </c>
      <c r="X74" s="433">
        <v>8</v>
      </c>
      <c r="Y74" s="433">
        <v>7.5</v>
      </c>
      <c r="Z74" s="243">
        <f t="shared" si="7"/>
        <v>7.13</v>
      </c>
      <c r="AA74" s="242"/>
      <c r="AB74" s="242"/>
      <c r="AC74" s="242"/>
      <c r="AD74" s="277"/>
      <c r="AE74" s="277"/>
      <c r="AF74" s="660" t="s">
        <v>101</v>
      </c>
      <c r="AG74" s="273"/>
      <c r="AH74" s="261" t="s">
        <v>195</v>
      </c>
      <c r="AI74" s="181"/>
      <c r="AJ74" s="180">
        <f t="shared" si="6"/>
        <v>7.13</v>
      </c>
    </row>
    <row r="75" spans="1:36" s="7" customFormat="1" ht="18" customHeight="1" x14ac:dyDescent="0.2">
      <c r="A75" s="431">
        <v>68</v>
      </c>
      <c r="B75" s="245"/>
      <c r="C75" s="246">
        <v>2022</v>
      </c>
      <c r="D75" s="269" t="s">
        <v>637</v>
      </c>
      <c r="E75" s="294" t="s">
        <v>530</v>
      </c>
      <c r="F75" s="433">
        <v>7</v>
      </c>
      <c r="G75" s="433">
        <v>7</v>
      </c>
      <c r="H75" s="433">
        <v>6.5</v>
      </c>
      <c r="I75" s="433">
        <v>7</v>
      </c>
      <c r="J75" s="433">
        <v>7.5</v>
      </c>
      <c r="K75" s="433">
        <v>7.5</v>
      </c>
      <c r="L75" s="433">
        <v>6.5</v>
      </c>
      <c r="M75" s="433">
        <v>7.5</v>
      </c>
      <c r="N75" s="433">
        <v>7</v>
      </c>
      <c r="O75" s="433">
        <v>7.5</v>
      </c>
      <c r="P75" s="433">
        <v>7</v>
      </c>
      <c r="Q75" s="433">
        <v>7</v>
      </c>
      <c r="R75" s="433">
        <v>7.6</v>
      </c>
      <c r="S75" s="433">
        <v>8</v>
      </c>
      <c r="T75" s="433">
        <v>7.5</v>
      </c>
      <c r="U75" s="433">
        <v>6.5</v>
      </c>
      <c r="V75" s="433">
        <v>7</v>
      </c>
      <c r="W75" s="433">
        <v>7</v>
      </c>
      <c r="X75" s="433">
        <v>8</v>
      </c>
      <c r="Y75" s="433">
        <v>7</v>
      </c>
      <c r="Z75" s="243">
        <f t="shared" si="7"/>
        <v>7.18</v>
      </c>
      <c r="AA75" s="242"/>
      <c r="AB75" s="242"/>
      <c r="AC75" s="242"/>
      <c r="AD75" s="277"/>
      <c r="AE75" s="277"/>
      <c r="AF75" s="660" t="s">
        <v>101</v>
      </c>
      <c r="AG75" s="273"/>
      <c r="AH75" s="261" t="s">
        <v>174</v>
      </c>
      <c r="AI75" s="181"/>
      <c r="AJ75" s="180">
        <f t="shared" si="6"/>
        <v>7.18</v>
      </c>
    </row>
    <row r="76" spans="1:36" s="7" customFormat="1" ht="18" customHeight="1" x14ac:dyDescent="0.2">
      <c r="A76" s="431">
        <v>69</v>
      </c>
      <c r="B76" s="245"/>
      <c r="C76" s="246">
        <v>2022</v>
      </c>
      <c r="D76" s="269" t="s">
        <v>638</v>
      </c>
      <c r="E76" s="292" t="s">
        <v>639</v>
      </c>
      <c r="F76" s="658">
        <v>7</v>
      </c>
      <c r="G76" s="433">
        <v>7.5</v>
      </c>
      <c r="H76" s="656">
        <v>7.5</v>
      </c>
      <c r="I76" s="433">
        <v>7</v>
      </c>
      <c r="J76" s="433">
        <v>7</v>
      </c>
      <c r="K76" s="433">
        <v>7.5</v>
      </c>
      <c r="L76" s="433">
        <v>6.5</v>
      </c>
      <c r="M76" s="433">
        <v>7.5</v>
      </c>
      <c r="N76" s="433">
        <v>7</v>
      </c>
      <c r="O76" s="433">
        <v>7.5</v>
      </c>
      <c r="P76" s="433">
        <v>6.5</v>
      </c>
      <c r="Q76" s="433">
        <v>7.5</v>
      </c>
      <c r="R76" s="433">
        <v>7.8</v>
      </c>
      <c r="S76" s="433">
        <v>7.5</v>
      </c>
      <c r="T76" s="433">
        <v>7.5</v>
      </c>
      <c r="U76" s="433">
        <v>7</v>
      </c>
      <c r="V76" s="433">
        <v>7</v>
      </c>
      <c r="W76" s="433">
        <v>7</v>
      </c>
      <c r="X76" s="433">
        <v>7.5</v>
      </c>
      <c r="Y76" s="433">
        <v>7</v>
      </c>
      <c r="Z76" s="243">
        <f t="shared" si="7"/>
        <v>7.2150000000000007</v>
      </c>
      <c r="AA76" s="242"/>
      <c r="AB76" s="242"/>
      <c r="AC76" s="242"/>
      <c r="AD76" s="277"/>
      <c r="AE76" s="277"/>
      <c r="AF76" s="660" t="s">
        <v>95</v>
      </c>
      <c r="AG76" s="273"/>
      <c r="AH76" s="261" t="s">
        <v>193</v>
      </c>
      <c r="AI76" s="181"/>
      <c r="AJ76" s="180">
        <f t="shared" si="6"/>
        <v>7.2150000000000007</v>
      </c>
    </row>
    <row r="77" spans="1:36" s="7" customFormat="1" ht="18" customHeight="1" x14ac:dyDescent="0.2">
      <c r="A77" s="431">
        <v>70</v>
      </c>
      <c r="B77" s="245"/>
      <c r="C77" s="246">
        <v>2022</v>
      </c>
      <c r="D77" s="269" t="s">
        <v>640</v>
      </c>
      <c r="E77" s="294" t="s">
        <v>641</v>
      </c>
      <c r="F77" s="433">
        <v>7.5</v>
      </c>
      <c r="G77" s="433">
        <v>7</v>
      </c>
      <c r="H77" s="433">
        <v>7.5</v>
      </c>
      <c r="I77" s="433">
        <v>6</v>
      </c>
      <c r="J77" s="433">
        <v>7.5</v>
      </c>
      <c r="K77" s="433">
        <v>8</v>
      </c>
      <c r="L77" s="433">
        <v>7</v>
      </c>
      <c r="M77" s="433">
        <v>7</v>
      </c>
      <c r="N77" s="433">
        <v>7.5</v>
      </c>
      <c r="O77" s="433">
        <v>7.5</v>
      </c>
      <c r="P77" s="433">
        <v>7.5</v>
      </c>
      <c r="Q77" s="433">
        <v>7.5</v>
      </c>
      <c r="R77" s="433">
        <v>7.8</v>
      </c>
      <c r="S77" s="433">
        <v>7.5</v>
      </c>
      <c r="T77" s="433">
        <v>8</v>
      </c>
      <c r="U77" s="433">
        <v>7.5</v>
      </c>
      <c r="V77" s="433">
        <v>6</v>
      </c>
      <c r="W77" s="433">
        <v>8</v>
      </c>
      <c r="X77" s="433">
        <v>7</v>
      </c>
      <c r="Y77" s="433">
        <v>7.5</v>
      </c>
      <c r="Z77" s="243">
        <f t="shared" si="7"/>
        <v>7.3400000000000007</v>
      </c>
      <c r="AA77" s="242"/>
      <c r="AB77" s="242"/>
      <c r="AC77" s="242"/>
      <c r="AD77" s="277"/>
      <c r="AE77" s="277"/>
      <c r="AF77" s="660" t="s">
        <v>101</v>
      </c>
      <c r="AG77" s="273"/>
      <c r="AH77" s="261" t="s">
        <v>219</v>
      </c>
      <c r="AI77" s="181"/>
      <c r="AJ77" s="180">
        <f t="shared" si="6"/>
        <v>7.3400000000000007</v>
      </c>
    </row>
    <row r="78" spans="1:36" s="7" customFormat="1" ht="18" customHeight="1" x14ac:dyDescent="0.2">
      <c r="A78" s="431">
        <v>71</v>
      </c>
      <c r="B78" s="245"/>
      <c r="C78" s="246">
        <v>2022</v>
      </c>
      <c r="D78" s="269" t="s">
        <v>642</v>
      </c>
      <c r="E78" s="299" t="s">
        <v>643</v>
      </c>
      <c r="F78" s="433">
        <v>6.5</v>
      </c>
      <c r="G78" s="433">
        <v>8</v>
      </c>
      <c r="H78" s="433">
        <v>7</v>
      </c>
      <c r="I78" s="433">
        <v>7</v>
      </c>
      <c r="J78" s="433">
        <v>8</v>
      </c>
      <c r="K78" s="433">
        <v>8</v>
      </c>
      <c r="L78" s="433">
        <v>8</v>
      </c>
      <c r="M78" s="433">
        <v>8</v>
      </c>
      <c r="N78" s="433">
        <v>7.5</v>
      </c>
      <c r="O78" s="433">
        <v>8</v>
      </c>
      <c r="P78" s="433">
        <v>7.5</v>
      </c>
      <c r="Q78" s="433">
        <v>8</v>
      </c>
      <c r="R78" s="433">
        <v>7.4</v>
      </c>
      <c r="S78" s="433">
        <v>7</v>
      </c>
      <c r="T78" s="433">
        <v>8</v>
      </c>
      <c r="U78" s="433">
        <v>7</v>
      </c>
      <c r="V78" s="433">
        <v>7</v>
      </c>
      <c r="W78" s="433">
        <v>8</v>
      </c>
      <c r="X78" s="433">
        <v>7</v>
      </c>
      <c r="Y78" s="433">
        <v>7</v>
      </c>
      <c r="Z78" s="243">
        <f t="shared" si="7"/>
        <v>7.4950000000000001</v>
      </c>
      <c r="AA78" s="242"/>
      <c r="AB78" s="242"/>
      <c r="AC78" s="242"/>
      <c r="AD78" s="277"/>
      <c r="AE78" s="277"/>
      <c r="AF78" s="660" t="s">
        <v>101</v>
      </c>
      <c r="AG78" s="273"/>
      <c r="AH78" s="261" t="s">
        <v>199</v>
      </c>
      <c r="AI78" s="181"/>
      <c r="AJ78" s="180">
        <f t="shared" si="6"/>
        <v>7.4950000000000001</v>
      </c>
    </row>
    <row r="79" spans="1:36" s="7" customFormat="1" ht="18" customHeight="1" x14ac:dyDescent="0.2">
      <c r="A79" s="431">
        <v>72</v>
      </c>
      <c r="B79" s="245"/>
      <c r="C79" s="246">
        <v>2022</v>
      </c>
      <c r="D79" s="269" t="s">
        <v>644</v>
      </c>
      <c r="E79" s="299" t="s">
        <v>645</v>
      </c>
      <c r="F79" s="433">
        <v>7</v>
      </c>
      <c r="G79" s="433">
        <v>8</v>
      </c>
      <c r="H79" s="433">
        <v>7.5</v>
      </c>
      <c r="I79" s="433">
        <v>8</v>
      </c>
      <c r="J79" s="433">
        <v>8</v>
      </c>
      <c r="K79" s="433">
        <v>7.5</v>
      </c>
      <c r="L79" s="433">
        <v>8</v>
      </c>
      <c r="M79" s="433">
        <v>8</v>
      </c>
      <c r="N79" s="433">
        <v>8</v>
      </c>
      <c r="O79" s="433">
        <v>8</v>
      </c>
      <c r="P79" s="433">
        <v>7.5</v>
      </c>
      <c r="Q79" s="433">
        <v>8</v>
      </c>
      <c r="R79" s="433">
        <v>7</v>
      </c>
      <c r="S79" s="433">
        <v>6.5</v>
      </c>
      <c r="T79" s="433">
        <v>6.5</v>
      </c>
      <c r="U79" s="433">
        <v>7</v>
      </c>
      <c r="V79" s="433">
        <v>8</v>
      </c>
      <c r="W79" s="433">
        <v>8</v>
      </c>
      <c r="X79" s="433">
        <v>6.5</v>
      </c>
      <c r="Y79" s="433">
        <v>7.5</v>
      </c>
      <c r="Z79" s="243">
        <f t="shared" si="7"/>
        <v>7.5250000000000004</v>
      </c>
      <c r="AA79" s="242"/>
      <c r="AB79" s="242"/>
      <c r="AC79" s="242"/>
      <c r="AD79" s="277"/>
      <c r="AE79" s="277"/>
      <c r="AF79" s="660" t="s">
        <v>101</v>
      </c>
      <c r="AG79" s="273"/>
      <c r="AH79" s="261" t="s">
        <v>192</v>
      </c>
      <c r="AI79" s="181"/>
      <c r="AJ79" s="180">
        <f t="shared" si="6"/>
        <v>7.5250000000000004</v>
      </c>
    </row>
    <row r="80" spans="1:36" s="7" customFormat="1" ht="18" customHeight="1" x14ac:dyDescent="0.2">
      <c r="A80" s="431">
        <v>73</v>
      </c>
      <c r="B80" s="245"/>
      <c r="C80" s="246">
        <v>2022</v>
      </c>
      <c r="D80" s="269" t="s">
        <v>646</v>
      </c>
      <c r="E80" s="299" t="s">
        <v>647</v>
      </c>
      <c r="F80" s="433">
        <v>8</v>
      </c>
      <c r="G80" s="433">
        <v>7.5</v>
      </c>
      <c r="H80" s="433">
        <v>8</v>
      </c>
      <c r="I80" s="433">
        <v>8</v>
      </c>
      <c r="J80" s="433">
        <v>8</v>
      </c>
      <c r="K80" s="433">
        <v>8</v>
      </c>
      <c r="L80" s="433">
        <v>8</v>
      </c>
      <c r="M80" s="433">
        <v>8</v>
      </c>
      <c r="N80" s="433">
        <v>8</v>
      </c>
      <c r="O80" s="433">
        <v>8</v>
      </c>
      <c r="P80" s="433">
        <v>8</v>
      </c>
      <c r="Q80" s="433">
        <v>8</v>
      </c>
      <c r="R80" s="433">
        <v>8.1999999999999993</v>
      </c>
      <c r="S80" s="433">
        <v>8.5</v>
      </c>
      <c r="T80" s="433">
        <v>8</v>
      </c>
      <c r="U80" s="433">
        <v>8</v>
      </c>
      <c r="V80" s="433">
        <v>8</v>
      </c>
      <c r="W80" s="433">
        <v>8</v>
      </c>
      <c r="X80" s="433">
        <v>8.5</v>
      </c>
      <c r="Y80" s="433">
        <v>8</v>
      </c>
      <c r="Z80" s="444">
        <f t="shared" si="7"/>
        <v>8.0350000000000001</v>
      </c>
      <c r="AA80" s="242"/>
      <c r="AB80" s="242"/>
      <c r="AC80" s="242"/>
      <c r="AD80" s="277"/>
      <c r="AE80" s="277"/>
      <c r="AF80" s="660" t="s">
        <v>101</v>
      </c>
      <c r="AG80" s="273"/>
      <c r="AH80" s="263" t="s">
        <v>193</v>
      </c>
      <c r="AI80" s="181"/>
      <c r="AJ80" s="449">
        <f t="shared" si="6"/>
        <v>8.0350000000000001</v>
      </c>
    </row>
    <row r="81" spans="1:36" s="7" customFormat="1" ht="18" customHeight="1" x14ac:dyDescent="0.2">
      <c r="A81" s="431">
        <v>74</v>
      </c>
      <c r="B81" s="245"/>
      <c r="C81" s="246">
        <v>2022</v>
      </c>
      <c r="D81" s="269" t="s">
        <v>648</v>
      </c>
      <c r="E81" s="294" t="s">
        <v>649</v>
      </c>
      <c r="F81" s="433">
        <v>7</v>
      </c>
      <c r="G81" s="433">
        <v>7</v>
      </c>
      <c r="H81" s="433">
        <v>7</v>
      </c>
      <c r="I81" s="433">
        <v>6</v>
      </c>
      <c r="J81" s="433">
        <v>7.5</v>
      </c>
      <c r="K81" s="433">
        <v>7.5</v>
      </c>
      <c r="L81" s="433">
        <v>8</v>
      </c>
      <c r="M81" s="433">
        <v>8</v>
      </c>
      <c r="N81" s="433">
        <v>8</v>
      </c>
      <c r="O81" s="433">
        <v>8</v>
      </c>
      <c r="P81" s="433">
        <v>8</v>
      </c>
      <c r="Q81" s="433">
        <v>8</v>
      </c>
      <c r="R81" s="433">
        <v>7.8</v>
      </c>
      <c r="S81" s="433">
        <v>7.5</v>
      </c>
      <c r="T81" s="433">
        <v>8</v>
      </c>
      <c r="U81" s="433">
        <v>8</v>
      </c>
      <c r="V81" s="433">
        <v>7</v>
      </c>
      <c r="W81" s="433">
        <v>8</v>
      </c>
      <c r="X81" s="433">
        <v>7.5</v>
      </c>
      <c r="Y81" s="433">
        <v>7.5</v>
      </c>
      <c r="Z81" s="243">
        <f t="shared" si="7"/>
        <v>7.5650000000000004</v>
      </c>
      <c r="AA81" s="242"/>
      <c r="AB81" s="242"/>
      <c r="AC81" s="242"/>
      <c r="AD81" s="277">
        <f>SUM(AA81:AC81)/3</f>
        <v>0</v>
      </c>
      <c r="AE81" s="277">
        <f>SUM(Z81+AD81)/2</f>
        <v>3.7825000000000002</v>
      </c>
      <c r="AF81" s="660" t="s">
        <v>101</v>
      </c>
      <c r="AG81" s="273"/>
      <c r="AH81" s="263" t="s">
        <v>179</v>
      </c>
      <c r="AI81" s="181"/>
      <c r="AJ81" s="180">
        <f t="shared" si="6"/>
        <v>7.5650000000000004</v>
      </c>
    </row>
    <row r="82" spans="1:36" s="7" customFormat="1" ht="18" customHeight="1" x14ac:dyDescent="0.2">
      <c r="A82" s="431">
        <v>75</v>
      </c>
      <c r="B82" s="245"/>
      <c r="C82" s="246">
        <v>2022</v>
      </c>
      <c r="D82" s="269" t="s">
        <v>650</v>
      </c>
      <c r="E82" s="294" t="s">
        <v>651</v>
      </c>
      <c r="F82" s="433">
        <v>7</v>
      </c>
      <c r="G82" s="433">
        <v>7</v>
      </c>
      <c r="H82" s="433">
        <v>6.5</v>
      </c>
      <c r="I82" s="433">
        <v>6</v>
      </c>
      <c r="J82" s="433">
        <v>7.5</v>
      </c>
      <c r="K82" s="433">
        <v>8</v>
      </c>
      <c r="L82" s="433">
        <v>7</v>
      </c>
      <c r="M82" s="433">
        <v>8</v>
      </c>
      <c r="N82" s="433">
        <v>7.5</v>
      </c>
      <c r="O82" s="433">
        <v>7.5</v>
      </c>
      <c r="P82" s="433">
        <v>6.5</v>
      </c>
      <c r="Q82" s="433">
        <v>7</v>
      </c>
      <c r="R82" s="433">
        <v>6.8</v>
      </c>
      <c r="S82" s="433">
        <v>8</v>
      </c>
      <c r="T82" s="433">
        <v>7</v>
      </c>
      <c r="U82" s="433">
        <v>7.5</v>
      </c>
      <c r="V82" s="433">
        <v>7</v>
      </c>
      <c r="W82" s="433">
        <v>7.5</v>
      </c>
      <c r="X82" s="433">
        <v>7.5</v>
      </c>
      <c r="Y82" s="433">
        <v>7</v>
      </c>
      <c r="Z82" s="243">
        <f t="shared" si="7"/>
        <v>7.19</v>
      </c>
      <c r="AA82" s="242"/>
      <c r="AB82" s="242"/>
      <c r="AC82" s="242"/>
      <c r="AD82" s="277">
        <f>SUM(AA82:AC82)/3</f>
        <v>0</v>
      </c>
      <c r="AE82" s="277">
        <f>SUM(Z82+AD82)/2</f>
        <v>3.5950000000000002</v>
      </c>
      <c r="AF82" s="660" t="s">
        <v>101</v>
      </c>
      <c r="AG82" s="273"/>
      <c r="AH82" s="263" t="s">
        <v>199</v>
      </c>
      <c r="AI82" s="181"/>
      <c r="AJ82" s="180">
        <f t="shared" si="6"/>
        <v>7.19</v>
      </c>
    </row>
    <row r="83" spans="1:36" s="7" customFormat="1" ht="18" customHeight="1" x14ac:dyDescent="0.2">
      <c r="A83" s="431">
        <v>76</v>
      </c>
      <c r="B83" s="245"/>
      <c r="C83" s="246">
        <v>2022</v>
      </c>
      <c r="D83" s="269" t="s">
        <v>652</v>
      </c>
      <c r="E83" s="294" t="s">
        <v>653</v>
      </c>
      <c r="F83" s="433">
        <v>7</v>
      </c>
      <c r="G83" s="433">
        <v>7</v>
      </c>
      <c r="H83" s="433">
        <v>7.5</v>
      </c>
      <c r="I83" s="433">
        <v>8</v>
      </c>
      <c r="J83" s="433">
        <v>8</v>
      </c>
      <c r="K83" s="433">
        <v>7.5</v>
      </c>
      <c r="L83" s="433">
        <v>8</v>
      </c>
      <c r="M83" s="433">
        <v>7.5</v>
      </c>
      <c r="N83" s="433">
        <v>7</v>
      </c>
      <c r="O83" s="433">
        <v>7</v>
      </c>
      <c r="P83" s="433">
        <v>6.5</v>
      </c>
      <c r="Q83" s="433">
        <v>7.5</v>
      </c>
      <c r="R83" s="433">
        <v>7.4</v>
      </c>
      <c r="S83" s="433">
        <v>7.5</v>
      </c>
      <c r="T83" s="433">
        <v>6.5</v>
      </c>
      <c r="U83" s="433">
        <v>7</v>
      </c>
      <c r="V83" s="433">
        <v>7</v>
      </c>
      <c r="W83" s="433">
        <v>7</v>
      </c>
      <c r="X83" s="433">
        <v>7</v>
      </c>
      <c r="Y83" s="433">
        <v>7</v>
      </c>
      <c r="Z83" s="243">
        <f t="shared" si="7"/>
        <v>7.2450000000000001</v>
      </c>
      <c r="AA83" s="242"/>
      <c r="AB83" s="242"/>
      <c r="AC83" s="242"/>
      <c r="AD83" s="277">
        <f>SUM(AA83:AC83)/3</f>
        <v>0</v>
      </c>
      <c r="AE83" s="277">
        <f>SUM(Z83+AD83)/2</f>
        <v>3.6225000000000001</v>
      </c>
      <c r="AF83" s="660" t="s">
        <v>101</v>
      </c>
      <c r="AG83" s="273"/>
      <c r="AH83" s="263" t="s">
        <v>186</v>
      </c>
      <c r="AI83" s="181"/>
      <c r="AJ83" s="180">
        <f t="shared" si="6"/>
        <v>7.2450000000000001</v>
      </c>
    </row>
    <row r="84" spans="1:36" s="7" customFormat="1" ht="18" customHeight="1" x14ac:dyDescent="0.2">
      <c r="A84" s="431">
        <v>77</v>
      </c>
      <c r="B84" s="245"/>
      <c r="C84" s="246">
        <v>2022</v>
      </c>
      <c r="D84" s="269" t="s">
        <v>654</v>
      </c>
      <c r="E84" s="294" t="s">
        <v>655</v>
      </c>
      <c r="F84" s="434">
        <v>7</v>
      </c>
      <c r="G84" s="433">
        <v>7</v>
      </c>
      <c r="H84" s="433">
        <v>7</v>
      </c>
      <c r="I84" s="433">
        <v>7</v>
      </c>
      <c r="J84" s="433">
        <v>8</v>
      </c>
      <c r="K84" s="433">
        <v>7</v>
      </c>
      <c r="L84" s="433">
        <v>8</v>
      </c>
      <c r="M84" s="433">
        <v>7</v>
      </c>
      <c r="N84" s="433">
        <v>7.5</v>
      </c>
      <c r="O84" s="433">
        <v>7.5</v>
      </c>
      <c r="P84" s="433">
        <v>8</v>
      </c>
      <c r="Q84" s="433">
        <v>8</v>
      </c>
      <c r="R84" s="433">
        <v>7</v>
      </c>
      <c r="S84" s="433">
        <v>7.5</v>
      </c>
      <c r="T84" s="433">
        <v>8</v>
      </c>
      <c r="U84" s="433">
        <v>7</v>
      </c>
      <c r="V84" s="433">
        <v>7</v>
      </c>
      <c r="W84" s="433">
        <v>7</v>
      </c>
      <c r="X84" s="433">
        <v>7.5</v>
      </c>
      <c r="Y84" s="433">
        <v>7</v>
      </c>
      <c r="Z84" s="243">
        <f t="shared" si="7"/>
        <v>7.35</v>
      </c>
      <c r="AA84" s="242"/>
      <c r="AB84" s="242"/>
      <c r="AC84" s="242"/>
      <c r="AD84" s="277">
        <f>SUM(AA84:AC84)/3</f>
        <v>0</v>
      </c>
      <c r="AE84" s="277">
        <f>SUM(Z84+AD84)/2</f>
        <v>3.6749999999999998</v>
      </c>
      <c r="AF84" s="660" t="s">
        <v>101</v>
      </c>
      <c r="AG84" s="273"/>
      <c r="AH84" s="263" t="s">
        <v>174</v>
      </c>
      <c r="AI84" s="181"/>
      <c r="AJ84" s="180">
        <f t="shared" si="6"/>
        <v>7.35</v>
      </c>
    </row>
    <row r="85" spans="1:36" s="7" customFormat="1" ht="18" customHeight="1" x14ac:dyDescent="0.2">
      <c r="A85" s="431">
        <v>78</v>
      </c>
      <c r="B85" s="245"/>
      <c r="C85" s="246">
        <v>2022</v>
      </c>
      <c r="D85" s="269" t="s">
        <v>656</v>
      </c>
      <c r="E85" s="294" t="s">
        <v>274</v>
      </c>
      <c r="F85" s="657">
        <v>7</v>
      </c>
      <c r="G85" s="433">
        <v>7</v>
      </c>
      <c r="H85" s="656">
        <v>7</v>
      </c>
      <c r="I85" s="433">
        <v>7</v>
      </c>
      <c r="J85" s="433">
        <v>7.5</v>
      </c>
      <c r="K85" s="433">
        <v>7</v>
      </c>
      <c r="L85" s="433">
        <v>8</v>
      </c>
      <c r="M85" s="433">
        <v>8</v>
      </c>
      <c r="N85" s="433">
        <v>8</v>
      </c>
      <c r="O85" s="433">
        <v>7</v>
      </c>
      <c r="P85" s="433">
        <v>6.5</v>
      </c>
      <c r="Q85" s="433">
        <v>7.5</v>
      </c>
      <c r="R85" s="433">
        <v>7.8</v>
      </c>
      <c r="S85" s="433">
        <v>7</v>
      </c>
      <c r="T85" s="433">
        <v>8</v>
      </c>
      <c r="U85" s="433">
        <v>7</v>
      </c>
      <c r="V85" s="433">
        <v>6</v>
      </c>
      <c r="W85" s="433">
        <v>7.5</v>
      </c>
      <c r="X85" s="433">
        <v>7.5</v>
      </c>
      <c r="Y85" s="433">
        <v>7.5</v>
      </c>
      <c r="Z85" s="243">
        <f t="shared" si="7"/>
        <v>7.2900000000000009</v>
      </c>
      <c r="AA85" s="242"/>
      <c r="AB85" s="242"/>
      <c r="AC85" s="242"/>
      <c r="AD85" s="277">
        <f>SUM(AA85:AC85)/3</f>
        <v>0</v>
      </c>
      <c r="AE85" s="277">
        <f>SUM(Z85+AD85)/2</f>
        <v>3.6450000000000005</v>
      </c>
      <c r="AF85" s="660" t="s">
        <v>101</v>
      </c>
      <c r="AG85" s="273"/>
      <c r="AH85" s="263" t="s">
        <v>193</v>
      </c>
      <c r="AI85" s="181"/>
      <c r="AJ85" s="180">
        <f t="shared" si="6"/>
        <v>7.2900000000000009</v>
      </c>
    </row>
    <row r="86" spans="1:36" s="7" customFormat="1" ht="18" customHeight="1" x14ac:dyDescent="0.2">
      <c r="A86" s="431">
        <v>79</v>
      </c>
      <c r="B86" s="245"/>
      <c r="C86" s="246">
        <v>2022</v>
      </c>
      <c r="D86" s="269" t="s">
        <v>657</v>
      </c>
      <c r="E86" s="292" t="s">
        <v>658</v>
      </c>
      <c r="F86" s="434">
        <v>7</v>
      </c>
      <c r="G86" s="433">
        <v>7</v>
      </c>
      <c r="H86" s="433">
        <v>7</v>
      </c>
      <c r="I86" s="433">
        <v>7</v>
      </c>
      <c r="J86" s="433">
        <v>8</v>
      </c>
      <c r="K86" s="433">
        <v>8</v>
      </c>
      <c r="L86" s="433">
        <v>8</v>
      </c>
      <c r="M86" s="433">
        <v>8</v>
      </c>
      <c r="N86" s="433">
        <v>8</v>
      </c>
      <c r="O86" s="433">
        <v>8</v>
      </c>
      <c r="P86" s="433">
        <v>8</v>
      </c>
      <c r="Q86" s="433">
        <v>7.5</v>
      </c>
      <c r="R86" s="433">
        <v>7.4</v>
      </c>
      <c r="S86" s="433">
        <v>6.5</v>
      </c>
      <c r="T86" s="433">
        <v>6.5</v>
      </c>
      <c r="U86" s="433">
        <v>8</v>
      </c>
      <c r="V86" s="433">
        <v>7</v>
      </c>
      <c r="W86" s="433">
        <v>8</v>
      </c>
      <c r="X86" s="433">
        <v>6.5</v>
      </c>
      <c r="Y86" s="433">
        <v>7</v>
      </c>
      <c r="Z86" s="243">
        <f t="shared" si="7"/>
        <v>7.42</v>
      </c>
      <c r="AA86" s="242"/>
      <c r="AB86" s="242"/>
      <c r="AC86" s="242"/>
      <c r="AD86" s="277">
        <v>0</v>
      </c>
      <c r="AE86" s="277">
        <v>0</v>
      </c>
      <c r="AF86" s="660" t="s">
        <v>101</v>
      </c>
      <c r="AG86" s="273"/>
      <c r="AH86" s="263" t="s">
        <v>269</v>
      </c>
      <c r="AI86" s="181"/>
      <c r="AJ86" s="180">
        <f t="shared" si="6"/>
        <v>7.42</v>
      </c>
    </row>
    <row r="87" spans="1:36" s="7" customFormat="1" ht="18" customHeight="1" x14ac:dyDescent="0.2">
      <c r="A87" s="431">
        <v>80</v>
      </c>
      <c r="B87" s="245"/>
      <c r="C87" s="246">
        <v>2022</v>
      </c>
      <c r="D87" s="269" t="s">
        <v>659</v>
      </c>
      <c r="E87" s="292" t="s">
        <v>660</v>
      </c>
      <c r="F87" s="434">
        <v>7</v>
      </c>
      <c r="G87" s="433">
        <v>7</v>
      </c>
      <c r="H87" s="433">
        <v>7.5</v>
      </c>
      <c r="I87" s="433">
        <v>8</v>
      </c>
      <c r="J87" s="433">
        <v>6.5</v>
      </c>
      <c r="K87" s="433">
        <v>7</v>
      </c>
      <c r="L87" s="433">
        <v>6.5</v>
      </c>
      <c r="M87" s="433">
        <v>7</v>
      </c>
      <c r="N87" s="433">
        <v>7.5</v>
      </c>
      <c r="O87" s="433">
        <v>7.5</v>
      </c>
      <c r="P87" s="433">
        <v>7</v>
      </c>
      <c r="Q87" s="433">
        <v>7</v>
      </c>
      <c r="R87" s="433">
        <v>7</v>
      </c>
      <c r="S87" s="433">
        <v>8</v>
      </c>
      <c r="T87" s="433">
        <v>8</v>
      </c>
      <c r="U87" s="433">
        <v>7.5</v>
      </c>
      <c r="V87" s="433">
        <v>7</v>
      </c>
      <c r="W87" s="433">
        <v>6.5</v>
      </c>
      <c r="X87" s="433">
        <v>8</v>
      </c>
      <c r="Y87" s="433">
        <v>6.5</v>
      </c>
      <c r="Z87" s="243">
        <f t="shared" si="7"/>
        <v>7.2</v>
      </c>
      <c r="AA87" s="242"/>
      <c r="AB87" s="242"/>
      <c r="AC87" s="242"/>
      <c r="AD87" s="277">
        <f>SUM(AA87:AC87)/3</f>
        <v>0</v>
      </c>
      <c r="AE87" s="277">
        <f>SUM(Z87+AD87)/2</f>
        <v>3.6</v>
      </c>
      <c r="AF87" s="660" t="s">
        <v>101</v>
      </c>
      <c r="AG87" s="273"/>
      <c r="AH87" s="263" t="s">
        <v>12</v>
      </c>
      <c r="AI87" s="181"/>
      <c r="AJ87" s="180">
        <f t="shared" si="6"/>
        <v>7.2</v>
      </c>
    </row>
    <row r="88" spans="1:36" ht="18" customHeight="1" thickBot="1" x14ac:dyDescent="0.35">
      <c r="A88" s="53"/>
      <c r="B88" s="54"/>
      <c r="C88" s="55"/>
      <c r="D88" s="231"/>
      <c r="E88" s="56"/>
      <c r="F88" s="224"/>
      <c r="G88" s="224"/>
      <c r="H88" s="224"/>
      <c r="I88" s="224"/>
      <c r="J88" s="224"/>
      <c r="K88" s="224"/>
      <c r="L88" s="57"/>
      <c r="M88" s="57"/>
      <c r="N88" s="224"/>
      <c r="O88" s="224"/>
      <c r="P88" s="224"/>
      <c r="Q88" s="224"/>
      <c r="R88" s="224"/>
      <c r="S88" s="224"/>
      <c r="T88" s="224"/>
      <c r="U88" s="224"/>
      <c r="V88" s="224"/>
      <c r="W88" s="224"/>
      <c r="X88" s="220"/>
      <c r="Y88" s="220"/>
      <c r="Z88" s="61"/>
      <c r="AA88" s="60"/>
      <c r="AB88" s="60"/>
      <c r="AC88" s="60"/>
      <c r="AD88" s="59"/>
      <c r="AE88" s="59"/>
      <c r="AF88" s="59"/>
      <c r="AG88" s="164"/>
      <c r="AH88" s="58"/>
      <c r="AI88" s="182"/>
      <c r="AJ88" s="180"/>
    </row>
    <row r="89" spans="1:36" ht="18" customHeight="1" thickTop="1" x14ac:dyDescent="0.3">
      <c r="A89" s="183"/>
      <c r="B89" s="183"/>
      <c r="C89" s="183"/>
      <c r="D89" s="184"/>
      <c r="E89" s="183"/>
      <c r="F89" s="225"/>
      <c r="G89" s="225"/>
      <c r="H89" s="225"/>
      <c r="I89" s="225"/>
      <c r="J89" s="225"/>
      <c r="K89" s="225"/>
      <c r="L89" s="185"/>
      <c r="M89" s="185"/>
      <c r="N89" s="225"/>
      <c r="O89" s="225"/>
      <c r="P89" s="225"/>
      <c r="Q89" s="225"/>
      <c r="R89" s="225"/>
      <c r="S89" s="225"/>
      <c r="T89" s="225"/>
      <c r="U89" s="225"/>
      <c r="V89" s="225"/>
      <c r="W89" s="225"/>
      <c r="X89" s="226"/>
      <c r="Y89" s="226"/>
      <c r="Z89" s="186"/>
      <c r="AA89" s="166"/>
      <c r="AB89" s="166"/>
      <c r="AC89" s="166"/>
      <c r="AD89" s="187"/>
      <c r="AE89" s="187"/>
      <c r="AF89" s="187"/>
      <c r="AG89" s="188"/>
      <c r="AH89" s="189"/>
      <c r="AI89" s="182"/>
      <c r="AJ89" s="180"/>
    </row>
    <row r="90" spans="1:36" ht="18" customHeight="1" x14ac:dyDescent="0.3">
      <c r="A90" s="183"/>
      <c r="B90" s="183"/>
      <c r="C90" s="183"/>
      <c r="D90" s="184"/>
      <c r="E90" s="183"/>
      <c r="F90" s="225"/>
      <c r="G90" s="225"/>
      <c r="H90" s="225"/>
      <c r="I90" s="225"/>
      <c r="J90" s="225"/>
      <c r="K90" s="225"/>
      <c r="L90" s="185"/>
      <c r="M90" s="185"/>
      <c r="N90" s="225"/>
      <c r="O90" s="225"/>
      <c r="P90" s="225"/>
      <c r="Q90" s="225"/>
      <c r="R90" s="225"/>
      <c r="S90" s="225"/>
      <c r="T90" s="225"/>
      <c r="U90" s="225"/>
      <c r="V90" s="225"/>
      <c r="W90" s="225"/>
      <c r="X90" s="226"/>
      <c r="Y90" s="226"/>
      <c r="Z90" s="186"/>
      <c r="AA90" s="166"/>
      <c r="AB90" s="166"/>
      <c r="AC90" s="166"/>
      <c r="AD90" s="187"/>
      <c r="AE90" s="187"/>
      <c r="AF90" s="187"/>
      <c r="AG90" s="188"/>
      <c r="AH90" s="189"/>
      <c r="AI90" s="182"/>
      <c r="AJ90" s="180"/>
    </row>
    <row r="91" spans="1:36" ht="18" customHeight="1" x14ac:dyDescent="0.3">
      <c r="A91" s="183"/>
      <c r="B91" s="183"/>
      <c r="C91" s="183"/>
      <c r="D91" s="184"/>
      <c r="E91" s="183"/>
      <c r="F91" s="225"/>
      <c r="G91" s="225"/>
      <c r="H91" s="225"/>
      <c r="I91" s="225"/>
      <c r="J91" s="225"/>
      <c r="K91" s="225"/>
      <c r="L91" s="185"/>
      <c r="M91" s="185"/>
      <c r="N91" s="225"/>
      <c r="O91" s="225"/>
      <c r="P91" s="225"/>
      <c r="Q91" s="225"/>
      <c r="R91" s="225"/>
      <c r="S91" s="225"/>
      <c r="T91" s="225"/>
      <c r="U91" s="225"/>
      <c r="V91" s="225"/>
      <c r="W91" s="225"/>
      <c r="X91" s="226"/>
      <c r="Y91" s="226"/>
      <c r="Z91" s="186"/>
      <c r="AA91" s="166"/>
      <c r="AB91" s="166"/>
      <c r="AC91" s="166"/>
      <c r="AD91" s="187"/>
      <c r="AE91" s="187"/>
      <c r="AF91" s="187"/>
      <c r="AG91" s="188"/>
      <c r="AH91" s="189"/>
      <c r="AI91" s="182"/>
      <c r="AJ91" s="180"/>
    </row>
    <row r="92" spans="1:36" ht="18" customHeight="1" x14ac:dyDescent="0.3">
      <c r="A92" s="183"/>
      <c r="B92" s="183"/>
      <c r="C92" s="183"/>
      <c r="D92" s="184"/>
      <c r="E92" s="183"/>
      <c r="F92" s="225"/>
      <c r="G92" s="225"/>
      <c r="H92" s="225"/>
      <c r="I92" s="225"/>
      <c r="J92" s="225"/>
      <c r="K92" s="225"/>
      <c r="L92" s="185"/>
      <c r="M92" s="18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6"/>
      <c r="Y92" s="226"/>
      <c r="Z92" s="186"/>
      <c r="AA92" s="166"/>
      <c r="AB92" s="166"/>
      <c r="AC92" s="166"/>
      <c r="AD92" s="187"/>
      <c r="AE92" s="187"/>
      <c r="AF92" s="187"/>
      <c r="AG92" s="188"/>
      <c r="AH92" s="189"/>
      <c r="AI92" s="182"/>
      <c r="AJ92" s="180"/>
    </row>
    <row r="93" spans="1:36" ht="18" customHeight="1" x14ac:dyDescent="0.3">
      <c r="A93" s="183"/>
      <c r="B93" s="183"/>
      <c r="C93" s="183"/>
      <c r="D93" s="184"/>
      <c r="E93" s="183"/>
      <c r="F93" s="225"/>
      <c r="G93" s="225"/>
      <c r="H93" s="225"/>
      <c r="I93" s="225"/>
      <c r="J93" s="225"/>
      <c r="K93" s="225"/>
      <c r="L93" s="185"/>
      <c r="M93" s="185"/>
      <c r="N93" s="225"/>
      <c r="O93" s="225"/>
      <c r="P93" s="225"/>
      <c r="Q93" s="225"/>
      <c r="R93" s="225"/>
      <c r="S93" s="225"/>
      <c r="T93" s="225"/>
      <c r="U93" s="225"/>
      <c r="V93" s="225"/>
      <c r="W93" s="225"/>
      <c r="X93" s="226"/>
      <c r="Y93" s="226"/>
      <c r="Z93" s="186"/>
      <c r="AA93" s="166"/>
      <c r="AB93" s="166"/>
      <c r="AC93" s="166"/>
      <c r="AD93" s="187"/>
      <c r="AE93" s="187"/>
      <c r="AF93" s="187"/>
      <c r="AG93" s="188"/>
      <c r="AH93" s="189"/>
      <c r="AI93" s="182"/>
      <c r="AJ93" s="180"/>
    </row>
    <row r="94" spans="1:36" ht="18" customHeight="1" x14ac:dyDescent="0.3">
      <c r="A94" s="183"/>
      <c r="B94" s="183"/>
      <c r="C94" s="183"/>
      <c r="D94" s="184"/>
      <c r="E94" s="183"/>
      <c r="F94" s="225"/>
      <c r="G94" s="225"/>
      <c r="H94" s="225"/>
      <c r="I94" s="225"/>
      <c r="J94" s="225"/>
      <c r="K94" s="225"/>
      <c r="L94" s="185"/>
      <c r="M94" s="18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6"/>
      <c r="Y94" s="226"/>
      <c r="Z94" s="186"/>
      <c r="AA94" s="166"/>
      <c r="AB94" s="166"/>
      <c r="AC94" s="166"/>
      <c r="AD94" s="187"/>
      <c r="AE94" s="187"/>
      <c r="AF94" s="187"/>
      <c r="AG94" s="188"/>
      <c r="AH94" s="189"/>
      <c r="AI94" s="182"/>
      <c r="AJ94" s="180"/>
    </row>
    <row r="95" spans="1:36" ht="18" customHeight="1" x14ac:dyDescent="0.3">
      <c r="A95" s="183"/>
      <c r="B95" s="183"/>
      <c r="C95" s="183"/>
      <c r="D95" s="184"/>
      <c r="E95" s="183"/>
      <c r="F95" s="225"/>
      <c r="G95" s="225"/>
      <c r="H95" s="225"/>
      <c r="I95" s="225"/>
      <c r="J95" s="225"/>
      <c r="K95" s="225"/>
      <c r="L95" s="185"/>
      <c r="M95" s="185"/>
      <c r="N95" s="225"/>
      <c r="O95" s="225"/>
      <c r="P95" s="225"/>
      <c r="Q95" s="225"/>
      <c r="R95" s="225"/>
      <c r="S95" s="225"/>
      <c r="T95" s="225"/>
      <c r="U95" s="225"/>
      <c r="V95" s="225"/>
      <c r="W95" s="225"/>
      <c r="X95" s="226"/>
      <c r="Y95" s="226"/>
      <c r="Z95" s="186"/>
      <c r="AA95" s="166"/>
      <c r="AB95" s="166"/>
      <c r="AC95" s="166"/>
      <c r="AD95" s="187"/>
      <c r="AE95" s="187"/>
      <c r="AF95" s="187"/>
      <c r="AG95" s="188"/>
      <c r="AH95" s="189"/>
      <c r="AI95" s="182"/>
      <c r="AJ95" s="180"/>
    </row>
    <row r="96" spans="1:36" ht="18" customHeight="1" x14ac:dyDescent="0.3">
      <c r="A96" s="183"/>
      <c r="B96" s="183"/>
      <c r="C96" s="183"/>
      <c r="D96" s="184"/>
      <c r="E96" s="183"/>
      <c r="F96" s="225"/>
      <c r="G96" s="225"/>
      <c r="H96" s="225"/>
      <c r="I96" s="225"/>
      <c r="J96" s="225"/>
      <c r="K96" s="225"/>
      <c r="L96" s="185"/>
      <c r="M96" s="185"/>
      <c r="N96" s="225"/>
      <c r="O96" s="225"/>
      <c r="P96" s="225"/>
      <c r="Q96" s="225"/>
      <c r="R96" s="225"/>
      <c r="S96" s="225"/>
      <c r="T96" s="225"/>
      <c r="U96" s="225"/>
      <c r="V96" s="225"/>
      <c r="W96" s="225"/>
      <c r="X96" s="226"/>
      <c r="Y96" s="226"/>
      <c r="Z96" s="186"/>
      <c r="AA96" s="166"/>
      <c r="AB96" s="166"/>
      <c r="AC96" s="166"/>
      <c r="AD96" s="187"/>
      <c r="AE96" s="187"/>
      <c r="AF96" s="187"/>
      <c r="AG96" s="188"/>
      <c r="AH96" s="189"/>
      <c r="AI96" s="182"/>
      <c r="AJ96" s="180"/>
    </row>
    <row r="97" spans="1:36" ht="18" customHeight="1" x14ac:dyDescent="0.3">
      <c r="A97" s="183"/>
      <c r="B97" s="183"/>
      <c r="C97" s="183"/>
      <c r="D97" s="184"/>
      <c r="E97" s="183"/>
      <c r="F97" s="225"/>
      <c r="G97" s="225"/>
      <c r="H97" s="225"/>
      <c r="I97" s="225"/>
      <c r="J97" s="225"/>
      <c r="K97" s="225"/>
      <c r="L97" s="185"/>
      <c r="M97" s="185"/>
      <c r="N97" s="225"/>
      <c r="O97" s="225"/>
      <c r="P97" s="225"/>
      <c r="Q97" s="225"/>
      <c r="R97" s="225"/>
      <c r="S97" s="225"/>
      <c r="T97" s="225"/>
      <c r="U97" s="225"/>
      <c r="V97" s="225"/>
      <c r="W97" s="225"/>
      <c r="X97" s="226"/>
      <c r="Y97" s="226"/>
      <c r="Z97" s="186"/>
      <c r="AA97" s="166"/>
      <c r="AB97" s="166"/>
      <c r="AC97" s="166"/>
      <c r="AD97" s="187"/>
      <c r="AE97" s="187"/>
      <c r="AF97" s="187"/>
      <c r="AG97" s="188"/>
      <c r="AH97" s="189"/>
      <c r="AI97" s="182"/>
      <c r="AJ97" s="180"/>
    </row>
    <row r="98" spans="1:36" ht="18" customHeight="1" x14ac:dyDescent="0.3">
      <c r="A98" s="183"/>
      <c r="B98" s="183"/>
      <c r="C98" s="183"/>
      <c r="D98" s="184"/>
      <c r="E98" s="183"/>
      <c r="F98" s="225"/>
      <c r="G98" s="225"/>
      <c r="H98" s="225"/>
      <c r="I98" s="225"/>
      <c r="J98" s="225"/>
      <c r="K98" s="225"/>
      <c r="L98" s="185"/>
      <c r="M98" s="18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6"/>
      <c r="Y98" s="226"/>
      <c r="Z98" s="186"/>
      <c r="AA98" s="166"/>
      <c r="AB98" s="166"/>
      <c r="AC98" s="166"/>
      <c r="AD98" s="187"/>
      <c r="AE98" s="187"/>
      <c r="AF98" s="187"/>
      <c r="AG98" s="188"/>
      <c r="AH98" s="189"/>
      <c r="AI98" s="182"/>
      <c r="AJ98" s="180"/>
    </row>
    <row r="99" spans="1:36" ht="18" customHeight="1" x14ac:dyDescent="0.3">
      <c r="A99" s="183"/>
      <c r="B99" s="183"/>
      <c r="C99" s="183"/>
      <c r="D99" s="184"/>
      <c r="E99" s="183"/>
      <c r="F99" s="225"/>
      <c r="G99" s="225"/>
      <c r="H99" s="225"/>
      <c r="I99" s="225"/>
      <c r="J99" s="225"/>
      <c r="K99" s="225"/>
      <c r="L99" s="185"/>
      <c r="M99" s="18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6"/>
      <c r="Y99" s="226"/>
      <c r="Z99" s="186"/>
      <c r="AA99" s="166"/>
      <c r="AB99" s="166"/>
      <c r="AC99" s="166"/>
      <c r="AD99" s="187"/>
      <c r="AE99" s="187"/>
      <c r="AF99" s="187"/>
      <c r="AG99" s="188"/>
      <c r="AH99" s="189"/>
      <c r="AI99" s="182"/>
      <c r="AJ99" s="180"/>
    </row>
    <row r="100" spans="1:36" ht="18" customHeight="1" x14ac:dyDescent="0.3">
      <c r="A100" s="183"/>
      <c r="B100" s="183"/>
      <c r="C100" s="183"/>
      <c r="D100" s="184"/>
      <c r="E100" s="183"/>
      <c r="F100" s="225"/>
      <c r="G100" s="225"/>
      <c r="H100" s="225"/>
      <c r="I100" s="225"/>
      <c r="J100" s="225"/>
      <c r="K100" s="225"/>
      <c r="L100" s="185"/>
      <c r="M100" s="185"/>
      <c r="N100" s="225"/>
      <c r="O100" s="225"/>
      <c r="P100" s="225"/>
      <c r="Q100" s="225"/>
      <c r="R100" s="225"/>
      <c r="S100" s="225"/>
      <c r="T100" s="225"/>
      <c r="U100" s="225"/>
      <c r="V100" s="225"/>
      <c r="W100" s="225"/>
      <c r="X100" s="226"/>
      <c r="Y100" s="226"/>
      <c r="Z100" s="186"/>
      <c r="AA100" s="166"/>
      <c r="AB100" s="166"/>
      <c r="AC100" s="166"/>
      <c r="AD100" s="187"/>
      <c r="AE100" s="187"/>
      <c r="AF100" s="187"/>
      <c r="AG100" s="188"/>
      <c r="AH100" s="189"/>
      <c r="AI100" s="182"/>
      <c r="AJ100" s="180"/>
    </row>
    <row r="101" spans="1:36" ht="18" customHeight="1" x14ac:dyDescent="0.3">
      <c r="A101" s="183"/>
      <c r="B101" s="183"/>
      <c r="C101" s="183"/>
      <c r="D101" s="184"/>
      <c r="E101" s="183"/>
      <c r="F101" s="225"/>
      <c r="G101" s="225"/>
      <c r="H101" s="225"/>
      <c r="I101" s="225"/>
      <c r="J101" s="225"/>
      <c r="K101" s="225"/>
      <c r="L101" s="185"/>
      <c r="M101" s="18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6"/>
      <c r="Y101" s="226"/>
      <c r="Z101" s="186"/>
      <c r="AA101" s="166"/>
      <c r="AB101" s="166"/>
      <c r="AC101" s="166"/>
      <c r="AD101" s="187"/>
      <c r="AE101" s="187"/>
      <c r="AF101" s="187"/>
      <c r="AG101" s="188"/>
      <c r="AH101" s="189"/>
      <c r="AI101" s="182"/>
      <c r="AJ101" s="180"/>
    </row>
    <row r="102" spans="1:36" ht="18" customHeight="1" x14ac:dyDescent="0.3">
      <c r="A102" s="183"/>
      <c r="B102" s="183"/>
      <c r="C102" s="183"/>
      <c r="D102" s="184"/>
      <c r="E102" s="183"/>
      <c r="F102" s="225"/>
      <c r="G102" s="225"/>
      <c r="H102" s="225"/>
      <c r="I102" s="225"/>
      <c r="J102" s="225"/>
      <c r="K102" s="225"/>
      <c r="L102" s="185"/>
      <c r="M102" s="185"/>
      <c r="N102" s="225"/>
      <c r="O102" s="225"/>
      <c r="P102" s="225"/>
      <c r="Q102" s="225"/>
      <c r="R102" s="225"/>
      <c r="S102" s="225"/>
      <c r="T102" s="225"/>
      <c r="U102" s="225"/>
      <c r="V102" s="225"/>
      <c r="W102" s="225"/>
      <c r="X102" s="226"/>
      <c r="Y102" s="226"/>
      <c r="Z102" s="186"/>
      <c r="AA102" s="166"/>
      <c r="AB102" s="166"/>
      <c r="AC102" s="166"/>
      <c r="AD102" s="187"/>
      <c r="AE102" s="187"/>
      <c r="AF102" s="187"/>
      <c r="AG102" s="188"/>
      <c r="AH102" s="189"/>
      <c r="AI102" s="182"/>
      <c r="AJ102" s="180"/>
    </row>
    <row r="103" spans="1:36" ht="18" customHeight="1" x14ac:dyDescent="0.3">
      <c r="A103" s="183"/>
      <c r="B103" s="183"/>
      <c r="C103" s="183"/>
      <c r="D103" s="184"/>
      <c r="E103" s="183"/>
      <c r="F103" s="225"/>
      <c r="G103" s="225"/>
      <c r="H103" s="225"/>
      <c r="I103" s="225"/>
      <c r="J103" s="225"/>
      <c r="K103" s="225"/>
      <c r="L103" s="185"/>
      <c r="M103" s="185"/>
      <c r="N103" s="225"/>
      <c r="O103" s="225"/>
      <c r="P103" s="225"/>
      <c r="Q103" s="225"/>
      <c r="R103" s="225"/>
      <c r="S103" s="225"/>
      <c r="T103" s="225"/>
      <c r="U103" s="225"/>
      <c r="V103" s="225"/>
      <c r="W103" s="225"/>
      <c r="X103" s="226"/>
      <c r="Y103" s="226"/>
      <c r="Z103" s="186"/>
      <c r="AA103" s="166"/>
      <c r="AB103" s="166"/>
      <c r="AC103" s="166"/>
      <c r="AD103" s="187"/>
      <c r="AE103" s="187"/>
      <c r="AF103" s="187"/>
      <c r="AG103" s="188"/>
      <c r="AH103" s="189"/>
      <c r="AI103" s="182"/>
      <c r="AJ103" s="180"/>
    </row>
    <row r="104" spans="1:36" ht="18" customHeight="1" x14ac:dyDescent="0.3">
      <c r="A104" s="183"/>
      <c r="B104" s="183"/>
      <c r="C104" s="183"/>
      <c r="D104" s="184"/>
      <c r="E104" s="183"/>
      <c r="F104" s="225"/>
      <c r="G104" s="225"/>
      <c r="H104" s="225"/>
      <c r="I104" s="225"/>
      <c r="J104" s="225"/>
      <c r="K104" s="225"/>
      <c r="L104" s="185"/>
      <c r="M104" s="185"/>
      <c r="N104" s="225"/>
      <c r="O104" s="225"/>
      <c r="P104" s="225"/>
      <c r="Q104" s="225"/>
      <c r="R104" s="225"/>
      <c r="S104" s="225"/>
      <c r="T104" s="225"/>
      <c r="U104" s="225"/>
      <c r="V104" s="225"/>
      <c r="W104" s="225"/>
      <c r="X104" s="226"/>
      <c r="Y104" s="226"/>
      <c r="Z104" s="186"/>
      <c r="AA104" s="166"/>
      <c r="AB104" s="166"/>
      <c r="AC104" s="166"/>
      <c r="AD104" s="187"/>
      <c r="AE104" s="187"/>
      <c r="AF104" s="187"/>
      <c r="AG104" s="188"/>
      <c r="AH104" s="189"/>
      <c r="AI104" s="182"/>
      <c r="AJ104" s="180"/>
    </row>
    <row r="105" spans="1:36" ht="18" customHeight="1" x14ac:dyDescent="0.3">
      <c r="A105" s="183"/>
      <c r="B105" s="183"/>
      <c r="C105" s="183"/>
      <c r="D105" s="184"/>
      <c r="E105" s="183"/>
      <c r="F105" s="225"/>
      <c r="G105" s="225"/>
      <c r="H105" s="225"/>
      <c r="I105" s="225"/>
      <c r="J105" s="225"/>
      <c r="K105" s="225"/>
      <c r="L105" s="185"/>
      <c r="M105" s="185"/>
      <c r="N105" s="225"/>
      <c r="O105" s="225"/>
      <c r="P105" s="225"/>
      <c r="Q105" s="225"/>
      <c r="R105" s="225"/>
      <c r="S105" s="225"/>
      <c r="T105" s="225"/>
      <c r="U105" s="225"/>
      <c r="V105" s="225"/>
      <c r="W105" s="225"/>
      <c r="X105" s="226"/>
      <c r="Y105" s="226"/>
      <c r="Z105" s="186"/>
      <c r="AA105" s="166"/>
      <c r="AB105" s="166"/>
      <c r="AC105" s="166"/>
      <c r="AD105" s="187"/>
      <c r="AE105" s="187"/>
      <c r="AF105" s="187"/>
      <c r="AG105" s="188"/>
      <c r="AH105" s="189"/>
      <c r="AI105" s="182"/>
      <c r="AJ105" s="180"/>
    </row>
    <row r="106" spans="1:36" ht="18" customHeight="1" x14ac:dyDescent="0.3">
      <c r="A106" s="183"/>
      <c r="B106" s="183"/>
      <c r="C106" s="183"/>
      <c r="D106" s="184"/>
      <c r="E106" s="183"/>
      <c r="F106" s="225"/>
      <c r="G106" s="225"/>
      <c r="H106" s="225"/>
      <c r="I106" s="225"/>
      <c r="J106" s="225"/>
      <c r="K106" s="225"/>
      <c r="L106" s="185"/>
      <c r="M106" s="185"/>
      <c r="N106" s="225"/>
      <c r="O106" s="225"/>
      <c r="P106" s="225"/>
      <c r="Q106" s="225"/>
      <c r="R106" s="225"/>
      <c r="S106" s="225"/>
      <c r="T106" s="225"/>
      <c r="U106" s="225"/>
      <c r="V106" s="225"/>
      <c r="W106" s="225"/>
      <c r="X106" s="226"/>
      <c r="Y106" s="226"/>
      <c r="Z106" s="186"/>
      <c r="AA106" s="166"/>
      <c r="AB106" s="166"/>
      <c r="AC106" s="166"/>
      <c r="AD106" s="187"/>
      <c r="AE106" s="187"/>
      <c r="AF106" s="187"/>
      <c r="AG106" s="188"/>
      <c r="AH106" s="189"/>
      <c r="AI106" s="182"/>
      <c r="AJ106" s="180"/>
    </row>
    <row r="107" spans="1:36" ht="18" customHeight="1" x14ac:dyDescent="0.3">
      <c r="A107" s="183"/>
      <c r="B107" s="183"/>
      <c r="C107" s="183"/>
      <c r="D107" s="184"/>
      <c r="E107" s="183"/>
      <c r="F107" s="225"/>
      <c r="G107" s="225"/>
      <c r="H107" s="225"/>
      <c r="I107" s="225"/>
      <c r="J107" s="225"/>
      <c r="K107" s="225"/>
      <c r="L107" s="185"/>
      <c r="M107" s="185"/>
      <c r="N107" s="225"/>
      <c r="O107" s="225"/>
      <c r="P107" s="225"/>
      <c r="Q107" s="225"/>
      <c r="R107" s="225"/>
      <c r="S107" s="225"/>
      <c r="T107" s="225"/>
      <c r="U107" s="225"/>
      <c r="V107" s="225"/>
      <c r="W107" s="225"/>
      <c r="X107" s="226"/>
      <c r="Y107" s="226"/>
      <c r="Z107" s="186"/>
      <c r="AA107" s="166"/>
      <c r="AB107" s="166"/>
      <c r="AC107" s="166"/>
      <c r="AD107" s="187"/>
      <c r="AE107" s="187"/>
      <c r="AF107" s="187"/>
      <c r="AG107" s="188"/>
      <c r="AH107" s="189"/>
      <c r="AI107" s="182"/>
      <c r="AJ107" s="180"/>
    </row>
    <row r="108" spans="1:36" ht="18" customHeight="1" x14ac:dyDescent="0.3">
      <c r="A108" s="183"/>
      <c r="B108" s="183"/>
      <c r="C108" s="183"/>
      <c r="D108" s="184"/>
      <c r="E108" s="183"/>
      <c r="F108" s="225"/>
      <c r="G108" s="225"/>
      <c r="H108" s="225"/>
      <c r="I108" s="225"/>
      <c r="J108" s="225"/>
      <c r="K108" s="225"/>
      <c r="L108" s="185"/>
      <c r="M108" s="185"/>
      <c r="N108" s="225"/>
      <c r="O108" s="225"/>
      <c r="P108" s="225"/>
      <c r="Q108" s="225"/>
      <c r="R108" s="225"/>
      <c r="S108" s="225"/>
      <c r="T108" s="225"/>
      <c r="U108" s="225"/>
      <c r="V108" s="225"/>
      <c r="W108" s="225"/>
      <c r="X108" s="226"/>
      <c r="Y108" s="226"/>
      <c r="Z108" s="186"/>
      <c r="AA108" s="166"/>
      <c r="AB108" s="166"/>
      <c r="AC108" s="166"/>
      <c r="AD108" s="187"/>
      <c r="AE108" s="187"/>
      <c r="AF108" s="187"/>
      <c r="AG108" s="188"/>
      <c r="AH108" s="189"/>
      <c r="AI108" s="182"/>
      <c r="AJ108" s="180"/>
    </row>
    <row r="109" spans="1:36" x14ac:dyDescent="0.3">
      <c r="Z109" s="176"/>
    </row>
    <row r="110" spans="1:36" s="175" customFormat="1" ht="16.5" customHeight="1" x14ac:dyDescent="0.2">
      <c r="A110" s="166"/>
      <c r="B110" s="167"/>
      <c r="C110" s="168"/>
      <c r="D110" s="169"/>
      <c r="E110" s="170"/>
      <c r="F110" s="171"/>
      <c r="G110" s="171"/>
      <c r="H110" s="171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  <c r="AA110" s="171"/>
      <c r="AB110" s="171"/>
      <c r="AC110" s="171"/>
      <c r="AD110" s="173"/>
      <c r="AE110" s="173"/>
      <c r="AF110" s="174"/>
      <c r="AG110" s="178"/>
      <c r="AH110" s="165"/>
      <c r="AI110" s="165"/>
    </row>
    <row r="116" spans="8:17" x14ac:dyDescent="0.3">
      <c r="H116" s="227" t="s">
        <v>94</v>
      </c>
    </row>
    <row r="117" spans="8:17" x14ac:dyDescent="0.3">
      <c r="Q117" s="227" t="s">
        <v>163</v>
      </c>
    </row>
    <row r="147" spans="1:36" s="7" customFormat="1" ht="18" customHeight="1" x14ac:dyDescent="0.2">
      <c r="A147" s="431">
        <v>2</v>
      </c>
      <c r="B147" s="245" t="s">
        <v>427</v>
      </c>
      <c r="C147" s="246">
        <v>2022</v>
      </c>
      <c r="D147" s="315" t="s">
        <v>497</v>
      </c>
      <c r="E147" s="299" t="s">
        <v>498</v>
      </c>
      <c r="F147" s="432"/>
      <c r="G147" s="432"/>
      <c r="H147" s="432"/>
      <c r="I147" s="432"/>
      <c r="J147" s="432">
        <v>4</v>
      </c>
      <c r="K147" s="442">
        <v>4</v>
      </c>
      <c r="L147" s="432"/>
      <c r="M147" s="432"/>
      <c r="N147" s="432"/>
      <c r="O147" s="432"/>
      <c r="P147" s="432"/>
      <c r="Q147" s="432"/>
      <c r="R147" s="432"/>
      <c r="S147" s="432"/>
      <c r="T147" s="432"/>
      <c r="U147" s="432"/>
      <c r="V147" s="432"/>
      <c r="W147" s="432"/>
      <c r="X147" s="432"/>
      <c r="Y147" s="433"/>
      <c r="Z147" s="243">
        <f>SUM(F147:Y147)/20</f>
        <v>0.4</v>
      </c>
      <c r="AA147" s="268"/>
      <c r="AB147" s="268"/>
      <c r="AC147" s="268"/>
      <c r="AD147" s="243"/>
      <c r="AE147" s="243"/>
      <c r="AF147" s="252"/>
      <c r="AG147" s="358"/>
      <c r="AH147" s="422" t="s">
        <v>201</v>
      </c>
      <c r="AI147" s="181"/>
      <c r="AJ147" s="180">
        <f t="shared" ref="AJ147:AJ159" si="8">AVERAGE(F147:Y147)</f>
        <v>4</v>
      </c>
    </row>
    <row r="148" spans="1:36" s="7" customFormat="1" ht="18" customHeight="1" x14ac:dyDescent="0.2">
      <c r="A148" s="431">
        <v>5</v>
      </c>
      <c r="B148" s="245" t="s">
        <v>428</v>
      </c>
      <c r="C148" s="246">
        <v>2022</v>
      </c>
      <c r="D148" s="315" t="s">
        <v>502</v>
      </c>
      <c r="E148" s="299" t="s">
        <v>503</v>
      </c>
      <c r="F148" s="432"/>
      <c r="G148" s="432"/>
      <c r="H148" s="432"/>
      <c r="I148" s="432"/>
      <c r="J148" s="432">
        <v>4</v>
      </c>
      <c r="K148" s="442">
        <v>4</v>
      </c>
      <c r="L148" s="432"/>
      <c r="M148" s="432"/>
      <c r="N148" s="432"/>
      <c r="O148" s="432"/>
      <c r="P148" s="432"/>
      <c r="Q148" s="432"/>
      <c r="R148" s="432"/>
      <c r="S148" s="432"/>
      <c r="T148" s="432"/>
      <c r="U148" s="432"/>
      <c r="V148" s="432"/>
      <c r="W148" s="432"/>
      <c r="X148" s="432"/>
      <c r="Y148" s="437"/>
      <c r="Z148" s="243">
        <f t="shared" ref="Z148:Z157" si="9">SUM(F148:Y148)/20</f>
        <v>0.4</v>
      </c>
      <c r="AA148" s="268"/>
      <c r="AB148" s="268"/>
      <c r="AC148" s="268"/>
      <c r="AD148" s="243"/>
      <c r="AE148" s="243"/>
      <c r="AF148" s="252"/>
      <c r="AG148" s="358"/>
      <c r="AH148" s="422" t="s">
        <v>12</v>
      </c>
      <c r="AI148" s="181"/>
      <c r="AJ148" s="221">
        <f t="shared" si="8"/>
        <v>4</v>
      </c>
    </row>
    <row r="149" spans="1:36" s="7" customFormat="1" ht="18" customHeight="1" x14ac:dyDescent="0.2">
      <c r="A149" s="431">
        <v>9</v>
      </c>
      <c r="B149" s="245" t="s">
        <v>429</v>
      </c>
      <c r="C149" s="246">
        <v>2022</v>
      </c>
      <c r="D149" s="315" t="s">
        <v>510</v>
      </c>
      <c r="E149" s="292" t="s">
        <v>225</v>
      </c>
      <c r="F149" s="432"/>
      <c r="G149" s="432"/>
      <c r="H149" s="432"/>
      <c r="I149" s="432"/>
      <c r="J149" s="432">
        <v>4</v>
      </c>
      <c r="K149" s="442">
        <v>4</v>
      </c>
      <c r="L149" s="432"/>
      <c r="M149" s="432"/>
      <c r="N149" s="432"/>
      <c r="O149" s="432"/>
      <c r="P149" s="432"/>
      <c r="Q149" s="432"/>
      <c r="R149" s="432"/>
      <c r="S149" s="432"/>
      <c r="T149" s="432"/>
      <c r="U149" s="432"/>
      <c r="V149" s="432"/>
      <c r="W149" s="432"/>
      <c r="X149" s="432"/>
      <c r="Y149" s="438"/>
      <c r="Z149" s="243">
        <f t="shared" si="9"/>
        <v>0.4</v>
      </c>
      <c r="AA149" s="268"/>
      <c r="AB149" s="268"/>
      <c r="AC149" s="268"/>
      <c r="AD149" s="243"/>
      <c r="AE149" s="243"/>
      <c r="AF149" s="252"/>
      <c r="AG149" s="358"/>
      <c r="AH149" s="436" t="s">
        <v>169</v>
      </c>
      <c r="AI149" s="181"/>
      <c r="AJ149" s="180">
        <f t="shared" si="8"/>
        <v>4</v>
      </c>
    </row>
    <row r="150" spans="1:36" s="450" customFormat="1" ht="18" customHeight="1" x14ac:dyDescent="0.2">
      <c r="A150" s="431">
        <v>10</v>
      </c>
      <c r="B150" s="245" t="s">
        <v>430</v>
      </c>
      <c r="C150" s="246">
        <v>2022</v>
      </c>
      <c r="D150" s="440" t="s">
        <v>511</v>
      </c>
      <c r="E150" s="441" t="s">
        <v>512</v>
      </c>
      <c r="F150" s="442"/>
      <c r="G150" s="442"/>
      <c r="H150" s="442"/>
      <c r="I150" s="442"/>
      <c r="J150" s="442">
        <v>4</v>
      </c>
      <c r="K150" s="442">
        <v>4</v>
      </c>
      <c r="L150" s="442"/>
      <c r="M150" s="442"/>
      <c r="N150" s="442"/>
      <c r="O150" s="442"/>
      <c r="P150" s="442"/>
      <c r="Q150" s="442"/>
      <c r="R150" s="442"/>
      <c r="S150" s="442"/>
      <c r="T150" s="442"/>
      <c r="U150" s="442"/>
      <c r="V150" s="442"/>
      <c r="W150" s="442"/>
      <c r="X150" s="442"/>
      <c r="Y150" s="443"/>
      <c r="Z150" s="243">
        <f t="shared" si="9"/>
        <v>0.4</v>
      </c>
      <c r="AA150" s="445"/>
      <c r="AB150" s="445"/>
      <c r="AC150" s="445"/>
      <c r="AD150" s="444"/>
      <c r="AE150" s="444"/>
      <c r="AF150" s="252"/>
      <c r="AG150" s="446"/>
      <c r="AH150" s="447" t="s">
        <v>184</v>
      </c>
      <c r="AI150" s="448"/>
      <c r="AJ150" s="449">
        <f t="shared" si="8"/>
        <v>4</v>
      </c>
    </row>
    <row r="151" spans="1:36" s="7" customFormat="1" ht="18" customHeight="1" x14ac:dyDescent="0.2">
      <c r="A151" s="431">
        <v>11</v>
      </c>
      <c r="B151" s="245" t="s">
        <v>431</v>
      </c>
      <c r="C151" s="246">
        <v>2022</v>
      </c>
      <c r="D151" s="315" t="s">
        <v>513</v>
      </c>
      <c r="E151" s="292" t="s">
        <v>514</v>
      </c>
      <c r="F151" s="432"/>
      <c r="G151" s="432"/>
      <c r="H151" s="432"/>
      <c r="I151" s="432"/>
      <c r="J151" s="432">
        <v>4</v>
      </c>
      <c r="K151" s="442">
        <v>4</v>
      </c>
      <c r="L151" s="432"/>
      <c r="M151" s="432"/>
      <c r="N151" s="432"/>
      <c r="O151" s="432"/>
      <c r="P151" s="432"/>
      <c r="Q151" s="432"/>
      <c r="R151" s="432"/>
      <c r="S151" s="432"/>
      <c r="T151" s="432"/>
      <c r="U151" s="432"/>
      <c r="V151" s="432"/>
      <c r="W151" s="432"/>
      <c r="X151" s="432"/>
      <c r="Y151" s="432"/>
      <c r="Z151" s="243">
        <f t="shared" si="9"/>
        <v>0.4</v>
      </c>
      <c r="AA151" s="268"/>
      <c r="AB151" s="268"/>
      <c r="AC151" s="268"/>
      <c r="AD151" s="243"/>
      <c r="AE151" s="243"/>
      <c r="AF151" s="252"/>
      <c r="AG151" s="358"/>
      <c r="AH151" s="422" t="s">
        <v>141</v>
      </c>
      <c r="AI151" s="181"/>
      <c r="AJ151" s="180">
        <f t="shared" si="8"/>
        <v>4</v>
      </c>
    </row>
    <row r="152" spans="1:36" s="7" customFormat="1" ht="18" customHeight="1" x14ac:dyDescent="0.2">
      <c r="A152" s="431">
        <v>37</v>
      </c>
      <c r="B152" s="245" t="s">
        <v>432</v>
      </c>
      <c r="C152" s="246">
        <v>2022</v>
      </c>
      <c r="D152" s="269" t="s">
        <v>562</v>
      </c>
      <c r="E152" s="294" t="s">
        <v>563</v>
      </c>
      <c r="F152" s="433"/>
      <c r="G152" s="433"/>
      <c r="H152" s="433"/>
      <c r="I152" s="433"/>
      <c r="J152" s="433">
        <v>4</v>
      </c>
      <c r="K152" s="433">
        <v>4</v>
      </c>
      <c r="L152" s="433"/>
      <c r="M152" s="433"/>
      <c r="N152" s="433"/>
      <c r="O152" s="433"/>
      <c r="P152" s="433"/>
      <c r="Q152" s="433"/>
      <c r="R152" s="433"/>
      <c r="S152" s="433"/>
      <c r="T152" s="433"/>
      <c r="U152" s="433"/>
      <c r="V152" s="433"/>
      <c r="W152" s="433"/>
      <c r="X152" s="433"/>
      <c r="Y152" s="433"/>
      <c r="Z152" s="243">
        <f t="shared" si="9"/>
        <v>0.4</v>
      </c>
      <c r="AA152" s="242"/>
      <c r="AB152" s="242"/>
      <c r="AC152" s="242"/>
      <c r="AD152" s="277">
        <f t="shared" ref="AD152:AD153" si="10">SUM(AA152:AC152)/3</f>
        <v>0</v>
      </c>
      <c r="AE152" s="277">
        <f t="shared" ref="AE152:AE157" si="11">SUM(Z152+AD152)/2</f>
        <v>0.2</v>
      </c>
      <c r="AF152" s="252"/>
      <c r="AG152" s="273"/>
      <c r="AH152" s="263" t="s">
        <v>141</v>
      </c>
      <c r="AI152" s="181"/>
      <c r="AJ152" s="180">
        <f t="shared" si="8"/>
        <v>4</v>
      </c>
    </row>
    <row r="153" spans="1:36" s="7" customFormat="1" ht="18" customHeight="1" x14ac:dyDescent="0.2">
      <c r="A153" s="431">
        <v>40</v>
      </c>
      <c r="B153" s="245" t="s">
        <v>433</v>
      </c>
      <c r="C153" s="246">
        <v>2022</v>
      </c>
      <c r="D153" s="269" t="s">
        <v>663</v>
      </c>
      <c r="E153" s="302" t="s">
        <v>568</v>
      </c>
      <c r="F153" s="434"/>
      <c r="G153" s="433"/>
      <c r="H153" s="433"/>
      <c r="I153" s="433"/>
      <c r="J153" s="443">
        <v>4</v>
      </c>
      <c r="K153" s="443">
        <v>4</v>
      </c>
      <c r="L153" s="433"/>
      <c r="M153" s="433"/>
      <c r="N153" s="433"/>
      <c r="O153" s="433"/>
      <c r="P153" s="433"/>
      <c r="Q153" s="433"/>
      <c r="R153" s="433"/>
      <c r="S153" s="433"/>
      <c r="T153" s="433"/>
      <c r="U153" s="433"/>
      <c r="V153" s="433"/>
      <c r="W153" s="433"/>
      <c r="X153" s="433"/>
      <c r="Y153" s="433"/>
      <c r="Z153" s="243">
        <f t="shared" si="9"/>
        <v>0.4</v>
      </c>
      <c r="AA153" s="242"/>
      <c r="AB153" s="242"/>
      <c r="AC153" s="242"/>
      <c r="AD153" s="277">
        <f t="shared" si="10"/>
        <v>0</v>
      </c>
      <c r="AE153" s="277">
        <f t="shared" si="11"/>
        <v>0.2</v>
      </c>
      <c r="AF153" s="252"/>
      <c r="AG153" s="273"/>
      <c r="AH153" s="263" t="s">
        <v>173</v>
      </c>
      <c r="AI153" s="181"/>
      <c r="AJ153" s="180">
        <f t="shared" si="8"/>
        <v>4</v>
      </c>
    </row>
    <row r="154" spans="1:36" s="7" customFormat="1" ht="18" customHeight="1" x14ac:dyDescent="0.2">
      <c r="A154" s="431">
        <v>49</v>
      </c>
      <c r="B154" s="245" t="s">
        <v>434</v>
      </c>
      <c r="C154" s="246">
        <v>2022</v>
      </c>
      <c r="D154" s="269" t="s">
        <v>584</v>
      </c>
      <c r="E154" s="292" t="s">
        <v>585</v>
      </c>
      <c r="F154" s="433"/>
      <c r="G154" s="433"/>
      <c r="H154" s="433"/>
      <c r="I154" s="433"/>
      <c r="J154" s="433">
        <v>4</v>
      </c>
      <c r="K154" s="443">
        <v>4</v>
      </c>
      <c r="L154" s="433"/>
      <c r="M154" s="433"/>
      <c r="N154" s="433"/>
      <c r="O154" s="433"/>
      <c r="P154" s="433"/>
      <c r="Q154" s="433"/>
      <c r="R154" s="433"/>
      <c r="S154" s="433"/>
      <c r="T154" s="433"/>
      <c r="U154" s="433"/>
      <c r="V154" s="433"/>
      <c r="W154" s="433"/>
      <c r="X154" s="433"/>
      <c r="Y154" s="433"/>
      <c r="Z154" s="243">
        <f t="shared" si="9"/>
        <v>0.4</v>
      </c>
      <c r="AA154" s="242"/>
      <c r="AB154" s="242"/>
      <c r="AC154" s="242"/>
      <c r="AD154" s="277">
        <f t="shared" ref="AD154:AD157" si="12">SUM(AA154:AC154)/3</f>
        <v>0</v>
      </c>
      <c r="AE154" s="277">
        <f t="shared" si="11"/>
        <v>0.2</v>
      </c>
      <c r="AF154" s="252"/>
      <c r="AG154" s="273"/>
      <c r="AH154" s="261" t="s">
        <v>141</v>
      </c>
      <c r="AI154" s="181"/>
      <c r="AJ154" s="180">
        <f t="shared" si="8"/>
        <v>4</v>
      </c>
    </row>
    <row r="155" spans="1:36" s="7" customFormat="1" ht="18" customHeight="1" x14ac:dyDescent="0.2">
      <c r="A155" s="431">
        <v>50</v>
      </c>
      <c r="B155" s="245" t="s">
        <v>435</v>
      </c>
      <c r="C155" s="246">
        <v>2022</v>
      </c>
      <c r="D155" s="269" t="s">
        <v>586</v>
      </c>
      <c r="E155" s="299" t="s">
        <v>152</v>
      </c>
      <c r="F155" s="433"/>
      <c r="G155" s="433"/>
      <c r="H155" s="433"/>
      <c r="I155" s="433"/>
      <c r="J155" s="433">
        <v>4</v>
      </c>
      <c r="K155" s="443">
        <v>3</v>
      </c>
      <c r="L155" s="433"/>
      <c r="M155" s="433"/>
      <c r="N155" s="433"/>
      <c r="O155" s="433"/>
      <c r="P155" s="433"/>
      <c r="Q155" s="433"/>
      <c r="R155" s="433"/>
      <c r="S155" s="433"/>
      <c r="T155" s="433"/>
      <c r="U155" s="433"/>
      <c r="V155" s="433"/>
      <c r="W155" s="433"/>
      <c r="X155" s="433"/>
      <c r="Y155" s="433"/>
      <c r="Z155" s="243">
        <f t="shared" si="9"/>
        <v>0.35</v>
      </c>
      <c r="AA155" s="242"/>
      <c r="AB155" s="242"/>
      <c r="AC155" s="242"/>
      <c r="AD155" s="277">
        <f t="shared" si="12"/>
        <v>0</v>
      </c>
      <c r="AE155" s="277">
        <f t="shared" si="11"/>
        <v>0.17499999999999999</v>
      </c>
      <c r="AF155" s="252"/>
      <c r="AG155" s="273"/>
      <c r="AH155" s="263" t="s">
        <v>15</v>
      </c>
      <c r="AI155" s="181"/>
      <c r="AJ155" s="180">
        <f t="shared" si="8"/>
        <v>3.5</v>
      </c>
    </row>
    <row r="156" spans="1:36" s="7" customFormat="1" ht="18" customHeight="1" x14ac:dyDescent="0.2">
      <c r="A156" s="431">
        <v>51</v>
      </c>
      <c r="B156" s="245" t="s">
        <v>436</v>
      </c>
      <c r="C156" s="246">
        <v>2022</v>
      </c>
      <c r="D156" s="269" t="s">
        <v>143</v>
      </c>
      <c r="E156" s="294" t="s">
        <v>587</v>
      </c>
      <c r="F156" s="433"/>
      <c r="G156" s="433"/>
      <c r="H156" s="433"/>
      <c r="I156" s="433"/>
      <c r="J156" s="433">
        <v>4</v>
      </c>
      <c r="K156" s="443">
        <v>4</v>
      </c>
      <c r="L156" s="433"/>
      <c r="M156" s="433"/>
      <c r="N156" s="433"/>
      <c r="O156" s="433"/>
      <c r="P156" s="433"/>
      <c r="Q156" s="433"/>
      <c r="R156" s="433"/>
      <c r="S156" s="433"/>
      <c r="T156" s="433"/>
      <c r="U156" s="433"/>
      <c r="V156" s="433"/>
      <c r="W156" s="433"/>
      <c r="X156" s="433"/>
      <c r="Y156" s="433"/>
      <c r="Z156" s="243">
        <f t="shared" si="9"/>
        <v>0.4</v>
      </c>
      <c r="AA156" s="242"/>
      <c r="AB156" s="242"/>
      <c r="AC156" s="242"/>
      <c r="AD156" s="277">
        <f t="shared" si="12"/>
        <v>0</v>
      </c>
      <c r="AE156" s="277">
        <f t="shared" si="11"/>
        <v>0.2</v>
      </c>
      <c r="AF156" s="252"/>
      <c r="AG156" s="273"/>
      <c r="AH156" s="300" t="s">
        <v>219</v>
      </c>
      <c r="AI156" s="181"/>
      <c r="AJ156" s="180">
        <f t="shared" si="8"/>
        <v>4</v>
      </c>
    </row>
    <row r="157" spans="1:36" s="7" customFormat="1" ht="18" customHeight="1" x14ac:dyDescent="0.2">
      <c r="A157" s="431">
        <v>52</v>
      </c>
      <c r="B157" s="245" t="s">
        <v>437</v>
      </c>
      <c r="C157" s="246">
        <v>2022</v>
      </c>
      <c r="D157" s="269" t="s">
        <v>588</v>
      </c>
      <c r="E157" s="292" t="s">
        <v>589</v>
      </c>
      <c r="F157" s="433"/>
      <c r="G157" s="433"/>
      <c r="H157" s="433"/>
      <c r="I157" s="433"/>
      <c r="J157" s="433">
        <v>4</v>
      </c>
      <c r="K157" s="443">
        <v>4</v>
      </c>
      <c r="L157" s="433"/>
      <c r="M157" s="433"/>
      <c r="N157" s="433"/>
      <c r="O157" s="433"/>
      <c r="P157" s="433"/>
      <c r="Q157" s="433"/>
      <c r="R157" s="433"/>
      <c r="S157" s="433"/>
      <c r="T157" s="433"/>
      <c r="U157" s="433"/>
      <c r="V157" s="433"/>
      <c r="W157" s="433"/>
      <c r="X157" s="433"/>
      <c r="Y157" s="433"/>
      <c r="Z157" s="243">
        <f t="shared" si="9"/>
        <v>0.4</v>
      </c>
      <c r="AA157" s="242"/>
      <c r="AB157" s="242"/>
      <c r="AC157" s="242"/>
      <c r="AD157" s="277">
        <f t="shared" si="12"/>
        <v>0</v>
      </c>
      <c r="AE157" s="277">
        <f t="shared" si="11"/>
        <v>0.2</v>
      </c>
      <c r="AF157" s="252"/>
      <c r="AG157" s="273"/>
      <c r="AH157" s="263" t="s">
        <v>201</v>
      </c>
      <c r="AI157" s="181"/>
      <c r="AJ157" s="180">
        <f t="shared" si="8"/>
        <v>4</v>
      </c>
    </row>
    <row r="158" spans="1:36" s="7" customFormat="1" ht="18" customHeight="1" x14ac:dyDescent="0.2">
      <c r="A158" s="431">
        <v>75</v>
      </c>
      <c r="B158" s="245" t="s">
        <v>438</v>
      </c>
      <c r="C158" s="246">
        <v>2022</v>
      </c>
      <c r="D158" s="269" t="s">
        <v>629</v>
      </c>
      <c r="E158" s="294" t="s">
        <v>630</v>
      </c>
      <c r="F158" s="433"/>
      <c r="G158" s="433"/>
      <c r="H158" s="433"/>
      <c r="I158" s="433"/>
      <c r="J158" s="443">
        <v>4</v>
      </c>
      <c r="K158" s="443">
        <v>4</v>
      </c>
      <c r="L158" s="433"/>
      <c r="M158" s="433"/>
      <c r="N158" s="433"/>
      <c r="O158" s="433"/>
      <c r="P158" s="433"/>
      <c r="Q158" s="433"/>
      <c r="R158" s="433"/>
      <c r="S158" s="433"/>
      <c r="T158" s="433"/>
      <c r="U158" s="433"/>
      <c r="V158" s="433"/>
      <c r="W158" s="433"/>
      <c r="X158" s="433"/>
      <c r="Y158" s="433"/>
      <c r="Z158" s="243">
        <f t="shared" ref="Z158:Z159" si="13">SUM(F158:Y158)/20</f>
        <v>0.4</v>
      </c>
      <c r="AA158" s="242"/>
      <c r="AB158" s="242"/>
      <c r="AC158" s="242"/>
      <c r="AD158" s="277"/>
      <c r="AE158" s="277"/>
      <c r="AF158" s="252"/>
      <c r="AG158" s="273"/>
      <c r="AH158" s="261" t="s">
        <v>184</v>
      </c>
      <c r="AI158" s="181"/>
      <c r="AJ158" s="180">
        <f t="shared" si="8"/>
        <v>4</v>
      </c>
    </row>
    <row r="159" spans="1:36" s="7" customFormat="1" ht="18" customHeight="1" x14ac:dyDescent="0.2">
      <c r="A159" s="431">
        <v>92</v>
      </c>
      <c r="B159" s="245" t="s">
        <v>442</v>
      </c>
      <c r="C159" s="246">
        <v>2022</v>
      </c>
      <c r="D159" s="514" t="s">
        <v>661</v>
      </c>
      <c r="E159" s="515" t="s">
        <v>662</v>
      </c>
      <c r="F159" s="516"/>
      <c r="G159" s="517"/>
      <c r="H159" s="517"/>
      <c r="I159" s="517"/>
      <c r="J159" s="614">
        <v>4</v>
      </c>
      <c r="K159" s="614">
        <v>4</v>
      </c>
      <c r="L159" s="517"/>
      <c r="M159" s="517"/>
      <c r="N159" s="517"/>
      <c r="O159" s="517"/>
      <c r="P159" s="517"/>
      <c r="Q159" s="517"/>
      <c r="R159" s="517"/>
      <c r="S159" s="517"/>
      <c r="T159" s="517"/>
      <c r="U159" s="517"/>
      <c r="V159" s="517"/>
      <c r="W159" s="517"/>
      <c r="X159" s="517"/>
      <c r="Y159" s="517"/>
      <c r="Z159" s="243">
        <f t="shared" si="13"/>
        <v>0.4</v>
      </c>
      <c r="AA159" s="320"/>
      <c r="AB159" s="320"/>
      <c r="AC159" s="320"/>
      <c r="AD159" s="518"/>
      <c r="AE159" s="518"/>
      <c r="AF159" s="519"/>
      <c r="AG159" s="520"/>
      <c r="AH159" s="305" t="s">
        <v>169</v>
      </c>
      <c r="AI159" s="181"/>
      <c r="AJ159" s="180">
        <f t="shared" si="8"/>
        <v>4</v>
      </c>
    </row>
    <row r="160" spans="1:36" ht="18" customHeight="1" thickBot="1" x14ac:dyDescent="0.35">
      <c r="A160" s="53"/>
      <c r="B160" s="54"/>
      <c r="C160" s="55"/>
      <c r="D160" s="231"/>
      <c r="E160" s="56"/>
      <c r="F160" s="224"/>
      <c r="G160" s="224"/>
      <c r="H160" s="224"/>
      <c r="I160" s="224"/>
      <c r="J160" s="224"/>
      <c r="K160" s="224"/>
      <c r="L160" s="57"/>
      <c r="M160" s="57"/>
      <c r="N160" s="224"/>
      <c r="O160" s="224"/>
      <c r="P160" s="224"/>
      <c r="Q160" s="224"/>
      <c r="R160" s="224"/>
      <c r="S160" s="224"/>
      <c r="T160" s="224"/>
      <c r="U160" s="224"/>
      <c r="V160" s="224"/>
      <c r="W160" s="224"/>
      <c r="X160" s="220"/>
      <c r="Y160" s="220"/>
      <c r="Z160" s="61"/>
      <c r="AA160" s="60"/>
      <c r="AB160" s="60"/>
      <c r="AC160" s="60"/>
      <c r="AD160" s="59"/>
      <c r="AE160" s="59"/>
      <c r="AF160" s="59"/>
      <c r="AG160" s="164"/>
      <c r="AH160" s="58"/>
      <c r="AI160" s="182"/>
      <c r="AJ160" s="180"/>
    </row>
    <row r="161" ht="19.5" thickTop="1" x14ac:dyDescent="0.3"/>
  </sheetData>
  <autoFilter ref="Z6:AJ87">
    <filterColumn colId="1" showButton="0"/>
    <filterColumn colId="2" showButton="0"/>
    <filterColumn colId="3" showButton="0"/>
  </autoFilter>
  <mergeCells count="15">
    <mergeCell ref="E1:AH1"/>
    <mergeCell ref="E2:AH2"/>
    <mergeCell ref="E3:AF3"/>
    <mergeCell ref="E4:AH4"/>
    <mergeCell ref="A6:A7"/>
    <mergeCell ref="B6:C7"/>
    <mergeCell ref="D6:D7"/>
    <mergeCell ref="E6:E7"/>
    <mergeCell ref="F6:X6"/>
    <mergeCell ref="Z6:Z7"/>
    <mergeCell ref="AA6:AD6"/>
    <mergeCell ref="AE6:AE7"/>
    <mergeCell ref="AF6:AF7"/>
    <mergeCell ref="AG6:AG7"/>
    <mergeCell ref="AH6:AH7"/>
  </mergeCells>
  <printOptions horizontalCentered="1"/>
  <pageMargins left="0.63" right="0.16" top="0.27" bottom="0.31" header="0.23" footer="0.27"/>
  <pageSetup scale="98"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51"/>
  <sheetViews>
    <sheetView topLeftCell="A26" zoomScale="120" zoomScaleNormal="120" workbookViewId="0">
      <selection activeCell="K17" sqref="K17"/>
    </sheetView>
  </sheetViews>
  <sheetFormatPr defaultRowHeight="18.75" x14ac:dyDescent="0.3"/>
  <cols>
    <col min="1" max="1" width="2.59765625" style="1" customWidth="1"/>
    <col min="2" max="3" width="3.796875" style="1" customWidth="1"/>
    <col min="4" max="4" width="14.69921875" customWidth="1"/>
    <col min="5" max="5" width="7.69921875" style="1" customWidth="1"/>
    <col min="6" max="8" width="3.19921875" style="1" customWidth="1"/>
    <col min="9" max="9" width="3.19921875" style="237" customWidth="1"/>
    <col min="10" max="18" width="3.19921875" style="1" customWidth="1"/>
    <col min="19" max="19" width="3.796875" style="44" customWidth="1"/>
    <col min="20" max="22" width="2.19921875" style="22" hidden="1" customWidth="1"/>
    <col min="23" max="24" width="3.3984375" style="1" hidden="1" customWidth="1"/>
    <col min="25" max="25" width="3.3984375" style="40" customWidth="1"/>
    <col min="26" max="26" width="4.3984375" style="15" hidden="1" customWidth="1"/>
    <col min="27" max="27" width="22.09765625" style="1" customWidth="1"/>
    <col min="28" max="28" width="1.5" customWidth="1"/>
    <col min="29" max="29" width="6" customWidth="1"/>
  </cols>
  <sheetData>
    <row r="1" spans="1:29" s="6" customFormat="1" ht="17.25" x14ac:dyDescent="0.3">
      <c r="B1" s="8"/>
      <c r="C1" s="8"/>
      <c r="D1" s="8"/>
      <c r="E1" s="1233" t="s">
        <v>29</v>
      </c>
      <c r="F1" s="1233"/>
      <c r="G1" s="1233"/>
      <c r="H1" s="1233"/>
      <c r="I1" s="1233"/>
      <c r="J1" s="1233"/>
      <c r="K1" s="1233"/>
      <c r="L1" s="1233"/>
      <c r="M1" s="1233"/>
      <c r="N1" s="1233"/>
      <c r="O1" s="1233"/>
      <c r="P1" s="1233"/>
      <c r="Q1" s="1233"/>
      <c r="R1" s="1233"/>
      <c r="S1" s="1233"/>
      <c r="T1" s="1233"/>
      <c r="U1" s="1233"/>
      <c r="V1" s="1233"/>
      <c r="W1" s="1233"/>
      <c r="X1" s="1233"/>
      <c r="Y1" s="1233"/>
      <c r="Z1" s="1233"/>
      <c r="AA1" s="1233"/>
    </row>
    <row r="2" spans="1:29" s="6" customFormat="1" ht="17.25" hidden="1" x14ac:dyDescent="0.3">
      <c r="B2" s="8"/>
      <c r="C2" s="8"/>
      <c r="D2" s="8"/>
      <c r="E2" s="1199" t="s">
        <v>105</v>
      </c>
      <c r="F2" s="1199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9"/>
      <c r="W2" s="1199"/>
      <c r="X2" s="1199"/>
      <c r="Y2" s="1199"/>
      <c r="Z2" s="1199"/>
      <c r="AA2" s="1199"/>
    </row>
    <row r="3" spans="1:29" s="6" customFormat="1" ht="15.75" x14ac:dyDescent="0.25">
      <c r="B3" s="10"/>
      <c r="C3" s="10"/>
      <c r="D3" s="10"/>
      <c r="E3" s="1200" t="s">
        <v>444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0"/>
      <c r="R3" s="1200"/>
      <c r="S3" s="1200"/>
      <c r="T3" s="1200"/>
      <c r="U3" s="1200"/>
      <c r="V3" s="1200"/>
      <c r="W3" s="1200"/>
      <c r="X3" s="1200"/>
      <c r="Y3" s="1200"/>
      <c r="Z3" s="1200"/>
      <c r="AA3" s="1200"/>
    </row>
    <row r="4" spans="1:29" s="6" customFormat="1" ht="15.75" hidden="1" x14ac:dyDescent="0.25">
      <c r="B4" s="11"/>
      <c r="C4" s="11"/>
      <c r="D4" s="11"/>
      <c r="E4" s="1201" t="s">
        <v>32</v>
      </c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1"/>
      <c r="U4" s="1201"/>
      <c r="V4" s="1201"/>
      <c r="W4" s="1201"/>
      <c r="X4" s="1201"/>
      <c r="Y4" s="1201"/>
      <c r="Z4" s="1201"/>
      <c r="AA4" s="1201"/>
    </row>
    <row r="5" spans="1:29" s="6" customFormat="1" ht="15.75" customHeight="1" x14ac:dyDescent="0.25">
      <c r="B5" s="10"/>
      <c r="C5" s="10"/>
      <c r="D5" s="10"/>
      <c r="E5" s="1234" t="s">
        <v>445</v>
      </c>
      <c r="F5" s="1234"/>
      <c r="G5" s="1234"/>
      <c r="H5" s="1234"/>
      <c r="I5" s="1234"/>
      <c r="J5" s="1234"/>
      <c r="K5" s="1234"/>
      <c r="L5" s="1234"/>
      <c r="M5" s="1234"/>
      <c r="N5" s="1234"/>
      <c r="O5" s="1234"/>
      <c r="P5" s="1234"/>
      <c r="Q5" s="1234"/>
      <c r="R5" s="1234"/>
      <c r="S5" s="1234"/>
      <c r="T5" s="1234"/>
      <c r="U5" s="1234"/>
      <c r="V5" s="1234"/>
      <c r="W5" s="1234"/>
      <c r="X5" s="1234"/>
      <c r="Y5" s="1234"/>
      <c r="Z5" s="1234"/>
      <c r="AA5" s="1234"/>
    </row>
    <row r="6" spans="1:29" ht="10.5" customHeight="1" thickBot="1" x14ac:dyDescent="0.3">
      <c r="A6" s="2"/>
      <c r="B6" s="2"/>
      <c r="C6" s="2"/>
      <c r="D6" s="47"/>
      <c r="E6" s="47"/>
      <c r="F6" s="47"/>
      <c r="G6" s="47"/>
      <c r="H6" s="47"/>
      <c r="I6" s="239"/>
      <c r="J6" s="47"/>
      <c r="K6" s="47"/>
      <c r="L6" s="47"/>
      <c r="M6" s="47"/>
      <c r="N6" s="47"/>
      <c r="O6" s="47"/>
      <c r="P6" s="47"/>
      <c r="Q6" s="47"/>
      <c r="R6" s="47"/>
      <c r="S6" s="216"/>
      <c r="T6" s="51"/>
      <c r="U6" s="51"/>
      <c r="V6" s="51"/>
      <c r="W6" s="47"/>
      <c r="X6" s="47"/>
      <c r="Y6" s="216"/>
      <c r="Z6" s="47"/>
      <c r="AA6" s="47"/>
      <c r="AB6" s="112"/>
    </row>
    <row r="7" spans="1:29" s="6" customFormat="1" ht="18.75" customHeight="1" thickTop="1" x14ac:dyDescent="0.2">
      <c r="A7" s="1203" t="s">
        <v>91</v>
      </c>
      <c r="B7" s="1205" t="s">
        <v>106</v>
      </c>
      <c r="C7" s="1206"/>
      <c r="D7" s="1210" t="s">
        <v>92</v>
      </c>
      <c r="E7" s="1238" t="s">
        <v>93</v>
      </c>
      <c r="F7" s="1224" t="s">
        <v>452</v>
      </c>
      <c r="G7" s="1225"/>
      <c r="H7" s="1225"/>
      <c r="I7" s="1225"/>
      <c r="J7" s="1225"/>
      <c r="K7" s="1225"/>
      <c r="L7" s="1225"/>
      <c r="M7" s="1225"/>
      <c r="N7" s="1225"/>
      <c r="O7" s="1225"/>
      <c r="P7" s="1225"/>
      <c r="Q7" s="1225"/>
      <c r="R7" s="1225"/>
      <c r="S7" s="1222" t="s">
        <v>102</v>
      </c>
      <c r="T7" s="1224" t="s">
        <v>104</v>
      </c>
      <c r="U7" s="1225"/>
      <c r="V7" s="1225"/>
      <c r="W7" s="1226"/>
      <c r="X7" s="1216" t="s">
        <v>99</v>
      </c>
      <c r="Y7" s="1228" t="s">
        <v>100</v>
      </c>
      <c r="Z7" s="1230" t="s">
        <v>103</v>
      </c>
      <c r="AA7" s="1220" t="s">
        <v>90</v>
      </c>
      <c r="AB7" s="6">
        <v>18</v>
      </c>
    </row>
    <row r="8" spans="1:29" s="6" customFormat="1" ht="173.25" customHeight="1" x14ac:dyDescent="0.2">
      <c r="A8" s="1204"/>
      <c r="B8" s="1235"/>
      <c r="C8" s="1236"/>
      <c r="D8" s="1237"/>
      <c r="E8" s="1237"/>
      <c r="F8" s="37" t="s">
        <v>330</v>
      </c>
      <c r="G8" s="52" t="s">
        <v>96</v>
      </c>
      <c r="H8" s="136" t="s">
        <v>446</v>
      </c>
      <c r="I8" s="228" t="s">
        <v>107</v>
      </c>
      <c r="J8" s="217" t="s">
        <v>289</v>
      </c>
      <c r="K8" s="228" t="s">
        <v>129</v>
      </c>
      <c r="L8" s="137" t="s">
        <v>448</v>
      </c>
      <c r="M8" s="137" t="s">
        <v>290</v>
      </c>
      <c r="N8" s="137" t="s">
        <v>291</v>
      </c>
      <c r="O8" s="137" t="s">
        <v>447</v>
      </c>
      <c r="P8" s="217" t="s">
        <v>449</v>
      </c>
      <c r="Q8" s="228" t="s">
        <v>450</v>
      </c>
      <c r="R8" s="228" t="s">
        <v>292</v>
      </c>
      <c r="S8" s="1223"/>
      <c r="T8" s="228" t="s">
        <v>108</v>
      </c>
      <c r="U8" s="228" t="s">
        <v>97</v>
      </c>
      <c r="V8" s="228" t="s">
        <v>96</v>
      </c>
      <c r="W8" s="50" t="s">
        <v>98</v>
      </c>
      <c r="X8" s="1227"/>
      <c r="Y8" s="1229"/>
      <c r="Z8" s="1231"/>
      <c r="AA8" s="1232"/>
      <c r="AB8" s="6" t="s">
        <v>94</v>
      </c>
    </row>
    <row r="9" spans="1:29" s="351" customFormat="1" ht="18" customHeight="1" x14ac:dyDescent="0.2">
      <c r="A9" s="521">
        <v>1</v>
      </c>
      <c r="B9" s="245" t="s">
        <v>1808</v>
      </c>
      <c r="C9" s="246">
        <v>2022</v>
      </c>
      <c r="D9" s="315" t="s">
        <v>668</v>
      </c>
      <c r="E9" s="303" t="s">
        <v>669</v>
      </c>
      <c r="F9" s="266">
        <v>7.4</v>
      </c>
      <c r="G9" s="267">
        <v>7</v>
      </c>
      <c r="H9" s="267">
        <v>6.5</v>
      </c>
      <c r="I9" s="267">
        <v>7</v>
      </c>
      <c r="J9" s="242">
        <v>7.4</v>
      </c>
      <c r="K9" s="242">
        <v>8</v>
      </c>
      <c r="L9" s="268">
        <v>7</v>
      </c>
      <c r="M9" s="266">
        <v>6.5</v>
      </c>
      <c r="N9" s="266">
        <v>7</v>
      </c>
      <c r="O9" s="266">
        <v>8</v>
      </c>
      <c r="P9" s="266">
        <v>7.5</v>
      </c>
      <c r="Q9" s="267">
        <v>6.5</v>
      </c>
      <c r="R9" s="267">
        <v>7</v>
      </c>
      <c r="S9" s="243">
        <f>SUM(F9:R9)/13</f>
        <v>7.138461538461538</v>
      </c>
      <c r="T9" s="522"/>
      <c r="U9" s="522"/>
      <c r="V9" s="522"/>
      <c r="W9" s="243">
        <f t="shared" ref="W9:W35" si="0">SUM(T9:V9)/3</f>
        <v>0</v>
      </c>
      <c r="X9" s="243">
        <f t="shared" ref="X9:X35" si="1">SUM(S9+W9)/2</f>
        <v>3.569230769230769</v>
      </c>
      <c r="Y9" s="252" t="s">
        <v>101</v>
      </c>
      <c r="Z9" s="258"/>
      <c r="AA9" s="259" t="s">
        <v>190</v>
      </c>
      <c r="AB9" s="374"/>
      <c r="AC9" s="357">
        <f t="shared" ref="AC9:AC40" si="2">AVERAGE(F9:R9)</f>
        <v>7.138461538461538</v>
      </c>
    </row>
    <row r="10" spans="1:29" s="256" customFormat="1" ht="18" customHeight="1" x14ac:dyDescent="0.2">
      <c r="A10" s="431">
        <v>2</v>
      </c>
      <c r="B10" s="245" t="s">
        <v>1809</v>
      </c>
      <c r="C10" s="246">
        <v>2022</v>
      </c>
      <c r="D10" s="315" t="s">
        <v>670</v>
      </c>
      <c r="E10" s="303" t="s">
        <v>671</v>
      </c>
      <c r="F10" s="268">
        <v>8.5</v>
      </c>
      <c r="G10" s="268">
        <v>8</v>
      </c>
      <c r="H10" s="268">
        <v>8</v>
      </c>
      <c r="I10" s="242">
        <v>8</v>
      </c>
      <c r="J10" s="242">
        <v>8</v>
      </c>
      <c r="K10" s="242">
        <v>8</v>
      </c>
      <c r="L10" s="242">
        <v>8</v>
      </c>
      <c r="M10" s="242">
        <v>8</v>
      </c>
      <c r="N10" s="242">
        <v>8</v>
      </c>
      <c r="O10" s="242">
        <v>8</v>
      </c>
      <c r="P10" s="242">
        <v>7.5</v>
      </c>
      <c r="Q10" s="242">
        <v>7</v>
      </c>
      <c r="R10" s="242">
        <v>8</v>
      </c>
      <c r="S10" s="243">
        <f t="shared" ref="S10:S40" si="3">SUM(F10:R10)/13</f>
        <v>7.9230769230769234</v>
      </c>
      <c r="T10" s="242"/>
      <c r="U10" s="242"/>
      <c r="V10" s="242"/>
      <c r="W10" s="277">
        <f t="shared" si="0"/>
        <v>0</v>
      </c>
      <c r="X10" s="277">
        <f t="shared" si="1"/>
        <v>3.9615384615384617</v>
      </c>
      <c r="Y10" s="252" t="s">
        <v>101</v>
      </c>
      <c r="Z10" s="260"/>
      <c r="AA10" s="261" t="s">
        <v>198</v>
      </c>
      <c r="AB10" s="374"/>
      <c r="AC10" s="357">
        <f t="shared" si="2"/>
        <v>7.9230769230769234</v>
      </c>
    </row>
    <row r="11" spans="1:29" s="256" customFormat="1" ht="18" customHeight="1" x14ac:dyDescent="0.2">
      <c r="A11" s="523">
        <v>3</v>
      </c>
      <c r="B11" s="245" t="s">
        <v>1810</v>
      </c>
      <c r="C11" s="246">
        <v>2022</v>
      </c>
      <c r="D11" s="269" t="s">
        <v>672</v>
      </c>
      <c r="E11" s="292" t="s">
        <v>673</v>
      </c>
      <c r="F11" s="242">
        <v>8</v>
      </c>
      <c r="G11" s="268">
        <v>8</v>
      </c>
      <c r="H11" s="242">
        <v>8</v>
      </c>
      <c r="I11" s="242">
        <v>8</v>
      </c>
      <c r="J11" s="242">
        <v>7</v>
      </c>
      <c r="K11" s="242">
        <v>8</v>
      </c>
      <c r="L11" s="242">
        <v>8</v>
      </c>
      <c r="M11" s="242">
        <v>7</v>
      </c>
      <c r="N11" s="242">
        <v>8</v>
      </c>
      <c r="O11" s="242">
        <v>8</v>
      </c>
      <c r="P11" s="242">
        <v>8</v>
      </c>
      <c r="Q11" s="242">
        <v>8</v>
      </c>
      <c r="R11" s="242">
        <v>8</v>
      </c>
      <c r="S11" s="243">
        <f t="shared" si="3"/>
        <v>7.8461538461538458</v>
      </c>
      <c r="T11" s="242"/>
      <c r="U11" s="242"/>
      <c r="V11" s="242"/>
      <c r="W11" s="277">
        <f t="shared" si="0"/>
        <v>0</v>
      </c>
      <c r="X11" s="277">
        <f t="shared" si="1"/>
        <v>3.9230769230769229</v>
      </c>
      <c r="Y11" s="252" t="s">
        <v>101</v>
      </c>
      <c r="Z11" s="262"/>
      <c r="AA11" s="263" t="s">
        <v>721</v>
      </c>
      <c r="AB11" s="374"/>
      <c r="AC11" s="357">
        <f t="shared" si="2"/>
        <v>7.8461538461538458</v>
      </c>
    </row>
    <row r="12" spans="1:29" s="256" customFormat="1" ht="18" customHeight="1" x14ac:dyDescent="0.2">
      <c r="A12" s="523">
        <v>4</v>
      </c>
      <c r="B12" s="245" t="s">
        <v>1811</v>
      </c>
      <c r="C12" s="246">
        <v>2022</v>
      </c>
      <c r="D12" s="269" t="s">
        <v>674</v>
      </c>
      <c r="E12" s="292" t="s">
        <v>589</v>
      </c>
      <c r="F12" s="242">
        <v>7</v>
      </c>
      <c r="G12" s="268">
        <v>7.5</v>
      </c>
      <c r="H12" s="242">
        <v>7</v>
      </c>
      <c r="I12" s="242">
        <v>7</v>
      </c>
      <c r="J12" s="242">
        <v>7.4</v>
      </c>
      <c r="K12" s="242">
        <v>8</v>
      </c>
      <c r="L12" s="242">
        <v>7</v>
      </c>
      <c r="M12" s="242">
        <v>7.5</v>
      </c>
      <c r="N12" s="242">
        <v>7.5</v>
      </c>
      <c r="O12" s="242">
        <v>7</v>
      </c>
      <c r="P12" s="242">
        <v>6.5</v>
      </c>
      <c r="Q12" s="242">
        <v>7</v>
      </c>
      <c r="R12" s="242">
        <v>7</v>
      </c>
      <c r="S12" s="243">
        <f t="shared" si="3"/>
        <v>7.1846153846153848</v>
      </c>
      <c r="T12" s="242"/>
      <c r="U12" s="242"/>
      <c r="V12" s="242"/>
      <c r="W12" s="277">
        <f t="shared" si="0"/>
        <v>0</v>
      </c>
      <c r="X12" s="277">
        <f t="shared" si="1"/>
        <v>3.5923076923076924</v>
      </c>
      <c r="Y12" s="252" t="s">
        <v>101</v>
      </c>
      <c r="Z12" s="262"/>
      <c r="AA12" s="263" t="s">
        <v>196</v>
      </c>
      <c r="AB12" s="374"/>
      <c r="AC12" s="357">
        <f t="shared" si="2"/>
        <v>7.1846153846153848</v>
      </c>
    </row>
    <row r="13" spans="1:29" s="256" customFormat="1" ht="18" customHeight="1" x14ac:dyDescent="0.2">
      <c r="A13" s="523">
        <v>5</v>
      </c>
      <c r="B13" s="245" t="s">
        <v>1812</v>
      </c>
      <c r="C13" s="246">
        <v>2022</v>
      </c>
      <c r="D13" s="269" t="s">
        <v>675</v>
      </c>
      <c r="E13" s="292" t="s">
        <v>676</v>
      </c>
      <c r="F13" s="242">
        <v>7.5</v>
      </c>
      <c r="G13" s="268">
        <v>7</v>
      </c>
      <c r="H13" s="242">
        <v>7</v>
      </c>
      <c r="I13" s="242">
        <v>5</v>
      </c>
      <c r="J13" s="242">
        <v>7.4</v>
      </c>
      <c r="K13" s="242">
        <v>8</v>
      </c>
      <c r="L13" s="242">
        <v>7.5</v>
      </c>
      <c r="M13" s="242">
        <v>7</v>
      </c>
      <c r="N13" s="242">
        <v>7.5</v>
      </c>
      <c r="O13" s="242">
        <v>7.5</v>
      </c>
      <c r="P13" s="242">
        <v>7.5</v>
      </c>
      <c r="Q13" s="242">
        <v>7.5</v>
      </c>
      <c r="R13" s="242">
        <v>7.5</v>
      </c>
      <c r="S13" s="243">
        <f t="shared" si="3"/>
        <v>7.2230769230769232</v>
      </c>
      <c r="T13" s="242"/>
      <c r="U13" s="242"/>
      <c r="V13" s="242"/>
      <c r="W13" s="277">
        <f t="shared" si="0"/>
        <v>0</v>
      </c>
      <c r="X13" s="277">
        <f t="shared" si="1"/>
        <v>3.6115384615384616</v>
      </c>
      <c r="Y13" s="252" t="s">
        <v>101</v>
      </c>
      <c r="Z13" s="262"/>
      <c r="AA13" s="263" t="s">
        <v>187</v>
      </c>
      <c r="AB13" s="374"/>
      <c r="AC13" s="357">
        <f t="shared" si="2"/>
        <v>7.2230769230769232</v>
      </c>
    </row>
    <row r="14" spans="1:29" s="256" customFormat="1" ht="18" customHeight="1" x14ac:dyDescent="0.2">
      <c r="A14" s="523">
        <v>6</v>
      </c>
      <c r="B14" s="245" t="s">
        <v>1813</v>
      </c>
      <c r="C14" s="246">
        <v>2022</v>
      </c>
      <c r="D14" s="269" t="s">
        <v>677</v>
      </c>
      <c r="E14" s="441" t="s">
        <v>1360</v>
      </c>
      <c r="F14" s="242">
        <v>6.8</v>
      </c>
      <c r="G14" s="268">
        <v>7</v>
      </c>
      <c r="H14" s="242">
        <v>7.5</v>
      </c>
      <c r="I14" s="242">
        <v>5</v>
      </c>
      <c r="J14" s="242">
        <v>5.5</v>
      </c>
      <c r="K14" s="242">
        <v>8</v>
      </c>
      <c r="L14" s="242">
        <v>7.5</v>
      </c>
      <c r="M14" s="242">
        <v>7.5</v>
      </c>
      <c r="N14" s="242">
        <v>7.5</v>
      </c>
      <c r="O14" s="242">
        <v>7.5</v>
      </c>
      <c r="P14" s="242">
        <v>7.5</v>
      </c>
      <c r="Q14" s="242">
        <v>7.5</v>
      </c>
      <c r="R14" s="242">
        <v>7.5</v>
      </c>
      <c r="S14" s="243">
        <f t="shared" si="3"/>
        <v>7.1</v>
      </c>
      <c r="T14" s="242"/>
      <c r="U14" s="242"/>
      <c r="V14" s="242"/>
      <c r="W14" s="277">
        <f t="shared" si="0"/>
        <v>0</v>
      </c>
      <c r="X14" s="277">
        <f t="shared" si="1"/>
        <v>3.55</v>
      </c>
      <c r="Y14" s="252" t="s">
        <v>101</v>
      </c>
      <c r="Z14" s="262"/>
      <c r="AA14" s="263" t="s">
        <v>196</v>
      </c>
      <c r="AB14" s="374"/>
      <c r="AC14" s="357">
        <f t="shared" si="2"/>
        <v>7.1</v>
      </c>
    </row>
    <row r="15" spans="1:29" s="256" customFormat="1" ht="18" customHeight="1" x14ac:dyDescent="0.2">
      <c r="A15" s="523">
        <v>7</v>
      </c>
      <c r="B15" s="245" t="s">
        <v>1814</v>
      </c>
      <c r="C15" s="246">
        <v>2022</v>
      </c>
      <c r="D15" s="269" t="s">
        <v>678</v>
      </c>
      <c r="E15" s="292" t="s">
        <v>679</v>
      </c>
      <c r="F15" s="242">
        <v>7.5</v>
      </c>
      <c r="G15" s="268">
        <v>7</v>
      </c>
      <c r="H15" s="242">
        <v>7.5</v>
      </c>
      <c r="I15" s="242">
        <v>7</v>
      </c>
      <c r="J15" s="242">
        <v>7</v>
      </c>
      <c r="K15" s="242">
        <v>8</v>
      </c>
      <c r="L15" s="242">
        <v>6.5</v>
      </c>
      <c r="M15" s="242">
        <v>7</v>
      </c>
      <c r="N15" s="242">
        <v>7.5</v>
      </c>
      <c r="O15" s="242">
        <v>7.5</v>
      </c>
      <c r="P15" s="242">
        <v>7</v>
      </c>
      <c r="Q15" s="242">
        <v>7</v>
      </c>
      <c r="R15" s="242">
        <v>7</v>
      </c>
      <c r="S15" s="243">
        <f t="shared" si="3"/>
        <v>7.1923076923076925</v>
      </c>
      <c r="T15" s="242"/>
      <c r="U15" s="242"/>
      <c r="V15" s="242"/>
      <c r="W15" s="277">
        <f t="shared" si="0"/>
        <v>0</v>
      </c>
      <c r="X15" s="277">
        <f t="shared" si="1"/>
        <v>3.5961538461538463</v>
      </c>
      <c r="Y15" s="252" t="s">
        <v>101</v>
      </c>
      <c r="Z15" s="262"/>
      <c r="AA15" s="263" t="s">
        <v>193</v>
      </c>
      <c r="AB15" s="374"/>
      <c r="AC15" s="357">
        <f t="shared" si="2"/>
        <v>7.1923076923076925</v>
      </c>
    </row>
    <row r="16" spans="1:29" s="256" customFormat="1" ht="18" customHeight="1" x14ac:dyDescent="0.2">
      <c r="A16" s="523">
        <v>8</v>
      </c>
      <c r="B16" s="245" t="s">
        <v>1815</v>
      </c>
      <c r="C16" s="246">
        <v>2022</v>
      </c>
      <c r="D16" s="269" t="s">
        <v>680</v>
      </c>
      <c r="E16" s="292" t="s">
        <v>681</v>
      </c>
      <c r="F16" s="242">
        <v>7.8</v>
      </c>
      <c r="G16" s="268">
        <v>7</v>
      </c>
      <c r="H16" s="242">
        <v>7</v>
      </c>
      <c r="I16" s="242">
        <v>7</v>
      </c>
      <c r="J16" s="242">
        <v>7</v>
      </c>
      <c r="K16" s="242">
        <v>8</v>
      </c>
      <c r="L16" s="242">
        <v>7</v>
      </c>
      <c r="M16" s="242">
        <v>7.5</v>
      </c>
      <c r="N16" s="242">
        <v>6.5</v>
      </c>
      <c r="O16" s="242">
        <v>6.5</v>
      </c>
      <c r="P16" s="242">
        <v>7.5</v>
      </c>
      <c r="Q16" s="242">
        <v>7</v>
      </c>
      <c r="R16" s="242">
        <v>6.5</v>
      </c>
      <c r="S16" s="243">
        <f t="shared" si="3"/>
        <v>7.1</v>
      </c>
      <c r="T16" s="242"/>
      <c r="U16" s="242"/>
      <c r="V16" s="242"/>
      <c r="W16" s="277">
        <f t="shared" si="0"/>
        <v>0</v>
      </c>
      <c r="X16" s="277">
        <f t="shared" si="1"/>
        <v>3.55</v>
      </c>
      <c r="Y16" s="252" t="s">
        <v>95</v>
      </c>
      <c r="Z16" s="262"/>
      <c r="AA16" s="263" t="s">
        <v>182</v>
      </c>
      <c r="AB16" s="374"/>
      <c r="AC16" s="357">
        <f t="shared" si="2"/>
        <v>7.1</v>
      </c>
    </row>
    <row r="17" spans="1:29" s="256" customFormat="1" ht="18" customHeight="1" x14ac:dyDescent="0.2">
      <c r="A17" s="523">
        <v>9</v>
      </c>
      <c r="B17" s="245" t="s">
        <v>1816</v>
      </c>
      <c r="C17" s="246">
        <v>2022</v>
      </c>
      <c r="D17" s="269" t="s">
        <v>682</v>
      </c>
      <c r="E17" s="292" t="s">
        <v>237</v>
      </c>
      <c r="F17" s="242">
        <v>7</v>
      </c>
      <c r="G17" s="268">
        <v>7</v>
      </c>
      <c r="H17" s="242">
        <v>7.5</v>
      </c>
      <c r="I17" s="242">
        <v>7</v>
      </c>
      <c r="J17" s="242">
        <v>5.5</v>
      </c>
      <c r="K17" s="242">
        <v>8</v>
      </c>
      <c r="L17" s="242">
        <v>7</v>
      </c>
      <c r="M17" s="242">
        <v>7.5</v>
      </c>
      <c r="N17" s="242">
        <v>7.5</v>
      </c>
      <c r="O17" s="242">
        <v>8</v>
      </c>
      <c r="P17" s="242">
        <v>7.5</v>
      </c>
      <c r="Q17" s="242">
        <v>7.5</v>
      </c>
      <c r="R17" s="242">
        <v>7.5</v>
      </c>
      <c r="S17" s="243">
        <f t="shared" si="3"/>
        <v>7.2692307692307692</v>
      </c>
      <c r="T17" s="242"/>
      <c r="U17" s="242"/>
      <c r="V17" s="242"/>
      <c r="W17" s="277">
        <f t="shared" si="0"/>
        <v>0</v>
      </c>
      <c r="X17" s="277">
        <f t="shared" si="1"/>
        <v>3.6346153846153846</v>
      </c>
      <c r="Y17" s="252" t="s">
        <v>101</v>
      </c>
      <c r="Z17" s="262"/>
      <c r="AA17" s="263" t="s">
        <v>198</v>
      </c>
      <c r="AB17" s="374"/>
      <c r="AC17" s="357">
        <f t="shared" si="2"/>
        <v>7.2692307692307692</v>
      </c>
    </row>
    <row r="18" spans="1:29" s="256" customFormat="1" ht="18" customHeight="1" x14ac:dyDescent="0.2">
      <c r="A18" s="523">
        <v>10</v>
      </c>
      <c r="B18" s="245" t="s">
        <v>1817</v>
      </c>
      <c r="C18" s="246">
        <v>2022</v>
      </c>
      <c r="D18" s="269" t="s">
        <v>683</v>
      </c>
      <c r="E18" s="441" t="s">
        <v>1840</v>
      </c>
      <c r="F18" s="242">
        <v>8.4</v>
      </c>
      <c r="G18" s="268">
        <v>7.5</v>
      </c>
      <c r="H18" s="242">
        <v>6.5</v>
      </c>
      <c r="I18" s="242">
        <v>6</v>
      </c>
      <c r="J18" s="242">
        <v>8</v>
      </c>
      <c r="K18" s="242">
        <v>8</v>
      </c>
      <c r="L18" s="242">
        <v>7</v>
      </c>
      <c r="M18" s="242">
        <v>7.5</v>
      </c>
      <c r="N18" s="242">
        <v>7</v>
      </c>
      <c r="O18" s="242">
        <v>7.5</v>
      </c>
      <c r="P18" s="242">
        <v>6.5</v>
      </c>
      <c r="Q18" s="242">
        <v>7.5</v>
      </c>
      <c r="R18" s="242">
        <v>7</v>
      </c>
      <c r="S18" s="243">
        <f t="shared" si="3"/>
        <v>7.2615384615384624</v>
      </c>
      <c r="T18" s="242"/>
      <c r="U18" s="242"/>
      <c r="V18" s="242"/>
      <c r="W18" s="277">
        <f t="shared" si="0"/>
        <v>0</v>
      </c>
      <c r="X18" s="277">
        <f t="shared" si="1"/>
        <v>3.6307692307692312</v>
      </c>
      <c r="Y18" s="252" t="s">
        <v>101</v>
      </c>
      <c r="Z18" s="262"/>
      <c r="AA18" s="263" t="s">
        <v>193</v>
      </c>
      <c r="AB18" s="374"/>
      <c r="AC18" s="357">
        <f t="shared" si="2"/>
        <v>7.2615384615384624</v>
      </c>
    </row>
    <row r="19" spans="1:29" s="256" customFormat="1" ht="18" customHeight="1" x14ac:dyDescent="0.2">
      <c r="A19" s="523">
        <v>11</v>
      </c>
      <c r="B19" s="245" t="s">
        <v>1818</v>
      </c>
      <c r="C19" s="246">
        <v>2022</v>
      </c>
      <c r="D19" s="269" t="s">
        <v>684</v>
      </c>
      <c r="E19" s="292" t="s">
        <v>685</v>
      </c>
      <c r="F19" s="242">
        <v>6.8</v>
      </c>
      <c r="G19" s="268">
        <v>7</v>
      </c>
      <c r="H19" s="242">
        <v>7.5</v>
      </c>
      <c r="I19" s="242">
        <v>7</v>
      </c>
      <c r="J19" s="242">
        <v>5</v>
      </c>
      <c r="K19" s="242">
        <v>8</v>
      </c>
      <c r="L19" s="242">
        <v>7.5</v>
      </c>
      <c r="M19" s="242">
        <v>7</v>
      </c>
      <c r="N19" s="242">
        <v>7.5</v>
      </c>
      <c r="O19" s="242">
        <v>7.5</v>
      </c>
      <c r="P19" s="242">
        <v>7.5</v>
      </c>
      <c r="Q19" s="242">
        <v>7</v>
      </c>
      <c r="R19" s="242">
        <v>7.5</v>
      </c>
      <c r="S19" s="243">
        <f t="shared" si="3"/>
        <v>7.138461538461538</v>
      </c>
      <c r="T19" s="242"/>
      <c r="U19" s="242"/>
      <c r="V19" s="242"/>
      <c r="W19" s="277">
        <f t="shared" si="0"/>
        <v>0</v>
      </c>
      <c r="X19" s="277">
        <f t="shared" si="1"/>
        <v>3.569230769230769</v>
      </c>
      <c r="Y19" s="252" t="s">
        <v>101</v>
      </c>
      <c r="Z19" s="262"/>
      <c r="AA19" s="263" t="s">
        <v>190</v>
      </c>
      <c r="AB19" s="374"/>
      <c r="AC19" s="357">
        <f t="shared" si="2"/>
        <v>7.138461538461538</v>
      </c>
    </row>
    <row r="20" spans="1:29" s="256" customFormat="1" ht="18" customHeight="1" x14ac:dyDescent="0.2">
      <c r="A20" s="523">
        <v>12</v>
      </c>
      <c r="B20" s="245" t="s">
        <v>1819</v>
      </c>
      <c r="C20" s="246">
        <v>2022</v>
      </c>
      <c r="D20" s="610" t="s">
        <v>1841</v>
      </c>
      <c r="E20" s="292" t="s">
        <v>686</v>
      </c>
      <c r="F20" s="242">
        <v>7.5</v>
      </c>
      <c r="G20" s="268">
        <v>7</v>
      </c>
      <c r="H20" s="242">
        <v>6.5</v>
      </c>
      <c r="I20" s="242">
        <v>8</v>
      </c>
      <c r="J20" s="242">
        <v>7</v>
      </c>
      <c r="K20" s="242">
        <v>8</v>
      </c>
      <c r="L20" s="242">
        <v>6.5</v>
      </c>
      <c r="M20" s="242">
        <v>7.5</v>
      </c>
      <c r="N20" s="242">
        <v>6.5</v>
      </c>
      <c r="O20" s="242">
        <v>7</v>
      </c>
      <c r="P20" s="242">
        <v>7</v>
      </c>
      <c r="Q20" s="242">
        <v>6.5</v>
      </c>
      <c r="R20" s="242">
        <v>6.5</v>
      </c>
      <c r="S20" s="243">
        <f t="shared" si="3"/>
        <v>7.0384615384615383</v>
      </c>
      <c r="T20" s="242"/>
      <c r="U20" s="242"/>
      <c r="V20" s="242"/>
      <c r="W20" s="277">
        <f t="shared" si="0"/>
        <v>0</v>
      </c>
      <c r="X20" s="277">
        <f t="shared" si="1"/>
        <v>3.5192307692307692</v>
      </c>
      <c r="Y20" s="252" t="s">
        <v>95</v>
      </c>
      <c r="Z20" s="262"/>
      <c r="AA20" s="263" t="s">
        <v>198</v>
      </c>
      <c r="AB20" s="374"/>
      <c r="AC20" s="357">
        <f t="shared" si="2"/>
        <v>7.0384615384615383</v>
      </c>
    </row>
    <row r="21" spans="1:29" s="256" customFormat="1" ht="18" customHeight="1" x14ac:dyDescent="0.2">
      <c r="A21" s="523">
        <v>13</v>
      </c>
      <c r="B21" s="245" t="s">
        <v>1820</v>
      </c>
      <c r="C21" s="246">
        <v>2022</v>
      </c>
      <c r="D21" s="269" t="s">
        <v>687</v>
      </c>
      <c r="E21" s="292" t="s">
        <v>530</v>
      </c>
      <c r="F21" s="242">
        <v>8</v>
      </c>
      <c r="G21" s="268">
        <v>7.5</v>
      </c>
      <c r="H21" s="242">
        <v>7</v>
      </c>
      <c r="I21" s="242">
        <v>6</v>
      </c>
      <c r="J21" s="242">
        <v>7</v>
      </c>
      <c r="K21" s="242">
        <v>8</v>
      </c>
      <c r="L21" s="242">
        <v>7</v>
      </c>
      <c r="M21" s="242">
        <v>7</v>
      </c>
      <c r="N21" s="242">
        <v>7</v>
      </c>
      <c r="O21" s="242">
        <v>7.5</v>
      </c>
      <c r="P21" s="242">
        <v>7</v>
      </c>
      <c r="Q21" s="242">
        <v>7.5</v>
      </c>
      <c r="R21" s="242">
        <v>7.5</v>
      </c>
      <c r="S21" s="243">
        <f t="shared" si="3"/>
        <v>7.2307692307692308</v>
      </c>
      <c r="T21" s="242"/>
      <c r="U21" s="242"/>
      <c r="V21" s="242"/>
      <c r="W21" s="277">
        <f t="shared" si="0"/>
        <v>0</v>
      </c>
      <c r="X21" s="277">
        <f t="shared" si="1"/>
        <v>3.6153846153846154</v>
      </c>
      <c r="Y21" s="252" t="s">
        <v>101</v>
      </c>
      <c r="Z21" s="262"/>
      <c r="AA21" s="263" t="s">
        <v>198</v>
      </c>
      <c r="AB21" s="374"/>
      <c r="AC21" s="357">
        <f t="shared" si="2"/>
        <v>7.2307692307692308</v>
      </c>
    </row>
    <row r="22" spans="1:29" s="256" customFormat="1" ht="18" customHeight="1" x14ac:dyDescent="0.2">
      <c r="A22" s="523">
        <v>14</v>
      </c>
      <c r="B22" s="245" t="s">
        <v>1821</v>
      </c>
      <c r="C22" s="246">
        <v>2022</v>
      </c>
      <c r="D22" s="269" t="s">
        <v>688</v>
      </c>
      <c r="E22" s="292" t="s">
        <v>689</v>
      </c>
      <c r="F22" s="242">
        <v>7</v>
      </c>
      <c r="G22" s="268">
        <v>7.5</v>
      </c>
      <c r="H22" s="242">
        <v>7</v>
      </c>
      <c r="I22" s="242">
        <v>7</v>
      </c>
      <c r="J22" s="242">
        <v>7</v>
      </c>
      <c r="K22" s="242">
        <v>8</v>
      </c>
      <c r="L22" s="242">
        <v>7</v>
      </c>
      <c r="M22" s="242">
        <v>7.5</v>
      </c>
      <c r="N22" s="242">
        <v>7</v>
      </c>
      <c r="O22" s="242">
        <v>7.5</v>
      </c>
      <c r="P22" s="242">
        <v>6.5</v>
      </c>
      <c r="Q22" s="242">
        <v>7</v>
      </c>
      <c r="R22" s="242">
        <v>7</v>
      </c>
      <c r="S22" s="243">
        <f t="shared" si="3"/>
        <v>7.1538461538461542</v>
      </c>
      <c r="T22" s="242"/>
      <c r="U22" s="242"/>
      <c r="V22" s="242"/>
      <c r="W22" s="277">
        <f t="shared" si="0"/>
        <v>0</v>
      </c>
      <c r="X22" s="277">
        <f t="shared" si="1"/>
        <v>3.5769230769230771</v>
      </c>
      <c r="Y22" s="252" t="s">
        <v>101</v>
      </c>
      <c r="Z22" s="262"/>
      <c r="AA22" s="263" t="s">
        <v>182</v>
      </c>
      <c r="AB22" s="374"/>
      <c r="AC22" s="357">
        <f t="shared" si="2"/>
        <v>7.1538461538461542</v>
      </c>
    </row>
    <row r="23" spans="1:29" s="256" customFormat="1" ht="18" customHeight="1" x14ac:dyDescent="0.2">
      <c r="A23" s="523">
        <v>15</v>
      </c>
      <c r="B23" s="245" t="s">
        <v>1822</v>
      </c>
      <c r="C23" s="246">
        <v>2022</v>
      </c>
      <c r="D23" s="269" t="s">
        <v>690</v>
      </c>
      <c r="E23" s="292" t="s">
        <v>691</v>
      </c>
      <c r="F23" s="242">
        <v>7.5</v>
      </c>
      <c r="G23" s="268">
        <v>7.5</v>
      </c>
      <c r="H23" s="242">
        <v>7.5</v>
      </c>
      <c r="I23" s="242">
        <v>7</v>
      </c>
      <c r="J23" s="242">
        <v>7</v>
      </c>
      <c r="K23" s="242">
        <v>8</v>
      </c>
      <c r="L23" s="242">
        <v>7.5</v>
      </c>
      <c r="M23" s="242">
        <v>7</v>
      </c>
      <c r="N23" s="242">
        <v>7</v>
      </c>
      <c r="O23" s="242">
        <v>7.5</v>
      </c>
      <c r="P23" s="242">
        <v>7</v>
      </c>
      <c r="Q23" s="242">
        <v>7</v>
      </c>
      <c r="R23" s="242">
        <v>7</v>
      </c>
      <c r="S23" s="243">
        <f t="shared" si="3"/>
        <v>7.2692307692307692</v>
      </c>
      <c r="T23" s="242"/>
      <c r="U23" s="242"/>
      <c r="V23" s="242"/>
      <c r="W23" s="277">
        <f t="shared" si="0"/>
        <v>0</v>
      </c>
      <c r="X23" s="277">
        <f t="shared" si="1"/>
        <v>3.6346153846153846</v>
      </c>
      <c r="Y23" s="252" t="s">
        <v>101</v>
      </c>
      <c r="Z23" s="262"/>
      <c r="AA23" s="263" t="s">
        <v>198</v>
      </c>
      <c r="AB23" s="374"/>
      <c r="AC23" s="357">
        <f t="shared" si="2"/>
        <v>7.2692307692307692</v>
      </c>
    </row>
    <row r="24" spans="1:29" s="256" customFormat="1" ht="18" customHeight="1" x14ac:dyDescent="0.2">
      <c r="A24" s="523">
        <v>16</v>
      </c>
      <c r="B24" s="245" t="s">
        <v>1823</v>
      </c>
      <c r="C24" s="246">
        <v>2022</v>
      </c>
      <c r="D24" s="269" t="s">
        <v>692</v>
      </c>
      <c r="E24" s="292" t="s">
        <v>693</v>
      </c>
      <c r="F24" s="242">
        <v>7.7</v>
      </c>
      <c r="G24" s="268">
        <v>7.5</v>
      </c>
      <c r="H24" s="242">
        <v>8</v>
      </c>
      <c r="I24" s="242">
        <v>6</v>
      </c>
      <c r="J24" s="242">
        <v>7.4</v>
      </c>
      <c r="K24" s="242">
        <v>8</v>
      </c>
      <c r="L24" s="242">
        <v>7.5</v>
      </c>
      <c r="M24" s="242">
        <v>7.5</v>
      </c>
      <c r="N24" s="242">
        <v>7</v>
      </c>
      <c r="O24" s="242">
        <v>7.5</v>
      </c>
      <c r="P24" s="242">
        <v>7</v>
      </c>
      <c r="Q24" s="242">
        <v>6.5</v>
      </c>
      <c r="R24" s="242">
        <v>7</v>
      </c>
      <c r="S24" s="243">
        <f t="shared" si="3"/>
        <v>7.2769230769230768</v>
      </c>
      <c r="T24" s="242"/>
      <c r="U24" s="242"/>
      <c r="V24" s="242"/>
      <c r="W24" s="277">
        <f t="shared" si="0"/>
        <v>0</v>
      </c>
      <c r="X24" s="277">
        <f t="shared" si="1"/>
        <v>3.6384615384615384</v>
      </c>
      <c r="Y24" s="252" t="s">
        <v>101</v>
      </c>
      <c r="Z24" s="262"/>
      <c r="AA24" s="263" t="s">
        <v>214</v>
      </c>
      <c r="AB24" s="374"/>
      <c r="AC24" s="357">
        <f t="shared" si="2"/>
        <v>7.2769230769230768</v>
      </c>
    </row>
    <row r="25" spans="1:29" s="256" customFormat="1" ht="18" customHeight="1" x14ac:dyDescent="0.2">
      <c r="A25" s="523">
        <v>17</v>
      </c>
      <c r="B25" s="245" t="s">
        <v>1824</v>
      </c>
      <c r="C25" s="246">
        <v>2022</v>
      </c>
      <c r="D25" s="269" t="s">
        <v>694</v>
      </c>
      <c r="E25" s="292" t="s">
        <v>695</v>
      </c>
      <c r="F25" s="242">
        <v>7.5</v>
      </c>
      <c r="G25" s="268">
        <v>7.5</v>
      </c>
      <c r="H25" s="242">
        <v>7.5</v>
      </c>
      <c r="I25" s="242">
        <v>7</v>
      </c>
      <c r="J25" s="242">
        <v>7</v>
      </c>
      <c r="K25" s="242">
        <v>8</v>
      </c>
      <c r="L25" s="242">
        <v>7</v>
      </c>
      <c r="M25" s="242">
        <v>6.5</v>
      </c>
      <c r="N25" s="242">
        <v>7</v>
      </c>
      <c r="O25" s="242">
        <v>7</v>
      </c>
      <c r="P25" s="242">
        <v>7.5</v>
      </c>
      <c r="Q25" s="242">
        <v>7.5</v>
      </c>
      <c r="R25" s="242">
        <v>7</v>
      </c>
      <c r="S25" s="243">
        <f t="shared" si="3"/>
        <v>7.2307692307692308</v>
      </c>
      <c r="T25" s="242"/>
      <c r="U25" s="242"/>
      <c r="V25" s="242"/>
      <c r="W25" s="277">
        <f t="shared" si="0"/>
        <v>0</v>
      </c>
      <c r="X25" s="277">
        <f t="shared" si="1"/>
        <v>3.6153846153846154</v>
      </c>
      <c r="Y25" s="252" t="s">
        <v>101</v>
      </c>
      <c r="Z25" s="262"/>
      <c r="AA25" s="263" t="s">
        <v>198</v>
      </c>
      <c r="AB25" s="374"/>
      <c r="AC25" s="357">
        <f t="shared" si="2"/>
        <v>7.2307692307692308</v>
      </c>
    </row>
    <row r="26" spans="1:29" s="256" customFormat="1" ht="18" customHeight="1" x14ac:dyDescent="0.2">
      <c r="A26" s="523">
        <v>18</v>
      </c>
      <c r="B26" s="245" t="s">
        <v>1825</v>
      </c>
      <c r="C26" s="246">
        <v>2022</v>
      </c>
      <c r="D26" s="269" t="s">
        <v>696</v>
      </c>
      <c r="E26" s="292" t="s">
        <v>224</v>
      </c>
      <c r="F26" s="242">
        <v>8</v>
      </c>
      <c r="G26" s="242">
        <v>7</v>
      </c>
      <c r="H26" s="242">
        <v>7</v>
      </c>
      <c r="I26" s="242">
        <v>7</v>
      </c>
      <c r="J26" s="242">
        <v>7</v>
      </c>
      <c r="K26" s="242">
        <v>8</v>
      </c>
      <c r="L26" s="242">
        <v>6.5</v>
      </c>
      <c r="M26" s="242">
        <v>7</v>
      </c>
      <c r="N26" s="242">
        <v>7</v>
      </c>
      <c r="O26" s="242">
        <v>7</v>
      </c>
      <c r="P26" s="242">
        <v>7</v>
      </c>
      <c r="Q26" s="242">
        <v>6.5</v>
      </c>
      <c r="R26" s="242">
        <v>7</v>
      </c>
      <c r="S26" s="243">
        <f t="shared" si="3"/>
        <v>7.0769230769230766</v>
      </c>
      <c r="T26" s="242"/>
      <c r="U26" s="242"/>
      <c r="V26" s="242"/>
      <c r="W26" s="277">
        <f t="shared" si="0"/>
        <v>0</v>
      </c>
      <c r="X26" s="277">
        <f t="shared" si="1"/>
        <v>3.5384615384615383</v>
      </c>
      <c r="Y26" s="252" t="s">
        <v>101</v>
      </c>
      <c r="Z26" s="262"/>
      <c r="AA26" s="263" t="s">
        <v>178</v>
      </c>
      <c r="AB26" s="374"/>
      <c r="AC26" s="357">
        <f t="shared" si="2"/>
        <v>7.0769230769230766</v>
      </c>
    </row>
    <row r="27" spans="1:29" s="256" customFormat="1" ht="18" customHeight="1" x14ac:dyDescent="0.2">
      <c r="A27" s="523">
        <v>19</v>
      </c>
      <c r="B27" s="245" t="s">
        <v>1826</v>
      </c>
      <c r="C27" s="246">
        <v>2022</v>
      </c>
      <c r="D27" s="269" t="s">
        <v>697</v>
      </c>
      <c r="E27" s="292" t="s">
        <v>698</v>
      </c>
      <c r="F27" s="242">
        <v>7.5</v>
      </c>
      <c r="G27" s="242">
        <v>7.5</v>
      </c>
      <c r="H27" s="242">
        <v>7.5</v>
      </c>
      <c r="I27" s="242">
        <v>7</v>
      </c>
      <c r="J27" s="242">
        <v>7</v>
      </c>
      <c r="K27" s="242">
        <v>8</v>
      </c>
      <c r="L27" s="242">
        <v>7.5</v>
      </c>
      <c r="M27" s="242">
        <v>6.5</v>
      </c>
      <c r="N27" s="242">
        <v>7</v>
      </c>
      <c r="O27" s="242">
        <v>6.5</v>
      </c>
      <c r="P27" s="242">
        <v>7</v>
      </c>
      <c r="Q27" s="242">
        <v>7</v>
      </c>
      <c r="R27" s="242">
        <v>7</v>
      </c>
      <c r="S27" s="243">
        <f t="shared" si="3"/>
        <v>7.1538461538461542</v>
      </c>
      <c r="T27" s="242"/>
      <c r="U27" s="242"/>
      <c r="V27" s="242"/>
      <c r="W27" s="277">
        <f t="shared" si="0"/>
        <v>0</v>
      </c>
      <c r="X27" s="277">
        <f t="shared" si="1"/>
        <v>3.5769230769230771</v>
      </c>
      <c r="Y27" s="252" t="s">
        <v>101</v>
      </c>
      <c r="Z27" s="262"/>
      <c r="AA27" s="263" t="s">
        <v>190</v>
      </c>
      <c r="AB27" s="374"/>
      <c r="AC27" s="357">
        <f t="shared" si="2"/>
        <v>7.1538461538461542</v>
      </c>
    </row>
    <row r="28" spans="1:29" s="256" customFormat="1" ht="18" customHeight="1" x14ac:dyDescent="0.2">
      <c r="A28" s="523">
        <v>20</v>
      </c>
      <c r="B28" s="245" t="s">
        <v>1827</v>
      </c>
      <c r="C28" s="246">
        <v>2022</v>
      </c>
      <c r="D28" s="269" t="s">
        <v>699</v>
      </c>
      <c r="E28" s="292" t="s">
        <v>700</v>
      </c>
      <c r="F28" s="242">
        <v>7</v>
      </c>
      <c r="G28" s="242">
        <v>7.5</v>
      </c>
      <c r="H28" s="242">
        <v>7</v>
      </c>
      <c r="I28" s="242">
        <v>6</v>
      </c>
      <c r="J28" s="242">
        <v>7</v>
      </c>
      <c r="K28" s="242">
        <v>8</v>
      </c>
      <c r="L28" s="242">
        <v>6.5</v>
      </c>
      <c r="M28" s="242">
        <v>7.5</v>
      </c>
      <c r="N28" s="242">
        <v>7.5</v>
      </c>
      <c r="O28" s="242">
        <v>7</v>
      </c>
      <c r="P28" s="242">
        <v>7</v>
      </c>
      <c r="Q28" s="242">
        <v>7.5</v>
      </c>
      <c r="R28" s="242">
        <v>7</v>
      </c>
      <c r="S28" s="243">
        <f t="shared" si="3"/>
        <v>7.115384615384615</v>
      </c>
      <c r="T28" s="242"/>
      <c r="U28" s="242"/>
      <c r="V28" s="242"/>
      <c r="W28" s="277">
        <f t="shared" si="0"/>
        <v>0</v>
      </c>
      <c r="X28" s="277">
        <f t="shared" si="1"/>
        <v>3.5576923076923075</v>
      </c>
      <c r="Y28" s="252" t="s">
        <v>101</v>
      </c>
      <c r="Z28" s="262"/>
      <c r="AA28" s="263" t="s">
        <v>190</v>
      </c>
      <c r="AB28" s="374"/>
      <c r="AC28" s="357">
        <f t="shared" si="2"/>
        <v>7.115384615384615</v>
      </c>
    </row>
    <row r="29" spans="1:29" s="256" customFormat="1" ht="18" customHeight="1" x14ac:dyDescent="0.2">
      <c r="A29" s="523">
        <v>21</v>
      </c>
      <c r="B29" s="245" t="s">
        <v>1828</v>
      </c>
      <c r="C29" s="246">
        <v>2022</v>
      </c>
      <c r="D29" s="269" t="s">
        <v>701</v>
      </c>
      <c r="E29" s="292" t="s">
        <v>702</v>
      </c>
      <c r="F29" s="242">
        <v>7.7</v>
      </c>
      <c r="G29" s="242">
        <v>6.5</v>
      </c>
      <c r="H29" s="242">
        <v>7</v>
      </c>
      <c r="I29" s="242">
        <v>7</v>
      </c>
      <c r="J29" s="242">
        <v>5.5</v>
      </c>
      <c r="K29" s="242">
        <v>8</v>
      </c>
      <c r="L29" s="242">
        <v>7</v>
      </c>
      <c r="M29" s="242">
        <v>7.5</v>
      </c>
      <c r="N29" s="242">
        <v>7.5</v>
      </c>
      <c r="O29" s="242">
        <v>7.5</v>
      </c>
      <c r="P29" s="242">
        <v>7.5</v>
      </c>
      <c r="Q29" s="242">
        <v>7</v>
      </c>
      <c r="R29" s="242">
        <v>7.5</v>
      </c>
      <c r="S29" s="243">
        <f t="shared" si="3"/>
        <v>7.1692307692307695</v>
      </c>
      <c r="T29" s="242"/>
      <c r="U29" s="242"/>
      <c r="V29" s="242"/>
      <c r="W29" s="277">
        <f t="shared" si="0"/>
        <v>0</v>
      </c>
      <c r="X29" s="277">
        <f t="shared" si="1"/>
        <v>3.5846153846153848</v>
      </c>
      <c r="Y29" s="252" t="s">
        <v>101</v>
      </c>
      <c r="Z29" s="262"/>
      <c r="AA29" s="263" t="s">
        <v>141</v>
      </c>
      <c r="AB29" s="374"/>
      <c r="AC29" s="357">
        <f t="shared" si="2"/>
        <v>7.1692307692307695</v>
      </c>
    </row>
    <row r="30" spans="1:29" s="256" customFormat="1" ht="18" customHeight="1" x14ac:dyDescent="0.2">
      <c r="A30" s="523">
        <v>22</v>
      </c>
      <c r="B30" s="245" t="s">
        <v>1829</v>
      </c>
      <c r="C30" s="246">
        <v>2022</v>
      </c>
      <c r="D30" s="269" t="s">
        <v>703</v>
      </c>
      <c r="E30" s="292" t="s">
        <v>704</v>
      </c>
      <c r="F30" s="242">
        <v>7</v>
      </c>
      <c r="G30" s="242">
        <v>7.5</v>
      </c>
      <c r="H30" s="242">
        <v>7</v>
      </c>
      <c r="I30" s="242">
        <v>7</v>
      </c>
      <c r="J30" s="242">
        <v>7</v>
      </c>
      <c r="K30" s="242">
        <v>8</v>
      </c>
      <c r="L30" s="242">
        <v>7.5</v>
      </c>
      <c r="M30" s="242">
        <v>7.5</v>
      </c>
      <c r="N30" s="242">
        <v>7.5</v>
      </c>
      <c r="O30" s="242">
        <v>7.5</v>
      </c>
      <c r="P30" s="242">
        <v>5</v>
      </c>
      <c r="Q30" s="242">
        <v>7.5</v>
      </c>
      <c r="R30" s="242">
        <v>7.5</v>
      </c>
      <c r="S30" s="243">
        <f t="shared" si="3"/>
        <v>7.1923076923076925</v>
      </c>
      <c r="T30" s="242"/>
      <c r="U30" s="242"/>
      <c r="V30" s="242"/>
      <c r="W30" s="277">
        <f t="shared" si="0"/>
        <v>0</v>
      </c>
      <c r="X30" s="277">
        <f t="shared" si="1"/>
        <v>3.5961538461538463</v>
      </c>
      <c r="Y30" s="252" t="s">
        <v>101</v>
      </c>
      <c r="Z30" s="262"/>
      <c r="AA30" s="263" t="s">
        <v>190</v>
      </c>
      <c r="AB30" s="374"/>
      <c r="AC30" s="357">
        <f t="shared" si="2"/>
        <v>7.1923076923076925</v>
      </c>
    </row>
    <row r="31" spans="1:29" s="256" customFormat="1" ht="18" customHeight="1" x14ac:dyDescent="0.2">
      <c r="A31" s="523">
        <v>23</v>
      </c>
      <c r="B31" s="245" t="s">
        <v>1830</v>
      </c>
      <c r="C31" s="246">
        <v>2022</v>
      </c>
      <c r="D31" s="269" t="s">
        <v>705</v>
      </c>
      <c r="E31" s="292" t="s">
        <v>160</v>
      </c>
      <c r="F31" s="242">
        <v>8.1999999999999993</v>
      </c>
      <c r="G31" s="242">
        <v>8</v>
      </c>
      <c r="H31" s="242">
        <v>8</v>
      </c>
      <c r="I31" s="242">
        <v>8</v>
      </c>
      <c r="J31" s="242">
        <v>8.4</v>
      </c>
      <c r="K31" s="242">
        <v>8</v>
      </c>
      <c r="L31" s="242">
        <v>8</v>
      </c>
      <c r="M31" s="242">
        <v>8</v>
      </c>
      <c r="N31" s="242">
        <v>8</v>
      </c>
      <c r="O31" s="242">
        <v>8</v>
      </c>
      <c r="P31" s="242">
        <v>7.5</v>
      </c>
      <c r="Q31" s="242">
        <v>8</v>
      </c>
      <c r="R31" s="242">
        <v>8</v>
      </c>
      <c r="S31" s="243">
        <f t="shared" si="3"/>
        <v>8.0076923076923077</v>
      </c>
      <c r="T31" s="242"/>
      <c r="U31" s="242"/>
      <c r="V31" s="242"/>
      <c r="W31" s="277">
        <f t="shared" si="0"/>
        <v>0</v>
      </c>
      <c r="X31" s="277">
        <f t="shared" si="1"/>
        <v>4.0038461538461538</v>
      </c>
      <c r="Y31" s="252" t="s">
        <v>101</v>
      </c>
      <c r="Z31" s="262"/>
      <c r="AA31" s="263" t="s">
        <v>175</v>
      </c>
      <c r="AB31" s="374"/>
      <c r="AC31" s="613">
        <f t="shared" si="2"/>
        <v>8.0076923076923077</v>
      </c>
    </row>
    <row r="32" spans="1:29" s="256" customFormat="1" ht="18" customHeight="1" x14ac:dyDescent="0.2">
      <c r="A32" s="523">
        <v>24</v>
      </c>
      <c r="B32" s="245" t="s">
        <v>1831</v>
      </c>
      <c r="C32" s="246">
        <v>2022</v>
      </c>
      <c r="D32" s="269" t="s">
        <v>706</v>
      </c>
      <c r="E32" s="292" t="s">
        <v>707</v>
      </c>
      <c r="F32" s="242">
        <v>7.6</v>
      </c>
      <c r="G32" s="242">
        <v>7.5</v>
      </c>
      <c r="H32" s="242">
        <v>8</v>
      </c>
      <c r="I32" s="242">
        <v>7</v>
      </c>
      <c r="J32" s="242">
        <v>7</v>
      </c>
      <c r="K32" s="242">
        <v>8</v>
      </c>
      <c r="L32" s="242">
        <v>7</v>
      </c>
      <c r="M32" s="242">
        <v>7.5</v>
      </c>
      <c r="N32" s="242">
        <v>7</v>
      </c>
      <c r="O32" s="242">
        <v>7</v>
      </c>
      <c r="P32" s="242">
        <v>6.5</v>
      </c>
      <c r="Q32" s="242">
        <v>6</v>
      </c>
      <c r="R32" s="242">
        <v>7</v>
      </c>
      <c r="S32" s="243">
        <f t="shared" si="3"/>
        <v>7.161538461538461</v>
      </c>
      <c r="T32" s="242"/>
      <c r="U32" s="242"/>
      <c r="V32" s="242"/>
      <c r="W32" s="277">
        <f t="shared" si="0"/>
        <v>0</v>
      </c>
      <c r="X32" s="277">
        <f t="shared" si="1"/>
        <v>3.5807692307692305</v>
      </c>
      <c r="Y32" s="252" t="s">
        <v>101</v>
      </c>
      <c r="Z32" s="262"/>
      <c r="AA32" s="263" t="s">
        <v>193</v>
      </c>
      <c r="AB32" s="374"/>
      <c r="AC32" s="357">
        <f t="shared" si="2"/>
        <v>7.161538461538461</v>
      </c>
    </row>
    <row r="33" spans="1:29" s="256" customFormat="1" ht="18" customHeight="1" x14ac:dyDescent="0.2">
      <c r="A33" s="523">
        <v>25</v>
      </c>
      <c r="B33" s="245" t="s">
        <v>1832</v>
      </c>
      <c r="C33" s="246">
        <v>2022</v>
      </c>
      <c r="D33" s="269" t="s">
        <v>708</v>
      </c>
      <c r="E33" s="292" t="s">
        <v>709</v>
      </c>
      <c r="F33" s="242">
        <v>6.6</v>
      </c>
      <c r="G33" s="242">
        <v>7</v>
      </c>
      <c r="H33" s="242">
        <v>7</v>
      </c>
      <c r="I33" s="242">
        <v>6</v>
      </c>
      <c r="J33" s="242">
        <v>7.4</v>
      </c>
      <c r="K33" s="242">
        <v>8</v>
      </c>
      <c r="L33" s="242">
        <v>7</v>
      </c>
      <c r="M33" s="242">
        <v>7.5</v>
      </c>
      <c r="N33" s="242">
        <v>7.5</v>
      </c>
      <c r="O33" s="242">
        <v>7.5</v>
      </c>
      <c r="P33" s="242">
        <v>7</v>
      </c>
      <c r="Q33" s="242">
        <v>7</v>
      </c>
      <c r="R33" s="242">
        <v>7.5</v>
      </c>
      <c r="S33" s="243">
        <f t="shared" si="3"/>
        <v>7.1538461538461542</v>
      </c>
      <c r="T33" s="242"/>
      <c r="U33" s="242"/>
      <c r="V33" s="242"/>
      <c r="W33" s="277">
        <f t="shared" si="0"/>
        <v>0</v>
      </c>
      <c r="X33" s="277">
        <f t="shared" si="1"/>
        <v>3.5769230769230771</v>
      </c>
      <c r="Y33" s="252" t="s">
        <v>101</v>
      </c>
      <c r="Z33" s="262"/>
      <c r="AA33" s="263" t="s">
        <v>198</v>
      </c>
      <c r="AB33" s="374"/>
      <c r="AC33" s="357">
        <f t="shared" si="2"/>
        <v>7.1538461538461542</v>
      </c>
    </row>
    <row r="34" spans="1:29" s="256" customFormat="1" ht="18" customHeight="1" x14ac:dyDescent="0.2">
      <c r="A34" s="523">
        <v>26</v>
      </c>
      <c r="B34" s="245" t="s">
        <v>1833</v>
      </c>
      <c r="C34" s="246">
        <v>2022</v>
      </c>
      <c r="D34" s="269" t="s">
        <v>710</v>
      </c>
      <c r="E34" s="292" t="s">
        <v>168</v>
      </c>
      <c r="F34" s="242">
        <v>8.5</v>
      </c>
      <c r="G34" s="242">
        <v>8</v>
      </c>
      <c r="H34" s="242">
        <v>7.5</v>
      </c>
      <c r="I34" s="242">
        <v>8</v>
      </c>
      <c r="J34" s="242">
        <v>8</v>
      </c>
      <c r="K34" s="242">
        <v>8</v>
      </c>
      <c r="L34" s="242">
        <v>8</v>
      </c>
      <c r="M34" s="242">
        <v>8</v>
      </c>
      <c r="N34" s="242">
        <v>8</v>
      </c>
      <c r="O34" s="242">
        <v>8</v>
      </c>
      <c r="P34" s="242">
        <v>8</v>
      </c>
      <c r="Q34" s="242">
        <v>8</v>
      </c>
      <c r="R34" s="242">
        <v>8</v>
      </c>
      <c r="S34" s="243">
        <f t="shared" si="3"/>
        <v>8</v>
      </c>
      <c r="T34" s="242"/>
      <c r="U34" s="242"/>
      <c r="V34" s="242"/>
      <c r="W34" s="277">
        <f t="shared" si="0"/>
        <v>0</v>
      </c>
      <c r="X34" s="277">
        <f t="shared" si="1"/>
        <v>4</v>
      </c>
      <c r="Y34" s="252" t="s">
        <v>101</v>
      </c>
      <c r="Z34" s="262"/>
      <c r="AA34" s="263" t="s">
        <v>182</v>
      </c>
      <c r="AB34" s="374"/>
      <c r="AC34" s="613">
        <f t="shared" si="2"/>
        <v>8</v>
      </c>
    </row>
    <row r="35" spans="1:29" s="256" customFormat="1" ht="18" customHeight="1" x14ac:dyDescent="0.2">
      <c r="A35" s="523">
        <v>27</v>
      </c>
      <c r="B35" s="245" t="s">
        <v>1834</v>
      </c>
      <c r="C35" s="246">
        <v>2022</v>
      </c>
      <c r="D35" s="269" t="s">
        <v>711</v>
      </c>
      <c r="E35" s="292" t="s">
        <v>712</v>
      </c>
      <c r="F35" s="242">
        <v>7.4</v>
      </c>
      <c r="G35" s="242">
        <v>7</v>
      </c>
      <c r="H35" s="242">
        <v>7</v>
      </c>
      <c r="I35" s="242">
        <v>6</v>
      </c>
      <c r="J35" s="242">
        <v>7</v>
      </c>
      <c r="K35" s="242">
        <v>8</v>
      </c>
      <c r="L35" s="242">
        <v>6.5</v>
      </c>
      <c r="M35" s="242">
        <v>6.5</v>
      </c>
      <c r="N35" s="242">
        <v>6.5</v>
      </c>
      <c r="O35" s="242">
        <v>7.5</v>
      </c>
      <c r="P35" s="242">
        <v>7</v>
      </c>
      <c r="Q35" s="242">
        <v>7</v>
      </c>
      <c r="R35" s="242">
        <v>6.5</v>
      </c>
      <c r="S35" s="243">
        <f t="shared" si="3"/>
        <v>6.9153846153846157</v>
      </c>
      <c r="T35" s="242"/>
      <c r="U35" s="242"/>
      <c r="V35" s="242"/>
      <c r="W35" s="277">
        <f t="shared" si="0"/>
        <v>0</v>
      </c>
      <c r="X35" s="277">
        <f t="shared" si="1"/>
        <v>3.4576923076923078</v>
      </c>
      <c r="Y35" s="252" t="s">
        <v>95</v>
      </c>
      <c r="Z35" s="262"/>
      <c r="AA35" s="263" t="s">
        <v>186</v>
      </c>
      <c r="AB35" s="374"/>
      <c r="AC35" s="628">
        <f t="shared" si="2"/>
        <v>6.9153846153846157</v>
      </c>
    </row>
    <row r="36" spans="1:29" s="256" customFormat="1" ht="18" customHeight="1" x14ac:dyDescent="0.2">
      <c r="A36" s="523">
        <v>28</v>
      </c>
      <c r="B36" s="245" t="s">
        <v>1835</v>
      </c>
      <c r="C36" s="246">
        <v>2022</v>
      </c>
      <c r="D36" s="269" t="s">
        <v>713</v>
      </c>
      <c r="E36" s="441" t="s">
        <v>1842</v>
      </c>
      <c r="F36" s="242">
        <v>7</v>
      </c>
      <c r="G36" s="242">
        <v>6.5</v>
      </c>
      <c r="H36" s="242">
        <v>7</v>
      </c>
      <c r="I36" s="242">
        <v>5</v>
      </c>
      <c r="J36" s="242">
        <v>8.4</v>
      </c>
      <c r="K36" s="242">
        <v>8</v>
      </c>
      <c r="L36" s="242">
        <v>6.5</v>
      </c>
      <c r="M36" s="242">
        <v>7.5</v>
      </c>
      <c r="N36" s="242">
        <v>7.5</v>
      </c>
      <c r="O36" s="242">
        <v>7</v>
      </c>
      <c r="P36" s="242">
        <v>7</v>
      </c>
      <c r="Q36" s="242">
        <v>7</v>
      </c>
      <c r="R36" s="242">
        <v>7.5</v>
      </c>
      <c r="S36" s="243">
        <f t="shared" si="3"/>
        <v>7.0692307692307699</v>
      </c>
      <c r="T36" s="242"/>
      <c r="U36" s="242"/>
      <c r="V36" s="242"/>
      <c r="W36" s="277">
        <f>SUM(T36:V36)/3</f>
        <v>0</v>
      </c>
      <c r="X36" s="277">
        <f>SUM(S36+W36)/2</f>
        <v>3.5346153846153849</v>
      </c>
      <c r="Y36" s="252" t="s">
        <v>101</v>
      </c>
      <c r="Z36" s="262"/>
      <c r="AA36" s="263" t="s">
        <v>141</v>
      </c>
      <c r="AB36" s="374"/>
      <c r="AC36" s="628">
        <f t="shared" si="2"/>
        <v>7.0692307692307699</v>
      </c>
    </row>
    <row r="37" spans="1:29" s="256" customFormat="1" ht="18" customHeight="1" x14ac:dyDescent="0.2">
      <c r="A37" s="523">
        <v>29</v>
      </c>
      <c r="B37" s="245" t="s">
        <v>1836</v>
      </c>
      <c r="C37" s="246">
        <v>2022</v>
      </c>
      <c r="D37" s="269" t="s">
        <v>714</v>
      </c>
      <c r="E37" s="292" t="s">
        <v>704</v>
      </c>
      <c r="F37" s="242">
        <v>7.5</v>
      </c>
      <c r="G37" s="242">
        <v>7</v>
      </c>
      <c r="H37" s="242">
        <v>7</v>
      </c>
      <c r="I37" s="242">
        <v>7</v>
      </c>
      <c r="J37" s="242">
        <v>8.4</v>
      </c>
      <c r="K37" s="242">
        <v>8</v>
      </c>
      <c r="L37" s="242">
        <v>7</v>
      </c>
      <c r="M37" s="242">
        <v>6.5</v>
      </c>
      <c r="N37" s="242">
        <v>7</v>
      </c>
      <c r="O37" s="242">
        <v>6.5</v>
      </c>
      <c r="P37" s="242">
        <v>7</v>
      </c>
      <c r="Q37" s="242">
        <v>6.5</v>
      </c>
      <c r="R37" s="242">
        <v>7</v>
      </c>
      <c r="S37" s="243">
        <f t="shared" si="3"/>
        <v>7.1076923076923082</v>
      </c>
      <c r="T37" s="242"/>
      <c r="U37" s="242"/>
      <c r="V37" s="242"/>
      <c r="W37" s="277">
        <f>SUM(T37:V37)/3</f>
        <v>0</v>
      </c>
      <c r="X37" s="277">
        <f>SUM(S37+W37)/2</f>
        <v>3.5538461538461541</v>
      </c>
      <c r="Y37" s="252" t="s">
        <v>101</v>
      </c>
      <c r="Z37" s="262"/>
      <c r="AA37" s="263" t="s">
        <v>12</v>
      </c>
      <c r="AB37" s="374"/>
      <c r="AC37" s="357">
        <f t="shared" si="2"/>
        <v>7.1076923076923082</v>
      </c>
    </row>
    <row r="38" spans="1:29" s="256" customFormat="1" ht="18" customHeight="1" x14ac:dyDescent="0.2">
      <c r="A38" s="523">
        <v>30</v>
      </c>
      <c r="B38" s="245" t="s">
        <v>1837</v>
      </c>
      <c r="C38" s="246">
        <v>2022</v>
      </c>
      <c r="D38" s="269" t="s">
        <v>715</v>
      </c>
      <c r="E38" s="292" t="s">
        <v>716</v>
      </c>
      <c r="F38" s="242">
        <v>6.6</v>
      </c>
      <c r="G38" s="242">
        <v>7</v>
      </c>
      <c r="H38" s="242">
        <v>6.5</v>
      </c>
      <c r="I38" s="242">
        <v>8</v>
      </c>
      <c r="J38" s="242">
        <v>5.5</v>
      </c>
      <c r="K38" s="242">
        <v>8</v>
      </c>
      <c r="L38" s="242">
        <v>7</v>
      </c>
      <c r="M38" s="242">
        <v>8</v>
      </c>
      <c r="N38" s="242">
        <v>7.5</v>
      </c>
      <c r="O38" s="242">
        <v>7.5</v>
      </c>
      <c r="P38" s="242">
        <v>7</v>
      </c>
      <c r="Q38" s="242">
        <v>6.5</v>
      </c>
      <c r="R38" s="242">
        <v>7.5</v>
      </c>
      <c r="S38" s="243">
        <f t="shared" si="3"/>
        <v>7.1230769230769226</v>
      </c>
      <c r="T38" s="242"/>
      <c r="U38" s="242"/>
      <c r="V38" s="242"/>
      <c r="W38" s="277">
        <f>SUM(T38:V38)/3</f>
        <v>0</v>
      </c>
      <c r="X38" s="277">
        <f>SUM(S38+W38)/2</f>
        <v>3.5615384615384613</v>
      </c>
      <c r="Y38" s="252" t="s">
        <v>101</v>
      </c>
      <c r="Z38" s="262"/>
      <c r="AA38" s="263" t="s">
        <v>12</v>
      </c>
      <c r="AB38" s="374"/>
      <c r="AC38" s="357">
        <f t="shared" si="2"/>
        <v>7.1230769230769226</v>
      </c>
    </row>
    <row r="39" spans="1:29" s="256" customFormat="1" ht="18" customHeight="1" x14ac:dyDescent="0.2">
      <c r="A39" s="523">
        <v>31</v>
      </c>
      <c r="B39" s="245" t="s">
        <v>1838</v>
      </c>
      <c r="C39" s="246">
        <v>2022</v>
      </c>
      <c r="D39" s="269" t="s">
        <v>717</v>
      </c>
      <c r="E39" s="292" t="s">
        <v>718</v>
      </c>
      <c r="F39" s="242">
        <v>7</v>
      </c>
      <c r="G39" s="242">
        <v>6.5</v>
      </c>
      <c r="H39" s="242">
        <v>7.5</v>
      </c>
      <c r="I39" s="242">
        <v>6</v>
      </c>
      <c r="J39" s="242">
        <v>7</v>
      </c>
      <c r="K39" s="242">
        <v>8</v>
      </c>
      <c r="L39" s="242">
        <v>7.5</v>
      </c>
      <c r="M39" s="242">
        <v>7</v>
      </c>
      <c r="N39" s="242">
        <v>6.5</v>
      </c>
      <c r="O39" s="242">
        <v>6.5</v>
      </c>
      <c r="P39" s="242">
        <v>7</v>
      </c>
      <c r="Q39" s="242">
        <v>7</v>
      </c>
      <c r="R39" s="242">
        <v>6.5</v>
      </c>
      <c r="S39" s="243">
        <f t="shared" si="3"/>
        <v>6.9230769230769234</v>
      </c>
      <c r="T39" s="242"/>
      <c r="U39" s="242"/>
      <c r="V39" s="242"/>
      <c r="W39" s="277">
        <f>SUM(T39:V39)/3</f>
        <v>0</v>
      </c>
      <c r="X39" s="277">
        <f>SUM(S39+W39)/2</f>
        <v>3.4615384615384617</v>
      </c>
      <c r="Y39" s="252" t="s">
        <v>95</v>
      </c>
      <c r="Z39" s="262"/>
      <c r="AA39" s="263" t="s">
        <v>193</v>
      </c>
      <c r="AB39" s="374"/>
      <c r="AC39" s="628">
        <f t="shared" si="2"/>
        <v>6.9230769230769234</v>
      </c>
    </row>
    <row r="40" spans="1:29" s="256" customFormat="1" ht="18" customHeight="1" x14ac:dyDescent="0.2">
      <c r="A40" s="523">
        <v>32</v>
      </c>
      <c r="B40" s="245" t="s">
        <v>1839</v>
      </c>
      <c r="C40" s="246">
        <v>2022</v>
      </c>
      <c r="D40" s="269" t="s">
        <v>719</v>
      </c>
      <c r="E40" s="292" t="s">
        <v>720</v>
      </c>
      <c r="F40" s="242">
        <v>7.8</v>
      </c>
      <c r="G40" s="242">
        <v>7.5</v>
      </c>
      <c r="H40" s="242">
        <v>8</v>
      </c>
      <c r="I40" s="242">
        <v>8</v>
      </c>
      <c r="J40" s="242">
        <v>5.5</v>
      </c>
      <c r="K40" s="242">
        <v>8</v>
      </c>
      <c r="L40" s="242">
        <v>7.5</v>
      </c>
      <c r="M40" s="242">
        <v>7.5</v>
      </c>
      <c r="N40" s="242">
        <v>6.5</v>
      </c>
      <c r="O40" s="242">
        <v>7.5</v>
      </c>
      <c r="P40" s="242">
        <v>7.5</v>
      </c>
      <c r="Q40" s="242">
        <v>7.5</v>
      </c>
      <c r="R40" s="242">
        <v>7</v>
      </c>
      <c r="S40" s="243">
        <f t="shared" si="3"/>
        <v>7.3692307692307688</v>
      </c>
      <c r="T40" s="242"/>
      <c r="U40" s="242"/>
      <c r="V40" s="242"/>
      <c r="W40" s="277">
        <f>SUM(T40:V40)/3</f>
        <v>0</v>
      </c>
      <c r="X40" s="277">
        <f>SUM(S40+W40)/2</f>
        <v>3.6846153846153844</v>
      </c>
      <c r="Y40" s="252" t="s">
        <v>101</v>
      </c>
      <c r="Z40" s="262"/>
      <c r="AA40" s="263" t="s">
        <v>208</v>
      </c>
      <c r="AB40" s="374"/>
      <c r="AC40" s="357">
        <f t="shared" si="2"/>
        <v>7.3692307692307688</v>
      </c>
    </row>
    <row r="41" spans="1:29" s="368" customFormat="1" ht="18" customHeight="1" thickBot="1" x14ac:dyDescent="0.3">
      <c r="A41" s="359"/>
      <c r="B41" s="360"/>
      <c r="C41" s="361"/>
      <c r="D41" s="362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  <c r="P41" s="524"/>
      <c r="Q41" s="524"/>
      <c r="R41" s="524"/>
      <c r="S41" s="524"/>
      <c r="T41" s="524"/>
      <c r="U41" s="524"/>
      <c r="V41" s="524"/>
      <c r="W41" s="524"/>
      <c r="X41" s="524"/>
      <c r="Y41" s="524"/>
      <c r="Z41" s="525"/>
      <c r="AA41" s="526"/>
      <c r="AB41" s="374"/>
    </row>
    <row r="42" spans="1:29" s="368" customFormat="1" ht="19.5" thickTop="1" x14ac:dyDescent="0.3">
      <c r="A42" s="369"/>
      <c r="B42" s="369"/>
      <c r="C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527"/>
      <c r="Q42" s="527"/>
      <c r="R42" s="527"/>
      <c r="S42" s="1065"/>
      <c r="T42" s="1065"/>
      <c r="U42" s="1065"/>
      <c r="V42" s="371"/>
      <c r="W42" s="369"/>
      <c r="X42" s="369"/>
      <c r="Y42" s="369"/>
      <c r="Z42" s="372"/>
      <c r="AA42" s="369"/>
    </row>
    <row r="43" spans="1:29" s="3" customFormat="1" x14ac:dyDescent="0.3">
      <c r="A43" s="236"/>
      <c r="B43" s="235"/>
      <c r="C43" s="235"/>
      <c r="D43" s="24"/>
      <c r="E43" s="235"/>
      <c r="F43" s="235"/>
      <c r="G43" s="235"/>
      <c r="H43" s="235"/>
      <c r="I43" s="235"/>
      <c r="J43" s="235"/>
      <c r="K43" s="235"/>
      <c r="L43" s="235"/>
      <c r="M43" s="235"/>
      <c r="N43" s="235"/>
      <c r="O43" s="235"/>
      <c r="P43" s="6"/>
      <c r="Q43" s="6"/>
      <c r="R43" s="6"/>
      <c r="S43" s="41"/>
      <c r="T43" s="21"/>
      <c r="U43" s="21"/>
      <c r="V43" s="20"/>
      <c r="W43" s="236"/>
      <c r="X43" s="236"/>
      <c r="Y43" s="39"/>
      <c r="Z43" s="14"/>
      <c r="AA43" s="236"/>
    </row>
    <row r="44" spans="1:29" s="3" customFormat="1" x14ac:dyDescent="0.3">
      <c r="A44" s="236"/>
      <c r="B44" s="236"/>
      <c r="C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6"/>
      <c r="Q44" s="6"/>
      <c r="R44" s="6"/>
      <c r="S44" s="41"/>
      <c r="T44" s="21"/>
      <c r="U44" s="21"/>
      <c r="V44" s="20"/>
      <c r="W44" s="236"/>
      <c r="X44" s="236"/>
      <c r="Y44" s="39"/>
      <c r="Z44" s="14"/>
      <c r="AA44" s="236"/>
    </row>
    <row r="45" spans="1:29" s="3" customFormat="1" x14ac:dyDescent="0.3">
      <c r="A45" s="236"/>
      <c r="B45" s="236"/>
      <c r="C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1221"/>
      <c r="Q45" s="1221"/>
      <c r="R45" s="1221"/>
      <c r="S45" s="1221"/>
      <c r="T45" s="1221"/>
      <c r="U45" s="1221"/>
      <c r="V45" s="20"/>
      <c r="W45" s="236"/>
      <c r="X45" s="236"/>
      <c r="Y45" s="39"/>
      <c r="Z45" s="14"/>
      <c r="AA45" s="236"/>
    </row>
    <row r="46" spans="1:29" s="3" customFormat="1" ht="18" x14ac:dyDescent="0.25">
      <c r="A46" s="236"/>
      <c r="B46" s="236"/>
      <c r="C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1200"/>
      <c r="Q46" s="1200"/>
      <c r="R46" s="1200"/>
      <c r="S46" s="1200"/>
      <c r="T46" s="1200"/>
      <c r="U46" s="1200"/>
      <c r="V46" s="1200"/>
      <c r="W46" s="1200"/>
      <c r="X46" s="1200"/>
      <c r="Y46" s="1200"/>
      <c r="Z46" s="1200"/>
      <c r="AA46" s="1200"/>
    </row>
    <row r="47" spans="1:29" x14ac:dyDescent="0.3">
      <c r="A47" s="236"/>
      <c r="B47" s="236"/>
      <c r="C47" s="236"/>
      <c r="D47" s="3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T47" s="20"/>
      <c r="U47" s="20"/>
      <c r="V47" s="20"/>
      <c r="W47" s="236"/>
      <c r="X47" s="236"/>
      <c r="Y47" s="39"/>
      <c r="Z47" s="14"/>
      <c r="AA47" s="236"/>
    </row>
    <row r="48" spans="1:29" x14ac:dyDescent="0.3">
      <c r="A48" s="236"/>
      <c r="B48" s="236"/>
      <c r="C48" s="236"/>
      <c r="D48" s="3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T48" s="20"/>
      <c r="U48" s="20"/>
      <c r="V48" s="20"/>
      <c r="W48" s="236"/>
      <c r="X48" s="236"/>
      <c r="Y48" s="39"/>
      <c r="Z48" s="14"/>
      <c r="AA48" s="236"/>
    </row>
    <row r="49" spans="1:27" x14ac:dyDescent="0.3">
      <c r="A49" s="236"/>
      <c r="B49" s="236"/>
      <c r="C49" s="236"/>
      <c r="D49" s="3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T49" s="20"/>
      <c r="U49" s="20"/>
      <c r="V49" s="20"/>
      <c r="W49" s="236"/>
      <c r="X49" s="236"/>
      <c r="Y49" s="39"/>
      <c r="Z49" s="14"/>
      <c r="AA49" s="236"/>
    </row>
    <row r="50" spans="1:27" x14ac:dyDescent="0.3">
      <c r="A50" s="236"/>
      <c r="B50" s="236"/>
      <c r="C50" s="236"/>
      <c r="D50" s="3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T50" s="20"/>
      <c r="U50" s="20"/>
      <c r="V50" s="20"/>
      <c r="W50" s="236"/>
      <c r="X50" s="236"/>
      <c r="Y50" s="39"/>
      <c r="Z50" s="14"/>
      <c r="AA50" s="236"/>
    </row>
    <row r="51" spans="1:27" x14ac:dyDescent="0.3">
      <c r="A51" s="236"/>
      <c r="B51" s="236"/>
      <c r="C51" s="236"/>
      <c r="D51" s="3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T51" s="20"/>
      <c r="U51" s="20"/>
      <c r="V51" s="20"/>
      <c r="W51" s="236"/>
      <c r="X51" s="236"/>
      <c r="Y51" s="39"/>
      <c r="Z51" s="14"/>
      <c r="AA51" s="236"/>
    </row>
  </sheetData>
  <autoFilter ref="S7:AB41">
    <filterColumn colId="1" showButton="0"/>
    <filterColumn colId="2" showButton="0"/>
    <filterColumn colId="3" showButton="0"/>
  </autoFilter>
  <mergeCells count="19">
    <mergeCell ref="A7:A8"/>
    <mergeCell ref="B7:C8"/>
    <mergeCell ref="D7:D8"/>
    <mergeCell ref="E7:E8"/>
    <mergeCell ref="F7:R7"/>
    <mergeCell ref="E1:AA1"/>
    <mergeCell ref="E2:AA2"/>
    <mergeCell ref="E3:AA3"/>
    <mergeCell ref="E4:AA4"/>
    <mergeCell ref="E5:AA5"/>
    <mergeCell ref="S42:U42"/>
    <mergeCell ref="P45:U45"/>
    <mergeCell ref="P46:AA46"/>
    <mergeCell ref="S7:S8"/>
    <mergeCell ref="T7:W7"/>
    <mergeCell ref="X7:X8"/>
    <mergeCell ref="Y7:Y8"/>
    <mergeCell ref="Z7:Z8"/>
    <mergeCell ref="AA7:AA8"/>
  </mergeCells>
  <printOptions horizontalCentered="1"/>
  <pageMargins left="0.69" right="0.16" top="0.27" bottom="0.27" header="0.2" footer="0.2"/>
  <pageSetup scale="98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51"/>
  <sheetViews>
    <sheetView topLeftCell="A5" zoomScale="110" zoomScaleNormal="110" workbookViewId="0">
      <selection activeCell="K17" sqref="K17"/>
    </sheetView>
  </sheetViews>
  <sheetFormatPr defaultRowHeight="18.75" x14ac:dyDescent="0.3"/>
  <cols>
    <col min="1" max="1" width="2.59765625" style="1" customWidth="1"/>
    <col min="2" max="3" width="4.09765625" style="1" customWidth="1"/>
    <col min="4" max="4" width="14.69921875" customWidth="1"/>
    <col min="5" max="5" width="8.3984375" style="1" customWidth="1"/>
    <col min="6" max="8" width="2.69921875" style="1" customWidth="1"/>
    <col min="9" max="9" width="2.69921875" style="237" customWidth="1"/>
    <col min="10" max="18" width="2.69921875" style="1" customWidth="1"/>
    <col min="19" max="19" width="4" style="42" customWidth="1"/>
    <col min="20" max="22" width="3.59765625" style="22" hidden="1" customWidth="1"/>
    <col min="23" max="24" width="3.3984375" style="1" hidden="1" customWidth="1"/>
    <col min="25" max="25" width="3.3984375" style="40" customWidth="1"/>
    <col min="26" max="26" width="4.3984375" style="15" hidden="1" customWidth="1"/>
    <col min="27" max="27" width="24.19921875" style="1" customWidth="1"/>
    <col min="28" max="28" width="5.8984375" customWidth="1"/>
    <col min="29" max="29" width="5.296875" customWidth="1"/>
  </cols>
  <sheetData>
    <row r="1" spans="1:29" s="6" customFormat="1" ht="17.25" x14ac:dyDescent="0.3">
      <c r="B1" s="8"/>
      <c r="C1" s="8"/>
      <c r="D1" s="8"/>
      <c r="E1" s="1199" t="s">
        <v>29</v>
      </c>
      <c r="F1" s="1199"/>
      <c r="G1" s="1199"/>
      <c r="H1" s="1199"/>
      <c r="I1" s="1199"/>
      <c r="J1" s="1199"/>
      <c r="K1" s="1199"/>
      <c r="L1" s="1199"/>
      <c r="M1" s="1199"/>
      <c r="N1" s="1199"/>
      <c r="O1" s="1199"/>
      <c r="P1" s="1199"/>
      <c r="Q1" s="1199"/>
      <c r="R1" s="1199"/>
      <c r="S1" s="1199"/>
      <c r="T1" s="1199"/>
      <c r="U1" s="1199"/>
      <c r="V1" s="1199"/>
      <c r="W1" s="1199"/>
      <c r="X1" s="1199"/>
      <c r="Y1" s="1199"/>
      <c r="Z1" s="1199"/>
      <c r="AA1" s="1199"/>
    </row>
    <row r="2" spans="1:29" s="6" customFormat="1" ht="17.25" hidden="1" x14ac:dyDescent="0.3">
      <c r="B2" s="8"/>
      <c r="C2" s="8"/>
      <c r="D2" s="8"/>
      <c r="E2" s="1199" t="s">
        <v>105</v>
      </c>
      <c r="F2" s="1199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9"/>
      <c r="W2" s="1199"/>
      <c r="X2" s="1199"/>
      <c r="Y2" s="1199"/>
      <c r="Z2" s="1199"/>
      <c r="AA2" s="1199"/>
    </row>
    <row r="3" spans="1:29" s="6" customFormat="1" ht="15.75" x14ac:dyDescent="0.25">
      <c r="B3" s="10"/>
      <c r="C3" s="10"/>
      <c r="D3" s="10"/>
      <c r="E3" s="1200" t="s">
        <v>451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0"/>
      <c r="R3" s="1200"/>
      <c r="S3" s="1200"/>
      <c r="T3" s="1200"/>
      <c r="U3" s="1200"/>
      <c r="V3" s="1200"/>
      <c r="W3" s="1200"/>
      <c r="X3" s="1200"/>
      <c r="Y3" s="1200"/>
      <c r="Z3" s="1200"/>
      <c r="AA3" s="1200"/>
    </row>
    <row r="4" spans="1:29" s="6" customFormat="1" ht="15.75" hidden="1" x14ac:dyDescent="0.25">
      <c r="B4" s="11"/>
      <c r="C4" s="11"/>
      <c r="D4" s="11"/>
      <c r="E4" s="1201" t="s">
        <v>32</v>
      </c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1"/>
      <c r="U4" s="1201"/>
      <c r="V4" s="1201"/>
      <c r="W4" s="1201"/>
      <c r="X4" s="1201"/>
      <c r="Y4" s="1201"/>
      <c r="Z4" s="1201"/>
      <c r="AA4" s="1201"/>
    </row>
    <row r="5" spans="1:29" s="6" customFormat="1" ht="15.75" customHeight="1" x14ac:dyDescent="0.25">
      <c r="B5" s="10"/>
      <c r="C5" s="10"/>
      <c r="D5" s="10"/>
      <c r="E5" s="1234" t="s">
        <v>453</v>
      </c>
      <c r="F5" s="1234"/>
      <c r="G5" s="1234"/>
      <c r="H5" s="1234"/>
      <c r="I5" s="1234"/>
      <c r="J5" s="1234"/>
      <c r="K5" s="1234"/>
      <c r="L5" s="1234"/>
      <c r="M5" s="1234"/>
      <c r="N5" s="1234"/>
      <c r="O5" s="1234"/>
      <c r="P5" s="1234"/>
      <c r="Q5" s="1234"/>
      <c r="R5" s="1234"/>
      <c r="S5" s="1234"/>
      <c r="T5" s="1234"/>
      <c r="U5" s="1234"/>
      <c r="V5" s="1234"/>
      <c r="W5" s="1234"/>
      <c r="X5" s="1234"/>
      <c r="Y5" s="1234"/>
      <c r="Z5" s="1234"/>
      <c r="AA5" s="1234"/>
    </row>
    <row r="6" spans="1:29" ht="19.5" customHeight="1" thickBot="1" x14ac:dyDescent="0.3">
      <c r="A6" s="2"/>
      <c r="B6" s="2"/>
      <c r="C6" s="2"/>
      <c r="D6" s="2"/>
      <c r="E6" s="2"/>
      <c r="F6" s="240"/>
      <c r="G6" s="240"/>
      <c r="H6" s="240"/>
      <c r="I6" s="241"/>
      <c r="J6" s="240"/>
      <c r="K6" s="240"/>
      <c r="L6" s="240"/>
      <c r="M6" s="240"/>
      <c r="N6" s="240"/>
      <c r="O6" s="240"/>
      <c r="P6" s="240"/>
      <c r="Q6" s="240"/>
      <c r="R6" s="240"/>
      <c r="S6" s="38"/>
      <c r="T6" s="19"/>
      <c r="U6" s="19"/>
      <c r="V6" s="19"/>
      <c r="W6" s="2"/>
      <c r="X6" s="2"/>
      <c r="Y6" s="38"/>
      <c r="Z6" s="2"/>
      <c r="AA6" s="240"/>
      <c r="AB6" s="112"/>
    </row>
    <row r="7" spans="1:29" s="6" customFormat="1" ht="18.75" customHeight="1" thickTop="1" x14ac:dyDescent="0.2">
      <c r="A7" s="1203" t="s">
        <v>91</v>
      </c>
      <c r="B7" s="1205" t="s">
        <v>106</v>
      </c>
      <c r="C7" s="1206"/>
      <c r="D7" s="1209" t="s">
        <v>92</v>
      </c>
      <c r="E7" s="1205" t="s">
        <v>93</v>
      </c>
      <c r="F7" s="1175" t="s">
        <v>452</v>
      </c>
      <c r="G7" s="1176"/>
      <c r="H7" s="1176"/>
      <c r="I7" s="1176"/>
      <c r="J7" s="1176"/>
      <c r="K7" s="1176"/>
      <c r="L7" s="1176"/>
      <c r="M7" s="1176"/>
      <c r="N7" s="1176"/>
      <c r="O7" s="1176"/>
      <c r="P7" s="1176"/>
      <c r="Q7" s="1176"/>
      <c r="R7" s="1176"/>
      <c r="S7" s="1222" t="s">
        <v>102</v>
      </c>
      <c r="T7" s="1175" t="s">
        <v>104</v>
      </c>
      <c r="U7" s="1176"/>
      <c r="V7" s="1176"/>
      <c r="W7" s="1178"/>
      <c r="X7" s="1215" t="s">
        <v>99</v>
      </c>
      <c r="Y7" s="1239" t="s">
        <v>100</v>
      </c>
      <c r="Z7" s="1240" t="s">
        <v>103</v>
      </c>
      <c r="AA7" s="1219" t="s">
        <v>90</v>
      </c>
      <c r="AB7" s="6">
        <v>18</v>
      </c>
    </row>
    <row r="8" spans="1:29" s="6" customFormat="1" ht="147.75" customHeight="1" x14ac:dyDescent="0.2">
      <c r="A8" s="1204"/>
      <c r="B8" s="1235"/>
      <c r="C8" s="1236"/>
      <c r="D8" s="1237"/>
      <c r="E8" s="1237"/>
      <c r="F8" s="37" t="s">
        <v>330</v>
      </c>
      <c r="G8" s="52" t="s">
        <v>96</v>
      </c>
      <c r="H8" s="136" t="s">
        <v>446</v>
      </c>
      <c r="I8" s="228" t="s">
        <v>107</v>
      </c>
      <c r="J8" s="217" t="s">
        <v>289</v>
      </c>
      <c r="K8" s="228" t="s">
        <v>129</v>
      </c>
      <c r="L8" s="137" t="s">
        <v>448</v>
      </c>
      <c r="M8" s="137" t="s">
        <v>290</v>
      </c>
      <c r="N8" s="137" t="s">
        <v>291</v>
      </c>
      <c r="O8" s="137" t="s">
        <v>447</v>
      </c>
      <c r="P8" s="217" t="s">
        <v>449</v>
      </c>
      <c r="Q8" s="228" t="s">
        <v>450</v>
      </c>
      <c r="R8" s="228" t="s">
        <v>292</v>
      </c>
      <c r="S8" s="1223"/>
      <c r="T8" s="228" t="s">
        <v>108</v>
      </c>
      <c r="U8" s="228" t="s">
        <v>97</v>
      </c>
      <c r="V8" s="228" t="s">
        <v>96</v>
      </c>
      <c r="W8" s="50" t="s">
        <v>98</v>
      </c>
      <c r="X8" s="1227"/>
      <c r="Y8" s="1229"/>
      <c r="Z8" s="1231"/>
      <c r="AA8" s="1232"/>
      <c r="AB8" s="6" t="s">
        <v>94</v>
      </c>
    </row>
    <row r="9" spans="1:29" s="351" customFormat="1" ht="18" customHeight="1" x14ac:dyDescent="0.2">
      <c r="A9" s="521">
        <v>1</v>
      </c>
      <c r="B9" s="245" t="s">
        <v>1843</v>
      </c>
      <c r="C9" s="246">
        <v>2022</v>
      </c>
      <c r="D9" s="264" t="s">
        <v>722</v>
      </c>
      <c r="E9" s="265" t="s">
        <v>570</v>
      </c>
      <c r="F9" s="266">
        <v>8.1</v>
      </c>
      <c r="G9" s="267">
        <v>6</v>
      </c>
      <c r="H9" s="267">
        <v>8</v>
      </c>
      <c r="I9" s="267">
        <v>7</v>
      </c>
      <c r="J9" s="267">
        <v>7</v>
      </c>
      <c r="K9" s="266">
        <v>8</v>
      </c>
      <c r="L9" s="266">
        <v>7</v>
      </c>
      <c r="M9" s="266">
        <v>7</v>
      </c>
      <c r="N9" s="267">
        <v>7</v>
      </c>
      <c r="O9" s="267">
        <v>7</v>
      </c>
      <c r="P9" s="267">
        <v>7.5</v>
      </c>
      <c r="Q9" s="267">
        <v>7</v>
      </c>
      <c r="R9" s="267">
        <v>7</v>
      </c>
      <c r="S9" s="243">
        <f t="shared" ref="S9:S41" si="0">SUM(F9:R9)/15</f>
        <v>6.2399999999999993</v>
      </c>
      <c r="T9" s="528"/>
      <c r="U9" s="528"/>
      <c r="V9" s="528"/>
      <c r="W9" s="286">
        <f t="shared" ref="W9:W18" si="1">SUM(T9:V9)/3</f>
        <v>0</v>
      </c>
      <c r="X9" s="286">
        <f t="shared" ref="X9:X37" si="2">SUM(S9+W9)/2</f>
        <v>3.1199999999999997</v>
      </c>
      <c r="Y9" s="252" t="s">
        <v>101</v>
      </c>
      <c r="Z9" s="271"/>
      <c r="AA9" s="272" t="s">
        <v>215</v>
      </c>
      <c r="AB9" s="374"/>
      <c r="AC9" s="357">
        <f t="shared" ref="AC9:AC41" si="3">AVERAGE(F9:R9)</f>
        <v>7.1999999999999993</v>
      </c>
    </row>
    <row r="10" spans="1:29" s="256" customFormat="1" ht="18" customHeight="1" x14ac:dyDescent="0.2">
      <c r="A10" s="523">
        <v>2</v>
      </c>
      <c r="B10" s="245" t="s">
        <v>1844</v>
      </c>
      <c r="C10" s="246">
        <v>2022</v>
      </c>
      <c r="D10" s="269" t="s">
        <v>723</v>
      </c>
      <c r="E10" s="270" t="s">
        <v>724</v>
      </c>
      <c r="F10" s="242">
        <v>7</v>
      </c>
      <c r="G10" s="242">
        <v>7</v>
      </c>
      <c r="H10" s="242">
        <v>7</v>
      </c>
      <c r="I10" s="242">
        <v>7</v>
      </c>
      <c r="J10" s="242">
        <v>7</v>
      </c>
      <c r="K10" s="242">
        <v>8</v>
      </c>
      <c r="L10" s="242">
        <v>7.5</v>
      </c>
      <c r="M10" s="242">
        <v>7.5</v>
      </c>
      <c r="N10" s="242">
        <v>7</v>
      </c>
      <c r="O10" s="242">
        <v>7.5</v>
      </c>
      <c r="P10" s="242">
        <v>7.5</v>
      </c>
      <c r="Q10" s="242">
        <v>7.5</v>
      </c>
      <c r="R10" s="242">
        <v>7</v>
      </c>
      <c r="S10" s="243">
        <f t="shared" si="0"/>
        <v>6.3</v>
      </c>
      <c r="T10" s="242"/>
      <c r="U10" s="242"/>
      <c r="V10" s="242"/>
      <c r="W10" s="277">
        <f t="shared" si="1"/>
        <v>0</v>
      </c>
      <c r="X10" s="277">
        <f t="shared" si="2"/>
        <v>3.15</v>
      </c>
      <c r="Y10" s="252" t="s">
        <v>101</v>
      </c>
      <c r="Z10" s="273"/>
      <c r="AA10" s="274" t="s">
        <v>214</v>
      </c>
      <c r="AB10" s="374"/>
      <c r="AC10" s="357">
        <f t="shared" si="3"/>
        <v>7.2692307692307692</v>
      </c>
    </row>
    <row r="11" spans="1:29" s="256" customFormat="1" ht="18" customHeight="1" x14ac:dyDescent="0.2">
      <c r="A11" s="523">
        <v>3</v>
      </c>
      <c r="B11" s="245" t="s">
        <v>1845</v>
      </c>
      <c r="C11" s="246">
        <v>2022</v>
      </c>
      <c r="D11" s="269" t="s">
        <v>725</v>
      </c>
      <c r="E11" s="270" t="s">
        <v>726</v>
      </c>
      <c r="F11" s="242">
        <v>7.2</v>
      </c>
      <c r="G11" s="242">
        <v>7</v>
      </c>
      <c r="H11" s="242">
        <v>7.5</v>
      </c>
      <c r="I11" s="242">
        <v>6</v>
      </c>
      <c r="J11" s="242">
        <v>7.4</v>
      </c>
      <c r="K11" s="242">
        <v>8</v>
      </c>
      <c r="L11" s="242">
        <v>7</v>
      </c>
      <c r="M11" s="242">
        <v>7.5</v>
      </c>
      <c r="N11" s="242">
        <v>7.5</v>
      </c>
      <c r="O11" s="242">
        <v>7</v>
      </c>
      <c r="P11" s="242">
        <v>7</v>
      </c>
      <c r="Q11" s="242">
        <v>7</v>
      </c>
      <c r="R11" s="242">
        <v>7</v>
      </c>
      <c r="S11" s="243">
        <f t="shared" si="0"/>
        <v>6.2066666666666661</v>
      </c>
      <c r="T11" s="242"/>
      <c r="U11" s="242"/>
      <c r="V11" s="529"/>
      <c r="W11" s="277">
        <f t="shared" si="1"/>
        <v>0</v>
      </c>
      <c r="X11" s="277">
        <f t="shared" si="2"/>
        <v>3.1033333333333331</v>
      </c>
      <c r="Y11" s="252" t="s">
        <v>101</v>
      </c>
      <c r="Z11" s="273"/>
      <c r="AA11" s="274" t="s">
        <v>193</v>
      </c>
      <c r="AB11" s="374"/>
      <c r="AC11" s="357">
        <f t="shared" si="3"/>
        <v>7.161538461538461</v>
      </c>
    </row>
    <row r="12" spans="1:29" s="256" customFormat="1" ht="18" customHeight="1" x14ac:dyDescent="0.2">
      <c r="A12" s="523">
        <v>4</v>
      </c>
      <c r="B12" s="245" t="s">
        <v>1846</v>
      </c>
      <c r="C12" s="246">
        <v>2022</v>
      </c>
      <c r="D12" s="269" t="s">
        <v>727</v>
      </c>
      <c r="E12" s="270" t="s">
        <v>728</v>
      </c>
      <c r="F12" s="242">
        <v>7</v>
      </c>
      <c r="G12" s="242">
        <v>7.5</v>
      </c>
      <c r="H12" s="242">
        <v>7.5</v>
      </c>
      <c r="I12" s="242">
        <v>6</v>
      </c>
      <c r="J12" s="242">
        <v>5.5</v>
      </c>
      <c r="K12" s="242">
        <v>8</v>
      </c>
      <c r="L12" s="242">
        <v>7</v>
      </c>
      <c r="M12" s="242">
        <v>7.5</v>
      </c>
      <c r="N12" s="242">
        <v>7.5</v>
      </c>
      <c r="O12" s="242">
        <v>7</v>
      </c>
      <c r="P12" s="242">
        <v>7</v>
      </c>
      <c r="Q12" s="242">
        <v>7.5</v>
      </c>
      <c r="R12" s="242">
        <v>7.5</v>
      </c>
      <c r="S12" s="243">
        <f t="shared" si="0"/>
        <v>6.166666666666667</v>
      </c>
      <c r="T12" s="242"/>
      <c r="U12" s="242"/>
      <c r="V12" s="242"/>
      <c r="W12" s="277">
        <f t="shared" si="1"/>
        <v>0</v>
      </c>
      <c r="X12" s="277">
        <f t="shared" si="2"/>
        <v>3.0833333333333335</v>
      </c>
      <c r="Y12" s="252" t="s">
        <v>101</v>
      </c>
      <c r="Z12" s="273"/>
      <c r="AA12" s="274" t="s">
        <v>141</v>
      </c>
      <c r="AB12" s="374"/>
      <c r="AC12" s="357">
        <f t="shared" si="3"/>
        <v>7.115384615384615</v>
      </c>
    </row>
    <row r="13" spans="1:29" s="256" customFormat="1" ht="18" customHeight="1" x14ac:dyDescent="0.2">
      <c r="A13" s="523">
        <v>5</v>
      </c>
      <c r="B13" s="245" t="s">
        <v>1847</v>
      </c>
      <c r="C13" s="246">
        <v>2022</v>
      </c>
      <c r="D13" s="269" t="s">
        <v>729</v>
      </c>
      <c r="E13" s="270" t="s">
        <v>288</v>
      </c>
      <c r="F13" s="242">
        <v>7</v>
      </c>
      <c r="G13" s="242">
        <v>7</v>
      </c>
      <c r="H13" s="242">
        <v>7</v>
      </c>
      <c r="I13" s="242">
        <v>7.5</v>
      </c>
      <c r="J13" s="242">
        <v>7.4</v>
      </c>
      <c r="K13" s="242">
        <v>8</v>
      </c>
      <c r="L13" s="242">
        <v>7.5</v>
      </c>
      <c r="M13" s="242">
        <v>7.5</v>
      </c>
      <c r="N13" s="242">
        <v>7</v>
      </c>
      <c r="O13" s="242">
        <v>7</v>
      </c>
      <c r="P13" s="242">
        <v>7.5</v>
      </c>
      <c r="Q13" s="242">
        <v>7</v>
      </c>
      <c r="R13" s="242">
        <v>7.5</v>
      </c>
      <c r="S13" s="243">
        <f t="shared" si="0"/>
        <v>6.3266666666666671</v>
      </c>
      <c r="T13" s="242"/>
      <c r="U13" s="242"/>
      <c r="V13" s="242"/>
      <c r="W13" s="277">
        <f t="shared" si="1"/>
        <v>0</v>
      </c>
      <c r="X13" s="277">
        <f t="shared" si="2"/>
        <v>3.1633333333333336</v>
      </c>
      <c r="Y13" s="252" t="s">
        <v>101</v>
      </c>
      <c r="Z13" s="273"/>
      <c r="AA13" s="274" t="s">
        <v>17</v>
      </c>
      <c r="AB13" s="374"/>
      <c r="AC13" s="357">
        <f t="shared" si="3"/>
        <v>7.3000000000000007</v>
      </c>
    </row>
    <row r="14" spans="1:29" s="256" customFormat="1" ht="18" customHeight="1" x14ac:dyDescent="0.2">
      <c r="A14" s="523">
        <v>6</v>
      </c>
      <c r="B14" s="245" t="s">
        <v>1848</v>
      </c>
      <c r="C14" s="246">
        <v>2022</v>
      </c>
      <c r="D14" s="269" t="s">
        <v>730</v>
      </c>
      <c r="E14" s="270" t="s">
        <v>731</v>
      </c>
      <c r="F14" s="242">
        <v>6.6</v>
      </c>
      <c r="G14" s="242">
        <v>6.5</v>
      </c>
      <c r="H14" s="242">
        <v>7</v>
      </c>
      <c r="I14" s="242">
        <v>7</v>
      </c>
      <c r="J14" s="242">
        <v>7</v>
      </c>
      <c r="K14" s="242">
        <v>8</v>
      </c>
      <c r="L14" s="242">
        <v>6.5</v>
      </c>
      <c r="M14" s="242">
        <v>7.5</v>
      </c>
      <c r="N14" s="242">
        <v>7</v>
      </c>
      <c r="O14" s="242">
        <v>6.5</v>
      </c>
      <c r="P14" s="242">
        <v>7</v>
      </c>
      <c r="Q14" s="242">
        <v>7.5</v>
      </c>
      <c r="R14" s="242">
        <v>6.5</v>
      </c>
      <c r="S14" s="243">
        <f t="shared" si="0"/>
        <v>6.04</v>
      </c>
      <c r="T14" s="242"/>
      <c r="U14" s="242"/>
      <c r="V14" s="242"/>
      <c r="W14" s="277">
        <f t="shared" si="1"/>
        <v>0</v>
      </c>
      <c r="X14" s="277">
        <f t="shared" si="2"/>
        <v>3.02</v>
      </c>
      <c r="Y14" s="252" t="s">
        <v>95</v>
      </c>
      <c r="Z14" s="273"/>
      <c r="AA14" s="274" t="s">
        <v>193</v>
      </c>
      <c r="AB14" s="374"/>
      <c r="AC14" s="628">
        <f t="shared" si="3"/>
        <v>6.9692307692307685</v>
      </c>
    </row>
    <row r="15" spans="1:29" s="256" customFormat="1" ht="18" customHeight="1" x14ac:dyDescent="0.2">
      <c r="A15" s="523">
        <v>7</v>
      </c>
      <c r="B15" s="245" t="s">
        <v>1849</v>
      </c>
      <c r="C15" s="246">
        <v>2022</v>
      </c>
      <c r="D15" s="269" t="s">
        <v>732</v>
      </c>
      <c r="E15" s="270" t="s">
        <v>733</v>
      </c>
      <c r="F15" s="242">
        <v>7.5</v>
      </c>
      <c r="G15" s="242">
        <v>7</v>
      </c>
      <c r="H15" s="242">
        <v>6.5</v>
      </c>
      <c r="I15" s="242">
        <v>7</v>
      </c>
      <c r="J15" s="242">
        <v>7</v>
      </c>
      <c r="K15" s="242">
        <v>8</v>
      </c>
      <c r="L15" s="242">
        <v>7.5</v>
      </c>
      <c r="M15" s="242">
        <v>7</v>
      </c>
      <c r="N15" s="242">
        <v>7</v>
      </c>
      <c r="O15" s="242">
        <v>6.5</v>
      </c>
      <c r="P15" s="242">
        <v>7</v>
      </c>
      <c r="Q15" s="242">
        <v>7</v>
      </c>
      <c r="R15" s="242">
        <v>7</v>
      </c>
      <c r="S15" s="243">
        <f t="shared" si="0"/>
        <v>6.1333333333333337</v>
      </c>
      <c r="T15" s="242"/>
      <c r="U15" s="242"/>
      <c r="V15" s="242"/>
      <c r="W15" s="277">
        <f t="shared" si="1"/>
        <v>0</v>
      </c>
      <c r="X15" s="277">
        <f t="shared" si="2"/>
        <v>3.0666666666666669</v>
      </c>
      <c r="Y15" s="252" t="s">
        <v>101</v>
      </c>
      <c r="Z15" s="273"/>
      <c r="AA15" s="612" t="s">
        <v>141</v>
      </c>
      <c r="AB15" s="374"/>
      <c r="AC15" s="357">
        <f t="shared" si="3"/>
        <v>7.0769230769230766</v>
      </c>
    </row>
    <row r="16" spans="1:29" s="256" customFormat="1" ht="18" customHeight="1" x14ac:dyDescent="0.2">
      <c r="A16" s="523">
        <v>8</v>
      </c>
      <c r="B16" s="245" t="s">
        <v>1850</v>
      </c>
      <c r="C16" s="246">
        <v>2022</v>
      </c>
      <c r="D16" s="269" t="s">
        <v>734</v>
      </c>
      <c r="E16" s="270" t="s">
        <v>735</v>
      </c>
      <c r="F16" s="242">
        <v>8</v>
      </c>
      <c r="G16" s="242">
        <v>7.5</v>
      </c>
      <c r="H16" s="242">
        <v>8</v>
      </c>
      <c r="I16" s="242">
        <v>8</v>
      </c>
      <c r="J16" s="242">
        <v>7</v>
      </c>
      <c r="K16" s="242">
        <v>8</v>
      </c>
      <c r="L16" s="242">
        <v>7.5</v>
      </c>
      <c r="M16" s="242">
        <v>6.5</v>
      </c>
      <c r="N16" s="242">
        <v>7</v>
      </c>
      <c r="O16" s="242">
        <v>7.5</v>
      </c>
      <c r="P16" s="242">
        <v>7</v>
      </c>
      <c r="Q16" s="242">
        <v>7</v>
      </c>
      <c r="R16" s="242">
        <v>6.5</v>
      </c>
      <c r="S16" s="243">
        <f t="shared" si="0"/>
        <v>6.3666666666666663</v>
      </c>
      <c r="T16" s="242"/>
      <c r="U16" s="242"/>
      <c r="V16" s="242"/>
      <c r="W16" s="277">
        <f t="shared" si="1"/>
        <v>0</v>
      </c>
      <c r="X16" s="277">
        <f t="shared" si="2"/>
        <v>3.1833333333333331</v>
      </c>
      <c r="Y16" s="252" t="s">
        <v>101</v>
      </c>
      <c r="Z16" s="273"/>
      <c r="AA16" s="274" t="s">
        <v>214</v>
      </c>
      <c r="AB16" s="374"/>
      <c r="AC16" s="357">
        <f t="shared" si="3"/>
        <v>7.3461538461538458</v>
      </c>
    </row>
    <row r="17" spans="1:29" s="256" customFormat="1" ht="18" customHeight="1" x14ac:dyDescent="0.2">
      <c r="A17" s="523">
        <v>9</v>
      </c>
      <c r="B17" s="245" t="s">
        <v>1851</v>
      </c>
      <c r="C17" s="246">
        <v>2022</v>
      </c>
      <c r="D17" s="269" t="s">
        <v>736</v>
      </c>
      <c r="E17" s="270" t="s">
        <v>505</v>
      </c>
      <c r="F17" s="242">
        <v>6.8</v>
      </c>
      <c r="G17" s="242">
        <v>7.5</v>
      </c>
      <c r="H17" s="242">
        <v>7</v>
      </c>
      <c r="I17" s="242">
        <v>7</v>
      </c>
      <c r="J17" s="242">
        <v>5.5</v>
      </c>
      <c r="K17" s="242">
        <v>8</v>
      </c>
      <c r="L17" s="242">
        <v>7</v>
      </c>
      <c r="M17" s="242">
        <v>7.5</v>
      </c>
      <c r="N17" s="242">
        <v>7.5</v>
      </c>
      <c r="O17" s="242">
        <v>7</v>
      </c>
      <c r="P17" s="242">
        <v>7</v>
      </c>
      <c r="Q17" s="242">
        <v>7</v>
      </c>
      <c r="R17" s="242">
        <v>7.5</v>
      </c>
      <c r="S17" s="243">
        <f t="shared" si="0"/>
        <v>6.1533333333333333</v>
      </c>
      <c r="T17" s="242"/>
      <c r="U17" s="242"/>
      <c r="V17" s="242"/>
      <c r="W17" s="277">
        <f t="shared" si="1"/>
        <v>0</v>
      </c>
      <c r="X17" s="277">
        <f t="shared" si="2"/>
        <v>3.0766666666666667</v>
      </c>
      <c r="Y17" s="252" t="s">
        <v>101</v>
      </c>
      <c r="Z17" s="273"/>
      <c r="AA17" s="274" t="s">
        <v>198</v>
      </c>
      <c r="AB17" s="374"/>
      <c r="AC17" s="357">
        <f t="shared" si="3"/>
        <v>7.1</v>
      </c>
    </row>
    <row r="18" spans="1:29" s="256" customFormat="1" ht="18" customHeight="1" x14ac:dyDescent="0.2">
      <c r="A18" s="523">
        <v>10</v>
      </c>
      <c r="B18" s="245" t="s">
        <v>1852</v>
      </c>
      <c r="C18" s="246">
        <v>2022</v>
      </c>
      <c r="D18" s="269" t="s">
        <v>737</v>
      </c>
      <c r="E18" s="270" t="s">
        <v>738</v>
      </c>
      <c r="F18" s="242">
        <v>7</v>
      </c>
      <c r="G18" s="242">
        <v>7</v>
      </c>
      <c r="H18" s="242">
        <v>7.5</v>
      </c>
      <c r="I18" s="242">
        <v>7</v>
      </c>
      <c r="J18" s="242">
        <v>5.5</v>
      </c>
      <c r="K18" s="242">
        <v>8</v>
      </c>
      <c r="L18" s="242">
        <v>7</v>
      </c>
      <c r="M18" s="242">
        <v>8</v>
      </c>
      <c r="N18" s="242">
        <v>7.5</v>
      </c>
      <c r="O18" s="242">
        <v>7</v>
      </c>
      <c r="P18" s="242">
        <v>5</v>
      </c>
      <c r="Q18" s="242">
        <v>7</v>
      </c>
      <c r="R18" s="242">
        <v>8</v>
      </c>
      <c r="S18" s="243">
        <f t="shared" si="0"/>
        <v>6.1</v>
      </c>
      <c r="T18" s="242"/>
      <c r="U18" s="242"/>
      <c r="V18" s="242"/>
      <c r="W18" s="277">
        <f t="shared" si="1"/>
        <v>0</v>
      </c>
      <c r="X18" s="277">
        <f t="shared" si="2"/>
        <v>3.05</v>
      </c>
      <c r="Y18" s="252" t="s">
        <v>101</v>
      </c>
      <c r="Z18" s="273"/>
      <c r="AA18" s="274" t="s">
        <v>198</v>
      </c>
      <c r="AB18" s="374"/>
      <c r="AC18" s="357">
        <f t="shared" si="3"/>
        <v>7.0384615384615383</v>
      </c>
    </row>
    <row r="19" spans="1:29" s="256" customFormat="1" ht="18" customHeight="1" x14ac:dyDescent="0.2">
      <c r="A19" s="523">
        <v>11</v>
      </c>
      <c r="B19" s="245" t="s">
        <v>1853</v>
      </c>
      <c r="C19" s="246">
        <v>2022</v>
      </c>
      <c r="D19" s="269" t="s">
        <v>739</v>
      </c>
      <c r="E19" s="270" t="s">
        <v>740</v>
      </c>
      <c r="F19" s="242">
        <v>8</v>
      </c>
      <c r="G19" s="242">
        <v>8</v>
      </c>
      <c r="H19" s="242">
        <v>8</v>
      </c>
      <c r="I19" s="242">
        <v>8</v>
      </c>
      <c r="J19" s="242">
        <v>5.5</v>
      </c>
      <c r="K19" s="242">
        <v>8</v>
      </c>
      <c r="L19" s="242">
        <v>8</v>
      </c>
      <c r="M19" s="242">
        <v>8</v>
      </c>
      <c r="N19" s="242">
        <v>8</v>
      </c>
      <c r="O19" s="242">
        <v>8</v>
      </c>
      <c r="P19" s="242">
        <v>8</v>
      </c>
      <c r="Q19" s="242">
        <v>8</v>
      </c>
      <c r="R19" s="242">
        <v>6.5</v>
      </c>
      <c r="S19" s="243">
        <f t="shared" si="0"/>
        <v>6.666666666666667</v>
      </c>
      <c r="T19" s="242"/>
      <c r="U19" s="242"/>
      <c r="V19" s="242"/>
      <c r="W19" s="277">
        <f t="shared" ref="W19:W37" si="4">SUM(T19:V19)/3</f>
        <v>0</v>
      </c>
      <c r="X19" s="277">
        <f t="shared" si="2"/>
        <v>3.3333333333333335</v>
      </c>
      <c r="Y19" s="252" t="s">
        <v>101</v>
      </c>
      <c r="Z19" s="273"/>
      <c r="AA19" s="274" t="s">
        <v>208</v>
      </c>
      <c r="AB19" s="374"/>
      <c r="AC19" s="357">
        <f t="shared" si="3"/>
        <v>7.6923076923076925</v>
      </c>
    </row>
    <row r="20" spans="1:29" s="256" customFormat="1" ht="18" customHeight="1" x14ac:dyDescent="0.2">
      <c r="A20" s="523">
        <v>12</v>
      </c>
      <c r="B20" s="245" t="s">
        <v>1854</v>
      </c>
      <c r="C20" s="246">
        <v>2022</v>
      </c>
      <c r="D20" s="269" t="s">
        <v>741</v>
      </c>
      <c r="E20" s="270" t="s">
        <v>742</v>
      </c>
      <c r="F20" s="242">
        <v>7.9</v>
      </c>
      <c r="G20" s="242">
        <v>7</v>
      </c>
      <c r="H20" s="242">
        <v>7</v>
      </c>
      <c r="I20" s="242">
        <v>7</v>
      </c>
      <c r="J20" s="242">
        <v>8</v>
      </c>
      <c r="K20" s="242">
        <v>8</v>
      </c>
      <c r="L20" s="242">
        <v>7</v>
      </c>
      <c r="M20" s="242">
        <v>6.5</v>
      </c>
      <c r="N20" s="242">
        <v>7</v>
      </c>
      <c r="O20" s="242">
        <v>7.5</v>
      </c>
      <c r="P20" s="242">
        <v>7.5</v>
      </c>
      <c r="Q20" s="242">
        <v>7</v>
      </c>
      <c r="R20" s="242">
        <v>7.5</v>
      </c>
      <c r="S20" s="243">
        <f t="shared" si="0"/>
        <v>6.3266666666666671</v>
      </c>
      <c r="T20" s="242"/>
      <c r="U20" s="242"/>
      <c r="V20" s="242"/>
      <c r="W20" s="277">
        <f t="shared" si="4"/>
        <v>0</v>
      </c>
      <c r="X20" s="277">
        <f t="shared" si="2"/>
        <v>3.1633333333333336</v>
      </c>
      <c r="Y20" s="252" t="s">
        <v>101</v>
      </c>
      <c r="Z20" s="273"/>
      <c r="AA20" s="274" t="s">
        <v>203</v>
      </c>
      <c r="AB20" s="374"/>
      <c r="AC20" s="357">
        <f t="shared" si="3"/>
        <v>7.3000000000000007</v>
      </c>
    </row>
    <row r="21" spans="1:29" s="256" customFormat="1" ht="18" customHeight="1" x14ac:dyDescent="0.2">
      <c r="A21" s="523">
        <v>13</v>
      </c>
      <c r="B21" s="245" t="s">
        <v>1855</v>
      </c>
      <c r="C21" s="246">
        <v>2022</v>
      </c>
      <c r="D21" s="269" t="s">
        <v>743</v>
      </c>
      <c r="E21" s="270" t="s">
        <v>744</v>
      </c>
      <c r="F21" s="242">
        <v>8</v>
      </c>
      <c r="G21" s="242">
        <v>7.5</v>
      </c>
      <c r="H21" s="242">
        <v>8</v>
      </c>
      <c r="I21" s="242">
        <v>8</v>
      </c>
      <c r="J21" s="242">
        <v>8.4</v>
      </c>
      <c r="K21" s="242">
        <v>8</v>
      </c>
      <c r="L21" s="242">
        <v>8</v>
      </c>
      <c r="M21" s="242">
        <v>8</v>
      </c>
      <c r="N21" s="242">
        <v>8</v>
      </c>
      <c r="O21" s="242">
        <v>8</v>
      </c>
      <c r="P21" s="242">
        <v>8</v>
      </c>
      <c r="Q21" s="242">
        <v>8</v>
      </c>
      <c r="R21" s="242">
        <v>8</v>
      </c>
      <c r="S21" s="243">
        <f t="shared" si="0"/>
        <v>6.9266666666666667</v>
      </c>
      <c r="T21" s="242"/>
      <c r="U21" s="242"/>
      <c r="V21" s="242"/>
      <c r="W21" s="277">
        <f t="shared" si="4"/>
        <v>0</v>
      </c>
      <c r="X21" s="277">
        <f t="shared" si="2"/>
        <v>3.4633333333333334</v>
      </c>
      <c r="Y21" s="252" t="s">
        <v>101</v>
      </c>
      <c r="Z21" s="273"/>
      <c r="AA21" s="274" t="s">
        <v>215</v>
      </c>
      <c r="AB21" s="374"/>
      <c r="AC21" s="357">
        <f t="shared" si="3"/>
        <v>7.9923076923076923</v>
      </c>
    </row>
    <row r="22" spans="1:29" s="256" customFormat="1" ht="18" customHeight="1" x14ac:dyDescent="0.2">
      <c r="A22" s="523">
        <v>14</v>
      </c>
      <c r="B22" s="245" t="s">
        <v>1856</v>
      </c>
      <c r="C22" s="246">
        <v>2022</v>
      </c>
      <c r="D22" s="269" t="s">
        <v>745</v>
      </c>
      <c r="E22" s="270" t="s">
        <v>746</v>
      </c>
      <c r="F22" s="242">
        <v>7.5</v>
      </c>
      <c r="G22" s="242">
        <v>7</v>
      </c>
      <c r="H22" s="242">
        <v>7.5</v>
      </c>
      <c r="I22" s="242">
        <v>7</v>
      </c>
      <c r="J22" s="242">
        <v>5.5</v>
      </c>
      <c r="K22" s="242">
        <v>8</v>
      </c>
      <c r="L22" s="242">
        <v>7.5</v>
      </c>
      <c r="M22" s="242">
        <v>7.5</v>
      </c>
      <c r="N22" s="242">
        <v>7.5</v>
      </c>
      <c r="O22" s="242">
        <v>7</v>
      </c>
      <c r="P22" s="242">
        <v>7</v>
      </c>
      <c r="Q22" s="242">
        <v>7</v>
      </c>
      <c r="R22" s="242">
        <v>7</v>
      </c>
      <c r="S22" s="243">
        <f t="shared" si="0"/>
        <v>6.2</v>
      </c>
      <c r="T22" s="242"/>
      <c r="U22" s="242"/>
      <c r="V22" s="242"/>
      <c r="W22" s="277">
        <f t="shared" si="4"/>
        <v>0</v>
      </c>
      <c r="X22" s="277">
        <f t="shared" si="2"/>
        <v>3.1</v>
      </c>
      <c r="Y22" s="252" t="s">
        <v>101</v>
      </c>
      <c r="Z22" s="273"/>
      <c r="AA22" s="274" t="s">
        <v>218</v>
      </c>
      <c r="AB22" s="374"/>
      <c r="AC22" s="357">
        <f t="shared" si="3"/>
        <v>7.1538461538461542</v>
      </c>
    </row>
    <row r="23" spans="1:29" s="256" customFormat="1" ht="18" customHeight="1" x14ac:dyDescent="0.2">
      <c r="A23" s="523">
        <v>15</v>
      </c>
      <c r="B23" s="245" t="s">
        <v>1857</v>
      </c>
      <c r="C23" s="246">
        <v>2022</v>
      </c>
      <c r="D23" s="269" t="s">
        <v>747</v>
      </c>
      <c r="E23" s="270" t="s">
        <v>748</v>
      </c>
      <c r="F23" s="242">
        <v>6.8</v>
      </c>
      <c r="G23" s="242">
        <v>7</v>
      </c>
      <c r="H23" s="242">
        <v>7.5</v>
      </c>
      <c r="I23" s="242">
        <v>5</v>
      </c>
      <c r="J23" s="242">
        <v>7</v>
      </c>
      <c r="K23" s="242">
        <v>8</v>
      </c>
      <c r="L23" s="242">
        <v>7</v>
      </c>
      <c r="M23" s="242">
        <v>7</v>
      </c>
      <c r="N23" s="242">
        <v>7</v>
      </c>
      <c r="O23" s="242">
        <v>7.5</v>
      </c>
      <c r="P23" s="242">
        <v>7</v>
      </c>
      <c r="Q23" s="242">
        <v>7</v>
      </c>
      <c r="R23" s="242">
        <v>7.5</v>
      </c>
      <c r="S23" s="243">
        <f t="shared" si="0"/>
        <v>6.0866666666666669</v>
      </c>
      <c r="T23" s="242"/>
      <c r="U23" s="242"/>
      <c r="V23" s="242"/>
      <c r="W23" s="277">
        <f t="shared" si="4"/>
        <v>0</v>
      </c>
      <c r="X23" s="277">
        <f t="shared" si="2"/>
        <v>3.0433333333333334</v>
      </c>
      <c r="Y23" s="252" t="s">
        <v>101</v>
      </c>
      <c r="Z23" s="273"/>
      <c r="AA23" s="274" t="s">
        <v>181</v>
      </c>
      <c r="AB23" s="374"/>
      <c r="AC23" s="357">
        <f t="shared" si="3"/>
        <v>7.023076923076923</v>
      </c>
    </row>
    <row r="24" spans="1:29" s="256" customFormat="1" ht="18" customHeight="1" x14ac:dyDescent="0.2">
      <c r="A24" s="523"/>
      <c r="B24" s="245" t="s">
        <v>1858</v>
      </c>
      <c r="C24" s="246">
        <v>2022</v>
      </c>
      <c r="D24" s="269" t="s">
        <v>142</v>
      </c>
      <c r="E24" s="611" t="s">
        <v>1876</v>
      </c>
      <c r="F24" s="242">
        <v>7</v>
      </c>
      <c r="G24" s="242">
        <v>6.5</v>
      </c>
      <c r="H24" s="242">
        <v>7</v>
      </c>
      <c r="I24" s="242">
        <v>7</v>
      </c>
      <c r="J24" s="242">
        <v>7</v>
      </c>
      <c r="K24" s="242">
        <v>8</v>
      </c>
      <c r="L24" s="242">
        <v>7</v>
      </c>
      <c r="M24" s="242">
        <v>7.5</v>
      </c>
      <c r="N24" s="242">
        <v>7</v>
      </c>
      <c r="O24" s="242">
        <v>8</v>
      </c>
      <c r="P24" s="242">
        <v>7.5</v>
      </c>
      <c r="Q24" s="242">
        <v>7.5</v>
      </c>
      <c r="R24" s="242">
        <v>7.5</v>
      </c>
      <c r="S24" s="243">
        <f t="shared" si="0"/>
        <v>6.3</v>
      </c>
      <c r="T24" s="242"/>
      <c r="U24" s="242"/>
      <c r="V24" s="242"/>
      <c r="W24" s="277">
        <f t="shared" si="4"/>
        <v>0</v>
      </c>
      <c r="X24" s="277">
        <f t="shared" si="2"/>
        <v>3.15</v>
      </c>
      <c r="Y24" s="252" t="s">
        <v>101</v>
      </c>
      <c r="Z24" s="273"/>
      <c r="AA24" s="274" t="s">
        <v>234</v>
      </c>
      <c r="AB24" s="374"/>
      <c r="AC24" s="357">
        <f t="shared" si="3"/>
        <v>7.2692307692307692</v>
      </c>
    </row>
    <row r="25" spans="1:29" s="256" customFormat="1" ht="18" customHeight="1" x14ac:dyDescent="0.2">
      <c r="A25" s="523">
        <v>17</v>
      </c>
      <c r="B25" s="245" t="s">
        <v>1859</v>
      </c>
      <c r="C25" s="246">
        <v>2022</v>
      </c>
      <c r="D25" s="269" t="s">
        <v>749</v>
      </c>
      <c r="E25" s="270" t="s">
        <v>750</v>
      </c>
      <c r="F25" s="242">
        <v>7.8</v>
      </c>
      <c r="G25" s="242">
        <v>7</v>
      </c>
      <c r="H25" s="242">
        <v>7</v>
      </c>
      <c r="I25" s="242">
        <v>7</v>
      </c>
      <c r="J25" s="242">
        <v>5.5</v>
      </c>
      <c r="K25" s="242">
        <v>8</v>
      </c>
      <c r="L25" s="242">
        <v>7</v>
      </c>
      <c r="M25" s="242">
        <v>7</v>
      </c>
      <c r="N25" s="242">
        <v>7.5</v>
      </c>
      <c r="O25" s="242">
        <v>7.5</v>
      </c>
      <c r="P25" s="242">
        <v>7</v>
      </c>
      <c r="Q25" s="242">
        <v>6.5</v>
      </c>
      <c r="R25" s="242">
        <v>7.5</v>
      </c>
      <c r="S25" s="243">
        <f t="shared" si="0"/>
        <v>6.1533333333333333</v>
      </c>
      <c r="T25" s="242"/>
      <c r="U25" s="242"/>
      <c r="V25" s="242"/>
      <c r="W25" s="277">
        <f t="shared" si="4"/>
        <v>0</v>
      </c>
      <c r="X25" s="277">
        <f t="shared" si="2"/>
        <v>3.0766666666666667</v>
      </c>
      <c r="Y25" s="252" t="s">
        <v>101</v>
      </c>
      <c r="Z25" s="273"/>
      <c r="AA25" s="274" t="s">
        <v>214</v>
      </c>
      <c r="AB25" s="374"/>
      <c r="AC25" s="357">
        <f t="shared" si="3"/>
        <v>7.1</v>
      </c>
    </row>
    <row r="26" spans="1:29" s="256" customFormat="1" ht="18" customHeight="1" x14ac:dyDescent="0.2">
      <c r="A26" s="523">
        <v>18</v>
      </c>
      <c r="B26" s="245" t="s">
        <v>1860</v>
      </c>
      <c r="C26" s="246">
        <v>2022</v>
      </c>
      <c r="D26" s="269" t="s">
        <v>751</v>
      </c>
      <c r="E26" s="270" t="s">
        <v>752</v>
      </c>
      <c r="F26" s="242">
        <v>7.9</v>
      </c>
      <c r="G26" s="242">
        <v>7</v>
      </c>
      <c r="H26" s="242">
        <v>6.5</v>
      </c>
      <c r="I26" s="242">
        <v>5</v>
      </c>
      <c r="J26" s="242">
        <v>8</v>
      </c>
      <c r="K26" s="242">
        <v>8</v>
      </c>
      <c r="L26" s="242">
        <v>7</v>
      </c>
      <c r="M26" s="242">
        <v>7</v>
      </c>
      <c r="N26" s="242">
        <v>7.5</v>
      </c>
      <c r="O26" s="242">
        <v>7</v>
      </c>
      <c r="P26" s="242">
        <v>6.5</v>
      </c>
      <c r="Q26" s="242">
        <v>7</v>
      </c>
      <c r="R26" s="242">
        <v>7.5</v>
      </c>
      <c r="S26" s="243">
        <f t="shared" si="0"/>
        <v>6.1266666666666669</v>
      </c>
      <c r="T26" s="242"/>
      <c r="U26" s="242"/>
      <c r="V26" s="242"/>
      <c r="W26" s="277"/>
      <c r="X26" s="277"/>
      <c r="Y26" s="252" t="s">
        <v>101</v>
      </c>
      <c r="Z26" s="273"/>
      <c r="AA26" s="274" t="s">
        <v>190</v>
      </c>
      <c r="AB26" s="374"/>
      <c r="AC26" s="357">
        <f>AVERAGE(F26:R26)</f>
        <v>7.0692307692307699</v>
      </c>
    </row>
    <row r="27" spans="1:29" s="256" customFormat="1" ht="18" customHeight="1" x14ac:dyDescent="0.2">
      <c r="A27" s="523">
        <v>19</v>
      </c>
      <c r="B27" s="245" t="s">
        <v>1861</v>
      </c>
      <c r="C27" s="246">
        <v>2022</v>
      </c>
      <c r="D27" s="269" t="s">
        <v>753</v>
      </c>
      <c r="E27" s="270" t="s">
        <v>285</v>
      </c>
      <c r="F27" s="242">
        <v>7.5</v>
      </c>
      <c r="G27" s="242">
        <v>6.5</v>
      </c>
      <c r="H27" s="242">
        <v>7.5</v>
      </c>
      <c r="I27" s="242">
        <v>7</v>
      </c>
      <c r="J27" s="242">
        <v>7</v>
      </c>
      <c r="K27" s="242">
        <v>8</v>
      </c>
      <c r="L27" s="242">
        <v>6</v>
      </c>
      <c r="M27" s="242">
        <v>6.5</v>
      </c>
      <c r="N27" s="242">
        <v>6.5</v>
      </c>
      <c r="O27" s="242">
        <v>6.5</v>
      </c>
      <c r="P27" s="242">
        <v>5</v>
      </c>
      <c r="Q27" s="242">
        <v>6.5</v>
      </c>
      <c r="R27" s="242">
        <v>6.5</v>
      </c>
      <c r="S27" s="243">
        <f t="shared" si="0"/>
        <v>5.8</v>
      </c>
      <c r="T27" s="242"/>
      <c r="U27" s="242"/>
      <c r="V27" s="242"/>
      <c r="W27" s="277">
        <f t="shared" si="4"/>
        <v>0</v>
      </c>
      <c r="X27" s="277">
        <f t="shared" si="2"/>
        <v>2.9</v>
      </c>
      <c r="Y27" s="252" t="s">
        <v>95</v>
      </c>
      <c r="Z27" s="273"/>
      <c r="AA27" s="274" t="s">
        <v>186</v>
      </c>
      <c r="AB27" s="374"/>
      <c r="AC27" s="628">
        <f t="shared" si="3"/>
        <v>6.6923076923076925</v>
      </c>
    </row>
    <row r="28" spans="1:29" s="256" customFormat="1" ht="18" customHeight="1" x14ac:dyDescent="0.2">
      <c r="A28" s="523">
        <v>20</v>
      </c>
      <c r="B28" s="245" t="s">
        <v>1862</v>
      </c>
      <c r="C28" s="246">
        <v>2022</v>
      </c>
      <c r="D28" s="269" t="s">
        <v>754</v>
      </c>
      <c r="E28" s="270" t="s">
        <v>755</v>
      </c>
      <c r="F28" s="242">
        <v>8.5</v>
      </c>
      <c r="G28" s="242">
        <v>8</v>
      </c>
      <c r="H28" s="242">
        <v>8</v>
      </c>
      <c r="I28" s="242">
        <v>8</v>
      </c>
      <c r="J28" s="242">
        <v>5.5</v>
      </c>
      <c r="K28" s="242">
        <v>8</v>
      </c>
      <c r="L28" s="242">
        <v>8</v>
      </c>
      <c r="M28" s="242">
        <v>8</v>
      </c>
      <c r="N28" s="242">
        <v>8</v>
      </c>
      <c r="O28" s="242">
        <v>7.5</v>
      </c>
      <c r="P28" s="242">
        <v>7.5</v>
      </c>
      <c r="Q28" s="242">
        <v>8</v>
      </c>
      <c r="R28" s="242">
        <v>8</v>
      </c>
      <c r="S28" s="243">
        <f t="shared" si="0"/>
        <v>6.7333333333333334</v>
      </c>
      <c r="T28" s="242"/>
      <c r="U28" s="242"/>
      <c r="V28" s="242"/>
      <c r="W28" s="277">
        <f t="shared" si="4"/>
        <v>0</v>
      </c>
      <c r="X28" s="277">
        <f t="shared" si="2"/>
        <v>3.3666666666666667</v>
      </c>
      <c r="Y28" s="252" t="s">
        <v>101</v>
      </c>
      <c r="Z28" s="273"/>
      <c r="AA28" s="274" t="s">
        <v>217</v>
      </c>
      <c r="AB28" s="374"/>
      <c r="AC28" s="357">
        <f t="shared" si="3"/>
        <v>7.7692307692307692</v>
      </c>
    </row>
    <row r="29" spans="1:29" s="256" customFormat="1" ht="18" customHeight="1" x14ac:dyDescent="0.2">
      <c r="A29" s="523">
        <v>21</v>
      </c>
      <c r="B29" s="245" t="s">
        <v>1863</v>
      </c>
      <c r="C29" s="246">
        <v>2022</v>
      </c>
      <c r="D29" s="269" t="s">
        <v>756</v>
      </c>
      <c r="E29" s="611" t="s">
        <v>1877</v>
      </c>
      <c r="F29" s="242">
        <v>7</v>
      </c>
      <c r="G29" s="242">
        <v>7.5</v>
      </c>
      <c r="H29" s="242">
        <v>7</v>
      </c>
      <c r="I29" s="242">
        <v>7</v>
      </c>
      <c r="J29" s="242">
        <v>5</v>
      </c>
      <c r="K29" s="242">
        <v>8</v>
      </c>
      <c r="L29" s="242">
        <v>7.5</v>
      </c>
      <c r="M29" s="242">
        <v>7.5</v>
      </c>
      <c r="N29" s="242">
        <v>7.5</v>
      </c>
      <c r="O29" s="242">
        <v>7</v>
      </c>
      <c r="P29" s="242">
        <v>7.5</v>
      </c>
      <c r="Q29" s="242">
        <v>7</v>
      </c>
      <c r="R29" s="242">
        <v>7.5</v>
      </c>
      <c r="S29" s="243">
        <f t="shared" si="0"/>
        <v>6.2</v>
      </c>
      <c r="T29" s="242"/>
      <c r="U29" s="242"/>
      <c r="V29" s="242"/>
      <c r="W29" s="277">
        <f t="shared" si="4"/>
        <v>0</v>
      </c>
      <c r="X29" s="277">
        <f t="shared" si="2"/>
        <v>3.1</v>
      </c>
      <c r="Y29" s="252" t="s">
        <v>101</v>
      </c>
      <c r="Z29" s="273"/>
      <c r="AA29" s="274" t="s">
        <v>190</v>
      </c>
      <c r="AB29" s="374"/>
      <c r="AC29" s="357">
        <f t="shared" si="3"/>
        <v>7.1538461538461542</v>
      </c>
    </row>
    <row r="30" spans="1:29" s="256" customFormat="1" ht="18" customHeight="1" x14ac:dyDescent="0.2">
      <c r="A30" s="523">
        <v>22</v>
      </c>
      <c r="B30" s="245" t="s">
        <v>1864</v>
      </c>
      <c r="C30" s="246">
        <v>2022</v>
      </c>
      <c r="D30" s="269" t="s">
        <v>757</v>
      </c>
      <c r="E30" s="270" t="s">
        <v>758</v>
      </c>
      <c r="F30" s="242">
        <v>7.6</v>
      </c>
      <c r="G30" s="242">
        <v>6.5</v>
      </c>
      <c r="H30" s="242">
        <v>8</v>
      </c>
      <c r="I30" s="242">
        <v>7</v>
      </c>
      <c r="J30" s="242">
        <v>7</v>
      </c>
      <c r="K30" s="242">
        <v>8</v>
      </c>
      <c r="L30" s="242">
        <v>6.5</v>
      </c>
      <c r="M30" s="242">
        <v>6.5</v>
      </c>
      <c r="N30" s="242">
        <v>6.5</v>
      </c>
      <c r="O30" s="242">
        <v>6.5</v>
      </c>
      <c r="P30" s="242">
        <v>6.5</v>
      </c>
      <c r="Q30" s="242">
        <v>6</v>
      </c>
      <c r="R30" s="242">
        <v>6.5</v>
      </c>
      <c r="S30" s="243">
        <f t="shared" si="0"/>
        <v>5.9399999999999995</v>
      </c>
      <c r="T30" s="242"/>
      <c r="U30" s="242"/>
      <c r="V30" s="242"/>
      <c r="W30" s="277">
        <f t="shared" si="4"/>
        <v>0</v>
      </c>
      <c r="X30" s="277">
        <f t="shared" si="2"/>
        <v>2.9699999999999998</v>
      </c>
      <c r="Y30" s="252" t="s">
        <v>95</v>
      </c>
      <c r="Z30" s="273"/>
      <c r="AA30" s="274" t="s">
        <v>193</v>
      </c>
      <c r="AB30" s="374"/>
      <c r="AC30" s="628">
        <f t="shared" si="3"/>
        <v>6.8538461538461535</v>
      </c>
    </row>
    <row r="31" spans="1:29" s="256" customFormat="1" ht="18" customHeight="1" x14ac:dyDescent="0.2">
      <c r="A31" s="523">
        <v>23</v>
      </c>
      <c r="B31" s="245" t="s">
        <v>1865</v>
      </c>
      <c r="C31" s="246">
        <v>2022</v>
      </c>
      <c r="D31" s="269" t="s">
        <v>759</v>
      </c>
      <c r="E31" s="270" t="s">
        <v>155</v>
      </c>
      <c r="F31" s="242">
        <v>7.9</v>
      </c>
      <c r="G31" s="242">
        <v>6.5</v>
      </c>
      <c r="H31" s="242">
        <v>7.5</v>
      </c>
      <c r="I31" s="242">
        <v>7</v>
      </c>
      <c r="J31" s="242">
        <v>7</v>
      </c>
      <c r="K31" s="242">
        <v>8</v>
      </c>
      <c r="L31" s="242">
        <v>7.5</v>
      </c>
      <c r="M31" s="242">
        <v>7</v>
      </c>
      <c r="N31" s="242">
        <v>7</v>
      </c>
      <c r="O31" s="242">
        <v>8</v>
      </c>
      <c r="P31" s="242">
        <v>7</v>
      </c>
      <c r="Q31" s="242">
        <v>6</v>
      </c>
      <c r="R31" s="242">
        <v>7</v>
      </c>
      <c r="S31" s="243">
        <f t="shared" si="0"/>
        <v>6.2266666666666675</v>
      </c>
      <c r="T31" s="242"/>
      <c r="U31" s="242"/>
      <c r="V31" s="242"/>
      <c r="W31" s="277">
        <f t="shared" si="4"/>
        <v>0</v>
      </c>
      <c r="X31" s="277">
        <f t="shared" si="2"/>
        <v>3.1133333333333337</v>
      </c>
      <c r="Y31" s="252" t="s">
        <v>101</v>
      </c>
      <c r="Z31" s="273"/>
      <c r="AA31" s="274" t="s">
        <v>187</v>
      </c>
      <c r="AB31" s="374"/>
      <c r="AC31" s="357">
        <f t="shared" si="3"/>
        <v>7.1846153846153848</v>
      </c>
    </row>
    <row r="32" spans="1:29" s="256" customFormat="1" ht="18" customHeight="1" x14ac:dyDescent="0.2">
      <c r="A32" s="523">
        <v>24</v>
      </c>
      <c r="B32" s="245" t="s">
        <v>1866</v>
      </c>
      <c r="C32" s="246">
        <v>2022</v>
      </c>
      <c r="D32" s="269" t="s">
        <v>10</v>
      </c>
      <c r="E32" s="270" t="s">
        <v>760</v>
      </c>
      <c r="F32" s="242">
        <v>7</v>
      </c>
      <c r="G32" s="242">
        <v>7</v>
      </c>
      <c r="H32" s="242">
        <v>7</v>
      </c>
      <c r="I32" s="242">
        <v>7</v>
      </c>
      <c r="J32" s="242">
        <v>5.5</v>
      </c>
      <c r="K32" s="242">
        <v>8</v>
      </c>
      <c r="L32" s="242">
        <v>7</v>
      </c>
      <c r="M32" s="242">
        <v>6.5</v>
      </c>
      <c r="N32" s="242">
        <v>6.5</v>
      </c>
      <c r="O32" s="242">
        <v>7.5</v>
      </c>
      <c r="P32" s="242">
        <v>7</v>
      </c>
      <c r="Q32" s="242">
        <v>6.5</v>
      </c>
      <c r="R32" s="242">
        <v>6.5</v>
      </c>
      <c r="S32" s="243">
        <f t="shared" si="0"/>
        <v>5.9333333333333336</v>
      </c>
      <c r="T32" s="242"/>
      <c r="U32" s="242"/>
      <c r="V32" s="242"/>
      <c r="W32" s="277">
        <f t="shared" si="4"/>
        <v>0</v>
      </c>
      <c r="X32" s="277">
        <f t="shared" si="2"/>
        <v>2.9666666666666668</v>
      </c>
      <c r="Y32" s="252" t="s">
        <v>95</v>
      </c>
      <c r="Z32" s="273"/>
      <c r="AA32" s="274" t="s">
        <v>182</v>
      </c>
      <c r="AB32" s="374"/>
      <c r="AC32" s="628">
        <f t="shared" si="3"/>
        <v>6.8461538461538458</v>
      </c>
    </row>
    <row r="33" spans="1:29" s="256" customFormat="1" ht="18" customHeight="1" x14ac:dyDescent="0.2">
      <c r="A33" s="523">
        <v>25</v>
      </c>
      <c r="B33" s="245" t="s">
        <v>1867</v>
      </c>
      <c r="C33" s="246">
        <v>2022</v>
      </c>
      <c r="D33" s="269" t="s">
        <v>761</v>
      </c>
      <c r="E33" s="611" t="s">
        <v>1878</v>
      </c>
      <c r="F33" s="242">
        <v>7.5</v>
      </c>
      <c r="G33" s="242">
        <v>7</v>
      </c>
      <c r="H33" s="242">
        <v>7.5</v>
      </c>
      <c r="I33" s="242">
        <v>7</v>
      </c>
      <c r="J33" s="242">
        <v>8</v>
      </c>
      <c r="K33" s="242">
        <v>8</v>
      </c>
      <c r="L33" s="242">
        <v>7</v>
      </c>
      <c r="M33" s="242">
        <v>7.5</v>
      </c>
      <c r="N33" s="242">
        <v>7</v>
      </c>
      <c r="O33" s="242">
        <v>7.5</v>
      </c>
      <c r="P33" s="242">
        <v>6.5</v>
      </c>
      <c r="Q33" s="242">
        <v>7</v>
      </c>
      <c r="R33" s="242">
        <v>7</v>
      </c>
      <c r="S33" s="243">
        <f t="shared" si="0"/>
        <v>6.3</v>
      </c>
      <c r="T33" s="242"/>
      <c r="U33" s="242"/>
      <c r="V33" s="242"/>
      <c r="W33" s="277">
        <f t="shared" si="4"/>
        <v>0</v>
      </c>
      <c r="X33" s="277">
        <f t="shared" si="2"/>
        <v>3.15</v>
      </c>
      <c r="Y33" s="252" t="s">
        <v>101</v>
      </c>
      <c r="Z33" s="273"/>
      <c r="AA33" s="274" t="s">
        <v>198</v>
      </c>
      <c r="AB33" s="374"/>
      <c r="AC33" s="357">
        <f t="shared" si="3"/>
        <v>7.2692307692307692</v>
      </c>
    </row>
    <row r="34" spans="1:29" s="256" customFormat="1" ht="18" customHeight="1" x14ac:dyDescent="0.2">
      <c r="A34" s="523">
        <v>26</v>
      </c>
      <c r="B34" s="245" t="s">
        <v>1868</v>
      </c>
      <c r="C34" s="246">
        <v>2022</v>
      </c>
      <c r="D34" s="269" t="s">
        <v>762</v>
      </c>
      <c r="E34" s="270" t="s">
        <v>763</v>
      </c>
      <c r="F34" s="242">
        <v>7</v>
      </c>
      <c r="G34" s="242">
        <v>6.5</v>
      </c>
      <c r="H34" s="242">
        <v>7</v>
      </c>
      <c r="I34" s="242">
        <v>7</v>
      </c>
      <c r="J34" s="242">
        <v>7</v>
      </c>
      <c r="K34" s="242">
        <v>8</v>
      </c>
      <c r="L34" s="242">
        <v>8</v>
      </c>
      <c r="M34" s="242">
        <v>7.5</v>
      </c>
      <c r="N34" s="242">
        <v>7.5</v>
      </c>
      <c r="O34" s="242">
        <v>7</v>
      </c>
      <c r="P34" s="242">
        <v>5</v>
      </c>
      <c r="Q34" s="242">
        <v>7</v>
      </c>
      <c r="R34" s="242">
        <v>7.5</v>
      </c>
      <c r="S34" s="243">
        <f t="shared" si="0"/>
        <v>6.1333333333333337</v>
      </c>
      <c r="T34" s="242"/>
      <c r="U34" s="242"/>
      <c r="V34" s="242"/>
      <c r="W34" s="277">
        <f t="shared" si="4"/>
        <v>0</v>
      </c>
      <c r="X34" s="277">
        <f t="shared" si="2"/>
        <v>3.0666666666666669</v>
      </c>
      <c r="Y34" s="252" t="s">
        <v>101</v>
      </c>
      <c r="Z34" s="273"/>
      <c r="AA34" s="274" t="s">
        <v>190</v>
      </c>
      <c r="AB34" s="374"/>
      <c r="AC34" s="357">
        <f t="shared" si="3"/>
        <v>7.0769230769230766</v>
      </c>
    </row>
    <row r="35" spans="1:29" s="256" customFormat="1" ht="18" customHeight="1" x14ac:dyDescent="0.2">
      <c r="A35" s="523">
        <v>27</v>
      </c>
      <c r="B35" s="245" t="s">
        <v>1869</v>
      </c>
      <c r="C35" s="246">
        <v>2022</v>
      </c>
      <c r="D35" s="269" t="s">
        <v>764</v>
      </c>
      <c r="E35" s="270" t="s">
        <v>765</v>
      </c>
      <c r="F35" s="242">
        <v>6.8</v>
      </c>
      <c r="G35" s="242">
        <v>7</v>
      </c>
      <c r="H35" s="242">
        <v>6.5</v>
      </c>
      <c r="I35" s="242">
        <v>6</v>
      </c>
      <c r="J35" s="242">
        <v>5.5</v>
      </c>
      <c r="K35" s="242">
        <v>8</v>
      </c>
      <c r="L35" s="242">
        <v>7</v>
      </c>
      <c r="M35" s="242">
        <v>8</v>
      </c>
      <c r="N35" s="242">
        <v>7.5</v>
      </c>
      <c r="O35" s="242">
        <v>6.5</v>
      </c>
      <c r="P35" s="242">
        <v>7</v>
      </c>
      <c r="Q35" s="242">
        <v>7.5</v>
      </c>
      <c r="R35" s="242">
        <v>8</v>
      </c>
      <c r="S35" s="243">
        <f t="shared" si="0"/>
        <v>6.0866666666666669</v>
      </c>
      <c r="T35" s="242"/>
      <c r="U35" s="242"/>
      <c r="V35" s="242"/>
      <c r="W35" s="277">
        <f t="shared" si="4"/>
        <v>0</v>
      </c>
      <c r="X35" s="277">
        <f t="shared" si="2"/>
        <v>3.0433333333333334</v>
      </c>
      <c r="Y35" s="252" t="s">
        <v>101</v>
      </c>
      <c r="Z35" s="273"/>
      <c r="AA35" s="274" t="s">
        <v>190</v>
      </c>
      <c r="AB35" s="374"/>
      <c r="AC35" s="357">
        <f t="shared" si="3"/>
        <v>7.023076923076923</v>
      </c>
    </row>
    <row r="36" spans="1:29" s="256" customFormat="1" ht="18" customHeight="1" x14ac:dyDescent="0.2">
      <c r="A36" s="523">
        <v>28</v>
      </c>
      <c r="B36" s="245" t="s">
        <v>1870</v>
      </c>
      <c r="C36" s="246">
        <v>2022</v>
      </c>
      <c r="D36" s="269" t="s">
        <v>766</v>
      </c>
      <c r="E36" s="270" t="s">
        <v>522</v>
      </c>
      <c r="F36" s="242">
        <v>7.9</v>
      </c>
      <c r="G36" s="242">
        <v>7.5</v>
      </c>
      <c r="H36" s="242">
        <v>7.5</v>
      </c>
      <c r="I36" s="242">
        <v>7</v>
      </c>
      <c r="J36" s="242">
        <v>8.4</v>
      </c>
      <c r="K36" s="242">
        <v>8</v>
      </c>
      <c r="L36" s="242">
        <v>7.5</v>
      </c>
      <c r="M36" s="242">
        <v>7.5</v>
      </c>
      <c r="N36" s="242">
        <v>7</v>
      </c>
      <c r="O36" s="242">
        <v>8</v>
      </c>
      <c r="P36" s="242">
        <v>5</v>
      </c>
      <c r="Q36" s="242">
        <v>7</v>
      </c>
      <c r="R36" s="242">
        <v>7</v>
      </c>
      <c r="S36" s="243">
        <f t="shared" si="0"/>
        <v>6.3533333333333335</v>
      </c>
      <c r="T36" s="242"/>
      <c r="U36" s="242"/>
      <c r="V36" s="242"/>
      <c r="W36" s="277"/>
      <c r="X36" s="277"/>
      <c r="Y36" s="252" t="s">
        <v>101</v>
      </c>
      <c r="Z36" s="273"/>
      <c r="AA36" s="274" t="s">
        <v>206</v>
      </c>
      <c r="AB36" s="374"/>
      <c r="AC36" s="357">
        <f t="shared" si="3"/>
        <v>7.3307692307692305</v>
      </c>
    </row>
    <row r="37" spans="1:29" s="256" customFormat="1" ht="18" customHeight="1" x14ac:dyDescent="0.2">
      <c r="A37" s="523">
        <v>29</v>
      </c>
      <c r="B37" s="245" t="s">
        <v>1871</v>
      </c>
      <c r="C37" s="246">
        <v>2022</v>
      </c>
      <c r="D37" s="269" t="s">
        <v>767</v>
      </c>
      <c r="E37" s="270" t="s">
        <v>768</v>
      </c>
      <c r="F37" s="242">
        <v>8</v>
      </c>
      <c r="G37" s="242">
        <v>7.5</v>
      </c>
      <c r="H37" s="242">
        <v>6.5</v>
      </c>
      <c r="I37" s="242">
        <v>7</v>
      </c>
      <c r="J37" s="242">
        <v>7</v>
      </c>
      <c r="K37" s="242">
        <v>8</v>
      </c>
      <c r="L37" s="242">
        <v>7.5</v>
      </c>
      <c r="M37" s="242">
        <v>7.5</v>
      </c>
      <c r="N37" s="242">
        <v>7</v>
      </c>
      <c r="O37" s="242">
        <v>7</v>
      </c>
      <c r="P37" s="242">
        <v>6.5</v>
      </c>
      <c r="Q37" s="242">
        <v>7</v>
      </c>
      <c r="R37" s="242">
        <v>7.5</v>
      </c>
      <c r="S37" s="243">
        <f t="shared" si="0"/>
        <v>6.2666666666666666</v>
      </c>
      <c r="T37" s="242"/>
      <c r="U37" s="242"/>
      <c r="V37" s="242"/>
      <c r="W37" s="277">
        <f t="shared" si="4"/>
        <v>0</v>
      </c>
      <c r="X37" s="277">
        <f t="shared" si="2"/>
        <v>3.1333333333333333</v>
      </c>
      <c r="Y37" s="252" t="s">
        <v>101</v>
      </c>
      <c r="Z37" s="273"/>
      <c r="AA37" s="274" t="s">
        <v>182</v>
      </c>
      <c r="AB37" s="374"/>
      <c r="AC37" s="357">
        <f t="shared" si="3"/>
        <v>7.2307692307692308</v>
      </c>
    </row>
    <row r="38" spans="1:29" s="256" customFormat="1" ht="18" customHeight="1" x14ac:dyDescent="0.2">
      <c r="A38" s="523">
        <v>30</v>
      </c>
      <c r="B38" s="245" t="s">
        <v>1872</v>
      </c>
      <c r="C38" s="246">
        <v>2022</v>
      </c>
      <c r="D38" s="269" t="s">
        <v>769</v>
      </c>
      <c r="E38" s="270" t="s">
        <v>770</v>
      </c>
      <c r="F38" s="242">
        <v>8.5</v>
      </c>
      <c r="G38" s="242">
        <v>7.5</v>
      </c>
      <c r="H38" s="242">
        <v>7</v>
      </c>
      <c r="I38" s="242">
        <v>7</v>
      </c>
      <c r="J38" s="242">
        <v>7</v>
      </c>
      <c r="K38" s="242">
        <v>8</v>
      </c>
      <c r="L38" s="242">
        <v>7.5</v>
      </c>
      <c r="M38" s="242">
        <v>7.5</v>
      </c>
      <c r="N38" s="242">
        <v>7</v>
      </c>
      <c r="O38" s="242">
        <v>7.5</v>
      </c>
      <c r="P38" s="242">
        <v>7</v>
      </c>
      <c r="Q38" s="242">
        <v>7</v>
      </c>
      <c r="R38" s="242">
        <v>7</v>
      </c>
      <c r="S38" s="243">
        <f t="shared" si="0"/>
        <v>6.3666666666666663</v>
      </c>
      <c r="T38" s="242"/>
      <c r="U38" s="242"/>
      <c r="V38" s="242"/>
      <c r="W38" s="277">
        <f>SUM(T38:V38)/3</f>
        <v>0</v>
      </c>
      <c r="X38" s="277">
        <f>SUM(S38+W38)/2</f>
        <v>3.1833333333333331</v>
      </c>
      <c r="Y38" s="252" t="s">
        <v>101</v>
      </c>
      <c r="Z38" s="273"/>
      <c r="AA38" s="274" t="s">
        <v>187</v>
      </c>
      <c r="AB38" s="374"/>
      <c r="AC38" s="357">
        <f t="shared" si="3"/>
        <v>7.3461538461538458</v>
      </c>
    </row>
    <row r="39" spans="1:29" s="256" customFormat="1" ht="18" customHeight="1" x14ac:dyDescent="0.2">
      <c r="A39" s="523">
        <v>31</v>
      </c>
      <c r="B39" s="245" t="s">
        <v>1873</v>
      </c>
      <c r="C39" s="246">
        <v>2022</v>
      </c>
      <c r="D39" s="269" t="s">
        <v>771</v>
      </c>
      <c r="E39" s="270" t="s">
        <v>772</v>
      </c>
      <c r="F39" s="242">
        <v>7.5</v>
      </c>
      <c r="G39" s="242">
        <v>7</v>
      </c>
      <c r="H39" s="242">
        <v>8</v>
      </c>
      <c r="I39" s="242">
        <v>8</v>
      </c>
      <c r="J39" s="242">
        <v>7</v>
      </c>
      <c r="K39" s="242">
        <v>8</v>
      </c>
      <c r="L39" s="242">
        <v>7.5</v>
      </c>
      <c r="M39" s="242">
        <v>7.5</v>
      </c>
      <c r="N39" s="242">
        <v>6.5</v>
      </c>
      <c r="O39" s="242">
        <v>7.5</v>
      </c>
      <c r="P39" s="242">
        <v>7.5</v>
      </c>
      <c r="Q39" s="242">
        <v>7</v>
      </c>
      <c r="R39" s="242">
        <v>7.5</v>
      </c>
      <c r="S39" s="243">
        <f t="shared" si="0"/>
        <v>6.4333333333333336</v>
      </c>
      <c r="T39" s="242"/>
      <c r="U39" s="242"/>
      <c r="V39" s="242"/>
      <c r="W39" s="277">
        <f>SUM(T39:V39)/3</f>
        <v>0</v>
      </c>
      <c r="X39" s="277">
        <f>SUM(S39+W39)/2</f>
        <v>3.2166666666666668</v>
      </c>
      <c r="Y39" s="252" t="s">
        <v>101</v>
      </c>
      <c r="Z39" s="273"/>
      <c r="AA39" s="274" t="s">
        <v>182</v>
      </c>
      <c r="AB39" s="374"/>
      <c r="AC39" s="357">
        <f t="shared" si="3"/>
        <v>7.4230769230769234</v>
      </c>
    </row>
    <row r="40" spans="1:29" s="256" customFormat="1" ht="18" customHeight="1" x14ac:dyDescent="0.2">
      <c r="A40" s="523">
        <v>32</v>
      </c>
      <c r="B40" s="245" t="s">
        <v>1874</v>
      </c>
      <c r="C40" s="246">
        <v>2022</v>
      </c>
      <c r="D40" s="269" t="s">
        <v>773</v>
      </c>
      <c r="E40" s="270" t="s">
        <v>598</v>
      </c>
      <c r="F40" s="242">
        <v>7.5</v>
      </c>
      <c r="G40" s="242">
        <v>7</v>
      </c>
      <c r="H40" s="242">
        <v>6.5</v>
      </c>
      <c r="I40" s="242">
        <v>7</v>
      </c>
      <c r="J40" s="242">
        <v>7</v>
      </c>
      <c r="K40" s="242">
        <v>8</v>
      </c>
      <c r="L40" s="242">
        <v>7.5</v>
      </c>
      <c r="M40" s="242">
        <v>7.5</v>
      </c>
      <c r="N40" s="242">
        <v>7</v>
      </c>
      <c r="O40" s="242">
        <v>7.5</v>
      </c>
      <c r="P40" s="242">
        <v>7</v>
      </c>
      <c r="Q40" s="242">
        <v>7</v>
      </c>
      <c r="R40" s="242">
        <v>7.5</v>
      </c>
      <c r="S40" s="243">
        <f t="shared" si="0"/>
        <v>6.2666666666666666</v>
      </c>
      <c r="T40" s="242"/>
      <c r="U40" s="242"/>
      <c r="V40" s="242"/>
      <c r="W40" s="277"/>
      <c r="X40" s="277"/>
      <c r="Y40" s="252" t="s">
        <v>101</v>
      </c>
      <c r="Z40" s="273"/>
      <c r="AA40" s="274" t="s">
        <v>214</v>
      </c>
      <c r="AB40" s="374"/>
      <c r="AC40" s="357">
        <f t="shared" si="3"/>
        <v>7.2307692307692308</v>
      </c>
    </row>
    <row r="41" spans="1:29" s="256" customFormat="1" ht="18" customHeight="1" x14ac:dyDescent="0.2">
      <c r="A41" s="523">
        <v>33</v>
      </c>
      <c r="B41" s="245" t="s">
        <v>1875</v>
      </c>
      <c r="C41" s="246">
        <v>2022</v>
      </c>
      <c r="D41" s="269" t="s">
        <v>774</v>
      </c>
      <c r="E41" s="270" t="s">
        <v>775</v>
      </c>
      <c r="F41" s="242">
        <v>7</v>
      </c>
      <c r="G41" s="242">
        <v>7.5</v>
      </c>
      <c r="H41" s="242">
        <v>6.5</v>
      </c>
      <c r="I41" s="242">
        <v>7</v>
      </c>
      <c r="J41" s="242">
        <v>7</v>
      </c>
      <c r="K41" s="242">
        <v>8</v>
      </c>
      <c r="L41" s="242">
        <v>6.5</v>
      </c>
      <c r="M41" s="242">
        <v>7.5</v>
      </c>
      <c r="N41" s="242">
        <v>7.5</v>
      </c>
      <c r="O41" s="242">
        <v>7.5</v>
      </c>
      <c r="P41" s="242">
        <v>7</v>
      </c>
      <c r="Q41" s="242">
        <v>7</v>
      </c>
      <c r="R41" s="242">
        <v>7.5</v>
      </c>
      <c r="S41" s="243">
        <f t="shared" si="0"/>
        <v>6.2333333333333334</v>
      </c>
      <c r="T41" s="242"/>
      <c r="U41" s="242"/>
      <c r="V41" s="242"/>
      <c r="W41" s="277">
        <f>SUM(T41:V41)/3</f>
        <v>0</v>
      </c>
      <c r="X41" s="277">
        <f>SUM(S41+W41)/2</f>
        <v>3.1166666666666667</v>
      </c>
      <c r="Y41" s="252" t="s">
        <v>101</v>
      </c>
      <c r="Z41" s="273"/>
      <c r="AA41" s="274" t="s">
        <v>190</v>
      </c>
      <c r="AB41" s="374"/>
      <c r="AC41" s="357">
        <f t="shared" si="3"/>
        <v>7.1923076923076925</v>
      </c>
    </row>
    <row r="42" spans="1:29" s="368" customFormat="1" ht="15" customHeight="1" thickBot="1" x14ac:dyDescent="0.35">
      <c r="A42" s="359"/>
      <c r="B42" s="360"/>
      <c r="C42" s="361"/>
      <c r="D42" s="362"/>
      <c r="E42" s="361"/>
      <c r="F42" s="363"/>
      <c r="G42" s="363"/>
      <c r="H42" s="363"/>
      <c r="I42" s="363"/>
      <c r="J42" s="363"/>
      <c r="K42" s="363"/>
      <c r="L42" s="363"/>
      <c r="M42" s="530"/>
      <c r="N42" s="530"/>
      <c r="O42" s="530"/>
      <c r="P42" s="530"/>
      <c r="Q42" s="530"/>
      <c r="R42" s="530"/>
      <c r="S42" s="530"/>
      <c r="T42" s="530"/>
      <c r="U42" s="530"/>
      <c r="V42" s="530"/>
      <c r="W42" s="530"/>
      <c r="X42" s="530"/>
      <c r="Y42" s="530"/>
      <c r="Z42" s="531"/>
      <c r="AA42" s="532"/>
    </row>
    <row r="43" spans="1:29" s="368" customFormat="1" ht="19.5" thickTop="1" x14ac:dyDescent="0.3">
      <c r="A43" s="369"/>
      <c r="B43" s="369"/>
      <c r="C43" s="369"/>
      <c r="E43" s="369"/>
      <c r="F43" s="369"/>
      <c r="G43" s="369"/>
      <c r="H43" s="369"/>
      <c r="I43" s="369"/>
      <c r="J43" s="369"/>
      <c r="K43" s="369"/>
      <c r="L43" s="369"/>
      <c r="M43" s="527"/>
      <c r="N43" s="527"/>
      <c r="O43" s="527"/>
      <c r="P43" s="527"/>
      <c r="Q43" s="527"/>
      <c r="R43" s="527"/>
      <c r="S43" s="1065"/>
      <c r="T43" s="1065"/>
      <c r="U43" s="1065"/>
      <c r="V43" s="371"/>
      <c r="W43" s="369"/>
      <c r="X43" s="369"/>
      <c r="Y43" s="369"/>
      <c r="Z43" s="372"/>
      <c r="AA43" s="369"/>
    </row>
    <row r="44" spans="1:29" s="3" customFormat="1" x14ac:dyDescent="0.3">
      <c r="A44" s="236"/>
      <c r="B44" s="236"/>
      <c r="C44" s="236"/>
      <c r="E44" s="236"/>
      <c r="F44" s="236"/>
      <c r="G44" s="236"/>
      <c r="H44" s="236"/>
      <c r="I44" s="236"/>
      <c r="J44" s="236"/>
      <c r="K44" s="236"/>
      <c r="L44" s="236"/>
      <c r="M44" s="6"/>
      <c r="N44" s="6"/>
      <c r="O44" s="6"/>
      <c r="P44" s="6"/>
      <c r="Q44" s="6"/>
      <c r="R44" s="6"/>
      <c r="S44" s="41"/>
      <c r="T44" s="21"/>
      <c r="U44" s="21"/>
      <c r="V44" s="20"/>
      <c r="W44" s="236"/>
      <c r="X44" s="236"/>
      <c r="Y44" s="39"/>
      <c r="Z44" s="14"/>
      <c r="AA44" s="236"/>
    </row>
    <row r="45" spans="1:29" s="3" customFormat="1" x14ac:dyDescent="0.3">
      <c r="A45" s="236"/>
      <c r="B45" s="236"/>
      <c r="C45" s="236"/>
      <c r="E45" s="236"/>
      <c r="F45" s="236"/>
      <c r="G45" s="236"/>
      <c r="H45" s="236"/>
      <c r="I45" s="236"/>
      <c r="J45" s="236"/>
      <c r="K45" s="236"/>
      <c r="L45" s="236"/>
      <c r="M45" s="6"/>
      <c r="N45" s="6"/>
      <c r="O45" s="6"/>
      <c r="P45" s="6"/>
      <c r="Q45" s="6"/>
      <c r="R45" s="6"/>
      <c r="S45" s="41"/>
      <c r="T45" s="21"/>
      <c r="U45" s="21"/>
      <c r="V45" s="20"/>
      <c r="W45" s="236"/>
      <c r="X45" s="236"/>
      <c r="Y45" s="39"/>
      <c r="Z45" s="14"/>
      <c r="AA45" s="236"/>
    </row>
    <row r="46" spans="1:29" s="3" customFormat="1" ht="18" x14ac:dyDescent="0.25">
      <c r="A46" s="236"/>
      <c r="B46" s="236"/>
      <c r="C46" s="236"/>
      <c r="E46" s="236"/>
      <c r="F46" s="236"/>
      <c r="G46" s="236"/>
      <c r="H46" s="236"/>
      <c r="I46" s="236"/>
      <c r="J46" s="236"/>
      <c r="K46" s="236"/>
      <c r="L46" s="236"/>
      <c r="M46" s="1200"/>
      <c r="N46" s="1200"/>
      <c r="O46" s="1200"/>
      <c r="P46" s="1200"/>
      <c r="Q46" s="1200"/>
      <c r="R46" s="1200"/>
      <c r="S46" s="1200"/>
      <c r="T46" s="1200"/>
      <c r="U46" s="1200"/>
      <c r="V46" s="1200"/>
      <c r="W46" s="1200"/>
      <c r="X46" s="1200"/>
      <c r="Y46" s="1200"/>
      <c r="Z46" s="1200"/>
      <c r="AA46" s="1200"/>
    </row>
    <row r="47" spans="1:29" x14ac:dyDescent="0.3">
      <c r="A47" s="236"/>
      <c r="B47" s="236"/>
      <c r="C47" s="236"/>
      <c r="D47" s="3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T47" s="20"/>
      <c r="U47" s="20"/>
      <c r="V47" s="20"/>
      <c r="W47" s="236"/>
      <c r="X47" s="236"/>
      <c r="Y47" s="39"/>
      <c r="Z47" s="14"/>
      <c r="AA47" s="236"/>
    </row>
    <row r="48" spans="1:29" x14ac:dyDescent="0.3">
      <c r="A48" s="236"/>
      <c r="B48" s="236"/>
      <c r="C48" s="236"/>
      <c r="D48" s="3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T48" s="20"/>
      <c r="U48" s="20"/>
      <c r="V48" s="20"/>
      <c r="W48" s="236"/>
      <c r="X48" s="236"/>
      <c r="Y48" s="39"/>
      <c r="Z48" s="14"/>
      <c r="AA48" s="236"/>
    </row>
    <row r="49" spans="1:27" x14ac:dyDescent="0.3">
      <c r="A49" s="236"/>
      <c r="B49" s="236"/>
      <c r="C49" s="236"/>
      <c r="D49" s="3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T49" s="20"/>
      <c r="U49" s="20"/>
      <c r="V49" s="20"/>
      <c r="W49" s="236"/>
      <c r="X49" s="236"/>
      <c r="Y49" s="39"/>
      <c r="Z49" s="14"/>
      <c r="AA49" s="236"/>
    </row>
    <row r="50" spans="1:27" x14ac:dyDescent="0.3">
      <c r="A50" s="236"/>
      <c r="B50" s="236"/>
      <c r="C50" s="236"/>
      <c r="D50" s="3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T50" s="20"/>
      <c r="U50" s="20"/>
      <c r="V50" s="20"/>
      <c r="W50" s="236"/>
      <c r="X50" s="236"/>
      <c r="Y50" s="39"/>
      <c r="Z50" s="14"/>
      <c r="AA50" s="236"/>
    </row>
    <row r="51" spans="1:27" x14ac:dyDescent="0.3">
      <c r="A51" s="236"/>
      <c r="B51" s="236"/>
      <c r="C51" s="236"/>
      <c r="D51" s="3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T51" s="20"/>
      <c r="U51" s="20"/>
      <c r="V51" s="20"/>
      <c r="W51" s="236"/>
      <c r="X51" s="236"/>
      <c r="Y51" s="39"/>
      <c r="Z51" s="14"/>
      <c r="AA51" s="236"/>
    </row>
  </sheetData>
  <autoFilter ref="S7:AB42">
    <filterColumn colId="1" showButton="0"/>
    <filterColumn colId="2" showButton="0"/>
    <filterColumn colId="3" showButton="0"/>
  </autoFilter>
  <mergeCells count="18">
    <mergeCell ref="A7:A8"/>
    <mergeCell ref="B7:C8"/>
    <mergeCell ref="D7:D8"/>
    <mergeCell ref="E7:E8"/>
    <mergeCell ref="F7:R7"/>
    <mergeCell ref="E1:AA1"/>
    <mergeCell ref="E2:AA2"/>
    <mergeCell ref="E3:AA3"/>
    <mergeCell ref="E4:AA4"/>
    <mergeCell ref="E5:AA5"/>
    <mergeCell ref="S43:U43"/>
    <mergeCell ref="M46:AA46"/>
    <mergeCell ref="S7:S8"/>
    <mergeCell ref="T7:W7"/>
    <mergeCell ref="X7:X8"/>
    <mergeCell ref="Y7:Y8"/>
    <mergeCell ref="Z7:Z8"/>
    <mergeCell ref="AA7:AA8"/>
  </mergeCells>
  <printOptions horizontalCentered="1"/>
  <pageMargins left="0.63" right="0.16" top="0.27" bottom="0.27" header="0.2" footer="0.2"/>
  <pageSetup scale="98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C50"/>
  <sheetViews>
    <sheetView zoomScale="110" zoomScaleNormal="110" workbookViewId="0">
      <selection activeCell="K17" sqref="K17"/>
    </sheetView>
  </sheetViews>
  <sheetFormatPr defaultRowHeight="18.75" x14ac:dyDescent="0.3"/>
  <cols>
    <col min="1" max="1" width="2.59765625" style="1" customWidth="1"/>
    <col min="2" max="3" width="4.09765625" style="1" customWidth="1"/>
    <col min="4" max="4" width="14.69921875" customWidth="1"/>
    <col min="5" max="5" width="8.3984375" style="1" customWidth="1"/>
    <col min="6" max="18" width="2.69921875" style="1" customWidth="1"/>
    <col min="19" max="19" width="3.796875" style="42" customWidth="1"/>
    <col min="20" max="22" width="2.19921875" style="22" hidden="1" customWidth="1"/>
    <col min="23" max="24" width="3.3984375" style="1" hidden="1" customWidth="1"/>
    <col min="25" max="25" width="3.3984375" style="40" customWidth="1"/>
    <col min="26" max="26" width="4.3984375" style="15" hidden="1" customWidth="1"/>
    <col min="27" max="27" width="25.3984375" style="1" customWidth="1"/>
    <col min="28" max="28" width="5.19921875" customWidth="1"/>
    <col min="29" max="29" width="5.796875" customWidth="1"/>
  </cols>
  <sheetData>
    <row r="1" spans="1:29" s="6" customFormat="1" ht="17.25" x14ac:dyDescent="0.3">
      <c r="B1" s="8"/>
      <c r="C1" s="8"/>
      <c r="D1" s="8"/>
      <c r="E1" s="1199" t="s">
        <v>29</v>
      </c>
      <c r="F1" s="1199"/>
      <c r="G1" s="1199"/>
      <c r="H1" s="1199"/>
      <c r="I1" s="1199"/>
      <c r="J1" s="1199"/>
      <c r="K1" s="1199"/>
      <c r="L1" s="1199"/>
      <c r="M1" s="1199"/>
      <c r="N1" s="1199"/>
      <c r="O1" s="1199"/>
      <c r="P1" s="1199"/>
      <c r="Q1" s="1199"/>
      <c r="R1" s="1199"/>
      <c r="S1" s="1199"/>
      <c r="T1" s="1199"/>
      <c r="U1" s="1199"/>
      <c r="V1" s="1199"/>
      <c r="W1" s="1199"/>
      <c r="X1" s="1199"/>
      <c r="Y1" s="1199"/>
      <c r="Z1" s="1199"/>
      <c r="AA1" s="1199"/>
    </row>
    <row r="2" spans="1:29" s="6" customFormat="1" ht="17.25" hidden="1" x14ac:dyDescent="0.3">
      <c r="B2" s="8"/>
      <c r="C2" s="8"/>
      <c r="D2" s="8"/>
      <c r="E2" s="1199" t="s">
        <v>105</v>
      </c>
      <c r="F2" s="1199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9"/>
      <c r="W2" s="1199"/>
      <c r="X2" s="1199"/>
      <c r="Y2" s="1199"/>
      <c r="Z2" s="1199"/>
      <c r="AA2" s="1199"/>
    </row>
    <row r="3" spans="1:29" s="6" customFormat="1" ht="15.75" x14ac:dyDescent="0.25">
      <c r="B3" s="10"/>
      <c r="C3" s="10"/>
      <c r="D3" s="10"/>
      <c r="E3" s="1200" t="s">
        <v>454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0"/>
      <c r="R3" s="1200"/>
      <c r="S3" s="1200"/>
      <c r="T3" s="1200"/>
      <c r="U3" s="1200"/>
      <c r="V3" s="1200"/>
      <c r="W3" s="1200"/>
      <c r="X3" s="1200"/>
      <c r="Y3" s="1200"/>
      <c r="Z3" s="1200"/>
      <c r="AA3" s="1200"/>
    </row>
    <row r="4" spans="1:29" s="6" customFormat="1" ht="15.75" hidden="1" x14ac:dyDescent="0.25">
      <c r="B4" s="11"/>
      <c r="C4" s="11"/>
      <c r="D4" s="11"/>
      <c r="E4" s="1201" t="s">
        <v>32</v>
      </c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1"/>
      <c r="U4" s="1201"/>
      <c r="V4" s="1201"/>
      <c r="W4" s="1201"/>
      <c r="X4" s="1201"/>
      <c r="Y4" s="1201"/>
      <c r="Z4" s="1201"/>
      <c r="AA4" s="1201"/>
    </row>
    <row r="5" spans="1:29" s="6" customFormat="1" ht="15.75" customHeight="1" x14ac:dyDescent="0.25">
      <c r="B5" s="10"/>
      <c r="C5" s="10"/>
      <c r="D5" s="10"/>
      <c r="E5" s="1234" t="s">
        <v>455</v>
      </c>
      <c r="F5" s="1234"/>
      <c r="G5" s="1234"/>
      <c r="H5" s="1234"/>
      <c r="I5" s="1234"/>
      <c r="J5" s="1234"/>
      <c r="K5" s="1234"/>
      <c r="L5" s="1234"/>
      <c r="M5" s="1234"/>
      <c r="N5" s="1234"/>
      <c r="O5" s="1234"/>
      <c r="P5" s="1234"/>
      <c r="Q5" s="1234"/>
      <c r="R5" s="1234"/>
      <c r="S5" s="1234"/>
      <c r="T5" s="1234"/>
      <c r="U5" s="1234"/>
      <c r="V5" s="1234"/>
      <c r="W5" s="1234"/>
      <c r="X5" s="1234"/>
      <c r="Y5" s="1234"/>
      <c r="Z5" s="1234"/>
      <c r="AA5" s="1234"/>
    </row>
    <row r="6" spans="1:29" ht="8.25" customHeight="1" thickBot="1" x14ac:dyDescent="0.3">
      <c r="A6" s="2"/>
      <c r="B6" s="2"/>
      <c r="C6" s="2"/>
      <c r="D6" s="2"/>
      <c r="E6" s="2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38"/>
      <c r="T6" s="19"/>
      <c r="U6" s="19"/>
      <c r="V6" s="19"/>
      <c r="W6" s="2"/>
      <c r="X6" s="2"/>
      <c r="Y6" s="38"/>
      <c r="Z6" s="2"/>
      <c r="AA6" s="240"/>
      <c r="AB6" s="112">
        <v>17</v>
      </c>
    </row>
    <row r="7" spans="1:29" s="6" customFormat="1" ht="18.75" customHeight="1" thickTop="1" x14ac:dyDescent="0.2">
      <c r="A7" s="1203" t="s">
        <v>91</v>
      </c>
      <c r="B7" s="1205" t="s">
        <v>106</v>
      </c>
      <c r="C7" s="1206"/>
      <c r="D7" s="1209" t="s">
        <v>92</v>
      </c>
      <c r="E7" s="1205" t="s">
        <v>93</v>
      </c>
      <c r="F7" s="1175" t="s">
        <v>452</v>
      </c>
      <c r="G7" s="1176"/>
      <c r="H7" s="1176"/>
      <c r="I7" s="1176"/>
      <c r="J7" s="1176"/>
      <c r="K7" s="1176"/>
      <c r="L7" s="1176"/>
      <c r="M7" s="1176"/>
      <c r="N7" s="1176"/>
      <c r="O7" s="1176"/>
      <c r="P7" s="1176"/>
      <c r="Q7" s="1176"/>
      <c r="R7" s="1176"/>
      <c r="S7" s="1222" t="s">
        <v>102</v>
      </c>
      <c r="T7" s="1175" t="s">
        <v>104</v>
      </c>
      <c r="U7" s="1176"/>
      <c r="V7" s="1176"/>
      <c r="W7" s="1178"/>
      <c r="X7" s="1215" t="s">
        <v>99</v>
      </c>
      <c r="Y7" s="1239" t="s">
        <v>100</v>
      </c>
      <c r="Z7" s="1240" t="s">
        <v>103</v>
      </c>
      <c r="AA7" s="1219" t="s">
        <v>90</v>
      </c>
      <c r="AB7" s="6">
        <v>18</v>
      </c>
    </row>
    <row r="8" spans="1:29" s="6" customFormat="1" ht="145.5" customHeight="1" x14ac:dyDescent="0.2">
      <c r="A8" s="1204"/>
      <c r="B8" s="1235"/>
      <c r="C8" s="1236"/>
      <c r="D8" s="1237"/>
      <c r="E8" s="1237"/>
      <c r="F8" s="37" t="s">
        <v>330</v>
      </c>
      <c r="G8" s="52" t="s">
        <v>96</v>
      </c>
      <c r="H8" s="136" t="s">
        <v>446</v>
      </c>
      <c r="I8" s="228" t="s">
        <v>107</v>
      </c>
      <c r="J8" s="217" t="s">
        <v>289</v>
      </c>
      <c r="K8" s="228" t="s">
        <v>129</v>
      </c>
      <c r="L8" s="137" t="s">
        <v>448</v>
      </c>
      <c r="M8" s="137" t="s">
        <v>290</v>
      </c>
      <c r="N8" s="137" t="s">
        <v>291</v>
      </c>
      <c r="O8" s="137" t="s">
        <v>447</v>
      </c>
      <c r="P8" s="217" t="s">
        <v>449</v>
      </c>
      <c r="Q8" s="228" t="s">
        <v>450</v>
      </c>
      <c r="R8" s="228" t="s">
        <v>292</v>
      </c>
      <c r="S8" s="1223"/>
      <c r="T8" s="228" t="s">
        <v>108</v>
      </c>
      <c r="U8" s="228" t="s">
        <v>97</v>
      </c>
      <c r="V8" s="228" t="s">
        <v>96</v>
      </c>
      <c r="W8" s="50" t="s">
        <v>98</v>
      </c>
      <c r="X8" s="1227"/>
      <c r="Y8" s="1229"/>
      <c r="Z8" s="1231"/>
      <c r="AA8" s="1232"/>
      <c r="AB8" s="6" t="s">
        <v>94</v>
      </c>
    </row>
    <row r="9" spans="1:29" s="351" customFormat="1" ht="18" customHeight="1" x14ac:dyDescent="0.2">
      <c r="A9" s="521">
        <v>1</v>
      </c>
      <c r="B9" s="245" t="s">
        <v>1879</v>
      </c>
      <c r="C9" s="246">
        <v>2022</v>
      </c>
      <c r="D9" s="264" t="s">
        <v>776</v>
      </c>
      <c r="E9" s="265" t="s">
        <v>550</v>
      </c>
      <c r="F9" s="266">
        <v>7.6</v>
      </c>
      <c r="G9" s="266">
        <v>7.5</v>
      </c>
      <c r="H9" s="267">
        <v>6.5</v>
      </c>
      <c r="I9" s="242">
        <v>7</v>
      </c>
      <c r="J9" s="242">
        <v>7</v>
      </c>
      <c r="K9" s="242">
        <v>5</v>
      </c>
      <c r="L9" s="266">
        <v>7.5</v>
      </c>
      <c r="M9" s="266">
        <v>7.5</v>
      </c>
      <c r="N9" s="266">
        <v>7.5</v>
      </c>
      <c r="O9" s="266">
        <v>7.5</v>
      </c>
      <c r="P9" s="266">
        <v>7.5</v>
      </c>
      <c r="Q9" s="267">
        <v>7</v>
      </c>
      <c r="R9" s="267">
        <v>7</v>
      </c>
      <c r="S9" s="243">
        <f>SUM(F9:R9)/13</f>
        <v>7.0846153846153843</v>
      </c>
      <c r="T9" s="528"/>
      <c r="U9" s="528"/>
      <c r="V9" s="528"/>
      <c r="W9" s="286">
        <f t="shared" ref="W9:W40" si="0">SUM(T9:V9)/3</f>
        <v>0</v>
      </c>
      <c r="X9" s="286">
        <f t="shared" ref="X9:X40" si="1">SUM(S9+W9)/2</f>
        <v>3.5423076923076922</v>
      </c>
      <c r="Y9" s="252" t="s">
        <v>101</v>
      </c>
      <c r="Z9" s="271"/>
      <c r="AA9" s="272" t="s">
        <v>18</v>
      </c>
      <c r="AB9" s="374"/>
      <c r="AC9" s="357">
        <f t="shared" ref="AC9:AC40" si="2">AVERAGE(F9:R9)</f>
        <v>7.0846153846153843</v>
      </c>
    </row>
    <row r="10" spans="1:29" s="256" customFormat="1" ht="18" customHeight="1" x14ac:dyDescent="0.2">
      <c r="A10" s="523">
        <v>2</v>
      </c>
      <c r="B10" s="245" t="s">
        <v>1880</v>
      </c>
      <c r="C10" s="246">
        <v>2022</v>
      </c>
      <c r="D10" s="269" t="s">
        <v>777</v>
      </c>
      <c r="E10" s="270" t="s">
        <v>778</v>
      </c>
      <c r="F10" s="242">
        <v>7</v>
      </c>
      <c r="G10" s="242">
        <v>7.5</v>
      </c>
      <c r="H10" s="242">
        <v>7</v>
      </c>
      <c r="I10" s="242">
        <v>6</v>
      </c>
      <c r="J10" s="242">
        <v>6</v>
      </c>
      <c r="K10" s="242">
        <v>8</v>
      </c>
      <c r="L10" s="242">
        <v>7</v>
      </c>
      <c r="M10" s="242">
        <v>7</v>
      </c>
      <c r="N10" s="242">
        <v>7.5</v>
      </c>
      <c r="O10" s="242">
        <v>6.5</v>
      </c>
      <c r="P10" s="242">
        <v>7.5</v>
      </c>
      <c r="Q10" s="242">
        <v>7</v>
      </c>
      <c r="R10" s="242">
        <v>7.5</v>
      </c>
      <c r="S10" s="243">
        <f t="shared" ref="S10:S40" si="3">SUM(F10:R10)/13</f>
        <v>7.0384615384615383</v>
      </c>
      <c r="T10" s="242"/>
      <c r="U10" s="242"/>
      <c r="V10" s="242"/>
      <c r="W10" s="277">
        <f t="shared" si="0"/>
        <v>0</v>
      </c>
      <c r="X10" s="277">
        <f t="shared" si="1"/>
        <v>3.5192307692307692</v>
      </c>
      <c r="Y10" s="252" t="s">
        <v>101</v>
      </c>
      <c r="Z10" s="273"/>
      <c r="AA10" s="274" t="s">
        <v>182</v>
      </c>
      <c r="AB10" s="374"/>
      <c r="AC10" s="357">
        <f t="shared" si="2"/>
        <v>7.0384615384615383</v>
      </c>
    </row>
    <row r="11" spans="1:29" s="256" customFormat="1" ht="18" customHeight="1" x14ac:dyDescent="0.2">
      <c r="A11" s="523">
        <v>3</v>
      </c>
      <c r="B11" s="245" t="s">
        <v>1881</v>
      </c>
      <c r="C11" s="246">
        <v>2022</v>
      </c>
      <c r="D11" s="269" t="s">
        <v>779</v>
      </c>
      <c r="E11" s="270" t="s">
        <v>780</v>
      </c>
      <c r="F11" s="242">
        <v>8</v>
      </c>
      <c r="G11" s="242">
        <v>8.5</v>
      </c>
      <c r="H11" s="242">
        <v>8</v>
      </c>
      <c r="I11" s="242">
        <v>8</v>
      </c>
      <c r="J11" s="242">
        <v>8</v>
      </c>
      <c r="K11" s="242">
        <v>8</v>
      </c>
      <c r="L11" s="242">
        <v>8</v>
      </c>
      <c r="M11" s="242">
        <v>7</v>
      </c>
      <c r="N11" s="242">
        <v>8</v>
      </c>
      <c r="O11" s="242">
        <v>8</v>
      </c>
      <c r="P11" s="242">
        <v>7.5</v>
      </c>
      <c r="Q11" s="242">
        <v>8</v>
      </c>
      <c r="R11" s="242">
        <v>8</v>
      </c>
      <c r="S11" s="243">
        <f t="shared" si="3"/>
        <v>7.9230769230769234</v>
      </c>
      <c r="T11" s="242"/>
      <c r="U11" s="242"/>
      <c r="V11" s="529"/>
      <c r="W11" s="277">
        <f t="shared" si="0"/>
        <v>0</v>
      </c>
      <c r="X11" s="277">
        <f t="shared" si="1"/>
        <v>3.9615384615384617</v>
      </c>
      <c r="Y11" s="252" t="s">
        <v>101</v>
      </c>
      <c r="Z11" s="273"/>
      <c r="AA11" s="274" t="s">
        <v>18</v>
      </c>
      <c r="AB11" s="374"/>
      <c r="AC11" s="357">
        <f t="shared" si="2"/>
        <v>7.9230769230769234</v>
      </c>
    </row>
    <row r="12" spans="1:29" s="256" customFormat="1" ht="18" customHeight="1" x14ac:dyDescent="0.3">
      <c r="A12" s="523">
        <v>4</v>
      </c>
      <c r="B12" s="245" t="s">
        <v>1882</v>
      </c>
      <c r="C12" s="246">
        <v>2022</v>
      </c>
      <c r="D12" s="269" t="s">
        <v>1794</v>
      </c>
      <c r="E12" s="270" t="s">
        <v>781</v>
      </c>
      <c r="F12" s="242">
        <v>6.6</v>
      </c>
      <c r="G12" s="242">
        <v>7</v>
      </c>
      <c r="H12" s="242">
        <v>6.5</v>
      </c>
      <c r="I12" s="242">
        <v>8</v>
      </c>
      <c r="J12" s="242">
        <v>8</v>
      </c>
      <c r="K12" s="242">
        <v>8</v>
      </c>
      <c r="L12" s="242">
        <v>7</v>
      </c>
      <c r="M12" s="242">
        <v>7</v>
      </c>
      <c r="N12" s="242">
        <v>7.5</v>
      </c>
      <c r="O12" s="242">
        <v>6.5</v>
      </c>
      <c r="P12" s="242">
        <v>7.5</v>
      </c>
      <c r="Q12" s="242">
        <v>7</v>
      </c>
      <c r="R12" s="242">
        <v>7</v>
      </c>
      <c r="S12" s="243">
        <f t="shared" si="3"/>
        <v>7.1999999999999993</v>
      </c>
      <c r="T12" s="242"/>
      <c r="U12" s="242"/>
      <c r="V12" s="242"/>
      <c r="W12" s="277">
        <f t="shared" si="0"/>
        <v>0</v>
      </c>
      <c r="X12" s="277">
        <f t="shared" si="1"/>
        <v>3.5999999999999996</v>
      </c>
      <c r="Y12" s="252" t="s">
        <v>101</v>
      </c>
      <c r="Z12" s="273"/>
      <c r="AA12" s="274" t="s">
        <v>215</v>
      </c>
      <c r="AB12" s="374"/>
      <c r="AC12" s="357">
        <f t="shared" si="2"/>
        <v>7.1999999999999993</v>
      </c>
    </row>
    <row r="13" spans="1:29" s="256" customFormat="1" ht="18" customHeight="1" x14ac:dyDescent="0.2">
      <c r="A13" s="523">
        <v>5</v>
      </c>
      <c r="B13" s="245" t="s">
        <v>1883</v>
      </c>
      <c r="C13" s="246">
        <v>2022</v>
      </c>
      <c r="D13" s="269" t="s">
        <v>782</v>
      </c>
      <c r="E13" s="270" t="s">
        <v>783</v>
      </c>
      <c r="F13" s="242">
        <v>7</v>
      </c>
      <c r="G13" s="242">
        <v>7</v>
      </c>
      <c r="H13" s="242">
        <v>8</v>
      </c>
      <c r="I13" s="242">
        <v>8</v>
      </c>
      <c r="J13" s="242">
        <v>8</v>
      </c>
      <c r="K13" s="242">
        <v>8</v>
      </c>
      <c r="L13" s="242">
        <v>6.5</v>
      </c>
      <c r="M13" s="242">
        <v>7</v>
      </c>
      <c r="N13" s="242">
        <v>7.5</v>
      </c>
      <c r="O13" s="242">
        <v>7</v>
      </c>
      <c r="P13" s="242">
        <v>7</v>
      </c>
      <c r="Q13" s="242">
        <v>7</v>
      </c>
      <c r="R13" s="242">
        <v>7</v>
      </c>
      <c r="S13" s="243">
        <f t="shared" si="3"/>
        <v>7.3076923076923075</v>
      </c>
      <c r="T13" s="242"/>
      <c r="U13" s="242"/>
      <c r="V13" s="242"/>
      <c r="W13" s="277">
        <f t="shared" si="0"/>
        <v>0</v>
      </c>
      <c r="X13" s="277">
        <f t="shared" si="1"/>
        <v>3.6538461538461537</v>
      </c>
      <c r="Y13" s="252" t="s">
        <v>101</v>
      </c>
      <c r="Z13" s="273"/>
      <c r="AA13" s="274" t="s">
        <v>193</v>
      </c>
      <c r="AB13" s="374"/>
      <c r="AC13" s="357">
        <f t="shared" si="2"/>
        <v>7.3076923076923075</v>
      </c>
    </row>
    <row r="14" spans="1:29" s="256" customFormat="1" ht="18" customHeight="1" x14ac:dyDescent="0.2">
      <c r="A14" s="523">
        <v>6</v>
      </c>
      <c r="B14" s="245" t="s">
        <v>1884</v>
      </c>
      <c r="C14" s="246">
        <v>2022</v>
      </c>
      <c r="D14" s="269" t="s">
        <v>784</v>
      </c>
      <c r="E14" s="270" t="s">
        <v>785</v>
      </c>
      <c r="F14" s="242">
        <v>7.5</v>
      </c>
      <c r="G14" s="242">
        <v>7</v>
      </c>
      <c r="H14" s="242">
        <v>6.5</v>
      </c>
      <c r="I14" s="242">
        <v>8</v>
      </c>
      <c r="J14" s="242">
        <v>6</v>
      </c>
      <c r="K14" s="609">
        <v>4</v>
      </c>
      <c r="L14" s="242">
        <v>6.5</v>
      </c>
      <c r="M14" s="242">
        <v>6.5</v>
      </c>
      <c r="N14" s="242">
        <v>7</v>
      </c>
      <c r="O14" s="242">
        <v>6.5</v>
      </c>
      <c r="P14" s="242">
        <v>7</v>
      </c>
      <c r="Q14" s="242">
        <v>7</v>
      </c>
      <c r="R14" s="242">
        <v>7.5</v>
      </c>
      <c r="S14" s="243">
        <f t="shared" si="3"/>
        <v>6.6923076923076925</v>
      </c>
      <c r="T14" s="242"/>
      <c r="U14" s="242"/>
      <c r="V14" s="242"/>
      <c r="W14" s="277">
        <f t="shared" si="0"/>
        <v>0</v>
      </c>
      <c r="X14" s="277">
        <f t="shared" si="1"/>
        <v>3.3461538461538463</v>
      </c>
      <c r="Y14" s="252" t="s">
        <v>101</v>
      </c>
      <c r="Z14" s="273"/>
      <c r="AA14" s="274" t="s">
        <v>829</v>
      </c>
      <c r="AB14" s="374"/>
      <c r="AC14" s="628">
        <f t="shared" si="2"/>
        <v>6.6923076923076925</v>
      </c>
    </row>
    <row r="15" spans="1:29" s="256" customFormat="1" ht="18" customHeight="1" x14ac:dyDescent="0.2">
      <c r="A15" s="523">
        <v>7</v>
      </c>
      <c r="B15" s="245" t="s">
        <v>1885</v>
      </c>
      <c r="C15" s="246">
        <v>2022</v>
      </c>
      <c r="D15" s="269" t="s">
        <v>786</v>
      </c>
      <c r="E15" s="270" t="s">
        <v>567</v>
      </c>
      <c r="F15" s="242">
        <v>8</v>
      </c>
      <c r="G15" s="242">
        <v>8</v>
      </c>
      <c r="H15" s="242">
        <v>8</v>
      </c>
      <c r="I15" s="242">
        <v>8</v>
      </c>
      <c r="J15" s="242">
        <v>8</v>
      </c>
      <c r="K15" s="242">
        <v>8</v>
      </c>
      <c r="L15" s="242">
        <v>8</v>
      </c>
      <c r="M15" s="242">
        <v>8</v>
      </c>
      <c r="N15" s="242">
        <v>8</v>
      </c>
      <c r="O15" s="242">
        <v>8</v>
      </c>
      <c r="P15" s="242">
        <v>7.5</v>
      </c>
      <c r="Q15" s="242">
        <v>8</v>
      </c>
      <c r="R15" s="242">
        <v>8</v>
      </c>
      <c r="S15" s="243">
        <f t="shared" si="3"/>
        <v>7.9615384615384617</v>
      </c>
      <c r="T15" s="242"/>
      <c r="U15" s="242"/>
      <c r="V15" s="242"/>
      <c r="W15" s="277">
        <f t="shared" si="0"/>
        <v>0</v>
      </c>
      <c r="X15" s="277">
        <f t="shared" si="1"/>
        <v>3.9807692307692308</v>
      </c>
      <c r="Y15" s="252" t="s">
        <v>101</v>
      </c>
      <c r="Z15" s="273"/>
      <c r="AA15" s="274" t="s">
        <v>17</v>
      </c>
      <c r="AB15" s="374"/>
      <c r="AC15" s="357">
        <f t="shared" si="2"/>
        <v>7.9615384615384617</v>
      </c>
    </row>
    <row r="16" spans="1:29" s="256" customFormat="1" ht="18" customHeight="1" x14ac:dyDescent="0.2">
      <c r="A16" s="523">
        <v>8</v>
      </c>
      <c r="B16" s="245" t="s">
        <v>1886</v>
      </c>
      <c r="C16" s="246">
        <v>2022</v>
      </c>
      <c r="D16" s="269" t="s">
        <v>145</v>
      </c>
      <c r="E16" s="611" t="s">
        <v>1911</v>
      </c>
      <c r="F16" s="242">
        <v>6</v>
      </c>
      <c r="G16" s="242">
        <v>6.5</v>
      </c>
      <c r="H16" s="242">
        <v>7</v>
      </c>
      <c r="I16" s="242">
        <v>6</v>
      </c>
      <c r="J16" s="242">
        <v>8</v>
      </c>
      <c r="K16" s="609">
        <v>4</v>
      </c>
      <c r="L16" s="242">
        <v>7</v>
      </c>
      <c r="M16" s="242">
        <v>7</v>
      </c>
      <c r="N16" s="242">
        <v>7.5</v>
      </c>
      <c r="O16" s="242">
        <v>7</v>
      </c>
      <c r="P16" s="242">
        <v>5</v>
      </c>
      <c r="Q16" s="242">
        <v>7</v>
      </c>
      <c r="R16" s="242">
        <v>6.5</v>
      </c>
      <c r="S16" s="243">
        <f t="shared" si="3"/>
        <v>6.5</v>
      </c>
      <c r="T16" s="242"/>
      <c r="U16" s="242"/>
      <c r="V16" s="242"/>
      <c r="W16" s="277">
        <f t="shared" si="0"/>
        <v>0</v>
      </c>
      <c r="X16" s="277">
        <f t="shared" si="1"/>
        <v>3.25</v>
      </c>
      <c r="Y16" s="252" t="s">
        <v>95</v>
      </c>
      <c r="Z16" s="273"/>
      <c r="AA16" s="612" t="s">
        <v>1912</v>
      </c>
      <c r="AB16" s="374"/>
      <c r="AC16" s="628">
        <f t="shared" si="2"/>
        <v>6.5</v>
      </c>
    </row>
    <row r="17" spans="1:29" s="256" customFormat="1" ht="18" customHeight="1" x14ac:dyDescent="0.2">
      <c r="A17" s="523">
        <v>9</v>
      </c>
      <c r="B17" s="245" t="s">
        <v>1887</v>
      </c>
      <c r="C17" s="246">
        <v>2022</v>
      </c>
      <c r="D17" s="269" t="s">
        <v>787</v>
      </c>
      <c r="E17" s="270" t="s">
        <v>788</v>
      </c>
      <c r="F17" s="242">
        <v>8</v>
      </c>
      <c r="G17" s="242">
        <v>8</v>
      </c>
      <c r="H17" s="242">
        <v>8</v>
      </c>
      <c r="I17" s="242">
        <v>8</v>
      </c>
      <c r="J17" s="242">
        <v>8</v>
      </c>
      <c r="K17" s="242">
        <v>8</v>
      </c>
      <c r="L17" s="242">
        <v>8</v>
      </c>
      <c r="M17" s="242">
        <v>8</v>
      </c>
      <c r="N17" s="242">
        <v>8</v>
      </c>
      <c r="O17" s="242">
        <v>8</v>
      </c>
      <c r="P17" s="242">
        <v>7.5</v>
      </c>
      <c r="Q17" s="242">
        <v>7.5</v>
      </c>
      <c r="R17" s="242">
        <v>8</v>
      </c>
      <c r="S17" s="243">
        <f t="shared" si="3"/>
        <v>7.9230769230769234</v>
      </c>
      <c r="T17" s="242"/>
      <c r="U17" s="242"/>
      <c r="V17" s="242"/>
      <c r="W17" s="277">
        <f t="shared" si="0"/>
        <v>0</v>
      </c>
      <c r="X17" s="277">
        <f t="shared" si="1"/>
        <v>3.9615384615384617</v>
      </c>
      <c r="Y17" s="252" t="s">
        <v>101</v>
      </c>
      <c r="Z17" s="273"/>
      <c r="AA17" s="274" t="s">
        <v>215</v>
      </c>
      <c r="AB17" s="374"/>
      <c r="AC17" s="357">
        <f t="shared" si="2"/>
        <v>7.9230769230769234</v>
      </c>
    </row>
    <row r="18" spans="1:29" s="256" customFormat="1" ht="18" customHeight="1" x14ac:dyDescent="0.2">
      <c r="A18" s="523">
        <v>10</v>
      </c>
      <c r="B18" s="245" t="s">
        <v>1888</v>
      </c>
      <c r="C18" s="246">
        <v>2022</v>
      </c>
      <c r="D18" s="269" t="s">
        <v>789</v>
      </c>
      <c r="E18" s="270" t="s">
        <v>790</v>
      </c>
      <c r="F18" s="242">
        <v>6.6</v>
      </c>
      <c r="G18" s="242">
        <v>7</v>
      </c>
      <c r="H18" s="242">
        <v>8</v>
      </c>
      <c r="I18" s="242">
        <v>7</v>
      </c>
      <c r="J18" s="242">
        <v>8</v>
      </c>
      <c r="K18" s="242">
        <v>7</v>
      </c>
      <c r="L18" s="242">
        <v>7.5</v>
      </c>
      <c r="M18" s="242">
        <v>7</v>
      </c>
      <c r="N18" s="242">
        <v>7.5</v>
      </c>
      <c r="O18" s="242">
        <v>7.5</v>
      </c>
      <c r="P18" s="242">
        <v>7</v>
      </c>
      <c r="Q18" s="242">
        <v>7</v>
      </c>
      <c r="R18" s="242">
        <v>6.5</v>
      </c>
      <c r="S18" s="243">
        <f t="shared" si="3"/>
        <v>7.1999999999999993</v>
      </c>
      <c r="T18" s="242"/>
      <c r="U18" s="242"/>
      <c r="V18" s="242"/>
      <c r="W18" s="277">
        <f t="shared" si="0"/>
        <v>0</v>
      </c>
      <c r="X18" s="277">
        <f t="shared" si="1"/>
        <v>3.5999999999999996</v>
      </c>
      <c r="Y18" s="252" t="s">
        <v>101</v>
      </c>
      <c r="Z18" s="273"/>
      <c r="AA18" s="274" t="s">
        <v>215</v>
      </c>
      <c r="AB18" s="374"/>
      <c r="AC18" s="357">
        <f t="shared" si="2"/>
        <v>7.1999999999999993</v>
      </c>
    </row>
    <row r="19" spans="1:29" s="256" customFormat="1" ht="18" customHeight="1" x14ac:dyDescent="0.2">
      <c r="A19" s="523">
        <v>11</v>
      </c>
      <c r="B19" s="245" t="s">
        <v>1889</v>
      </c>
      <c r="C19" s="246">
        <v>2022</v>
      </c>
      <c r="D19" s="269" t="s">
        <v>791</v>
      </c>
      <c r="E19" s="270" t="s">
        <v>792</v>
      </c>
      <c r="F19" s="242">
        <v>7.5</v>
      </c>
      <c r="G19" s="242">
        <v>7</v>
      </c>
      <c r="H19" s="242">
        <v>7.5</v>
      </c>
      <c r="I19" s="242">
        <v>6</v>
      </c>
      <c r="J19" s="242">
        <v>6</v>
      </c>
      <c r="K19" s="242">
        <v>7</v>
      </c>
      <c r="L19" s="242">
        <v>7</v>
      </c>
      <c r="M19" s="242">
        <v>6.5</v>
      </c>
      <c r="N19" s="242">
        <v>7.5</v>
      </c>
      <c r="O19" s="242">
        <v>8</v>
      </c>
      <c r="P19" s="242">
        <v>5.5</v>
      </c>
      <c r="Q19" s="242">
        <v>7</v>
      </c>
      <c r="R19" s="242">
        <v>7</v>
      </c>
      <c r="S19" s="243">
        <f t="shared" si="3"/>
        <v>6.884615384615385</v>
      </c>
      <c r="T19" s="242"/>
      <c r="U19" s="242"/>
      <c r="V19" s="242"/>
      <c r="W19" s="277">
        <f t="shared" si="0"/>
        <v>0</v>
      </c>
      <c r="X19" s="277">
        <f t="shared" si="1"/>
        <v>3.4423076923076925</v>
      </c>
      <c r="Y19" s="252" t="s">
        <v>101</v>
      </c>
      <c r="Z19" s="273"/>
      <c r="AA19" s="612" t="s">
        <v>215</v>
      </c>
      <c r="AB19" s="374"/>
      <c r="AC19" s="628">
        <f t="shared" si="2"/>
        <v>6.884615384615385</v>
      </c>
    </row>
    <row r="20" spans="1:29" s="256" customFormat="1" ht="18" customHeight="1" x14ac:dyDescent="0.2">
      <c r="A20" s="523">
        <v>12</v>
      </c>
      <c r="B20" s="245" t="s">
        <v>1890</v>
      </c>
      <c r="C20" s="246">
        <v>2022</v>
      </c>
      <c r="D20" s="269" t="s">
        <v>793</v>
      </c>
      <c r="E20" s="270" t="s">
        <v>794</v>
      </c>
      <c r="F20" s="242">
        <v>7</v>
      </c>
      <c r="G20" s="242">
        <v>7.5</v>
      </c>
      <c r="H20" s="242">
        <v>8</v>
      </c>
      <c r="I20" s="242">
        <v>7</v>
      </c>
      <c r="J20" s="242">
        <v>7</v>
      </c>
      <c r="K20" s="242">
        <v>7</v>
      </c>
      <c r="L20" s="242">
        <v>7</v>
      </c>
      <c r="M20" s="242">
        <v>7</v>
      </c>
      <c r="N20" s="242">
        <v>7.5</v>
      </c>
      <c r="O20" s="242">
        <v>6.5</v>
      </c>
      <c r="P20" s="242">
        <v>5.5</v>
      </c>
      <c r="Q20" s="242">
        <v>6.5</v>
      </c>
      <c r="R20" s="242">
        <v>7.5</v>
      </c>
      <c r="S20" s="243">
        <f t="shared" si="3"/>
        <v>7</v>
      </c>
      <c r="T20" s="242"/>
      <c r="U20" s="242"/>
      <c r="V20" s="242"/>
      <c r="W20" s="277">
        <f t="shared" si="0"/>
        <v>0</v>
      </c>
      <c r="X20" s="277">
        <f t="shared" si="1"/>
        <v>3.5</v>
      </c>
      <c r="Y20" s="252" t="s">
        <v>101</v>
      </c>
      <c r="Z20" s="273"/>
      <c r="AA20" s="274" t="s">
        <v>170</v>
      </c>
      <c r="AB20" s="374"/>
      <c r="AC20" s="628">
        <f t="shared" si="2"/>
        <v>7</v>
      </c>
    </row>
    <row r="21" spans="1:29" s="256" customFormat="1" ht="18" customHeight="1" x14ac:dyDescent="0.2">
      <c r="A21" s="523">
        <v>13</v>
      </c>
      <c r="B21" s="245" t="s">
        <v>1891</v>
      </c>
      <c r="C21" s="246">
        <v>2022</v>
      </c>
      <c r="D21" s="269" t="s">
        <v>795</v>
      </c>
      <c r="E21" s="270" t="s">
        <v>796</v>
      </c>
      <c r="F21" s="242">
        <v>6.5</v>
      </c>
      <c r="G21" s="242">
        <v>7</v>
      </c>
      <c r="H21" s="242">
        <v>7</v>
      </c>
      <c r="I21" s="242">
        <v>7</v>
      </c>
      <c r="J21" s="242">
        <v>8</v>
      </c>
      <c r="K21" s="242">
        <v>8</v>
      </c>
      <c r="L21" s="242">
        <v>7</v>
      </c>
      <c r="M21" s="242">
        <v>6.5</v>
      </c>
      <c r="N21" s="242">
        <v>7</v>
      </c>
      <c r="O21" s="242">
        <v>7</v>
      </c>
      <c r="P21" s="242">
        <v>7.5</v>
      </c>
      <c r="Q21" s="242">
        <v>7.5</v>
      </c>
      <c r="R21" s="242">
        <v>7</v>
      </c>
      <c r="S21" s="243">
        <f t="shared" si="3"/>
        <v>7.1538461538461542</v>
      </c>
      <c r="T21" s="242"/>
      <c r="U21" s="242"/>
      <c r="V21" s="242"/>
      <c r="W21" s="277">
        <f t="shared" si="0"/>
        <v>0</v>
      </c>
      <c r="X21" s="277">
        <f t="shared" si="1"/>
        <v>3.5769230769230771</v>
      </c>
      <c r="Y21" s="252" t="s">
        <v>95</v>
      </c>
      <c r="Z21" s="273"/>
      <c r="AA21" s="274" t="s">
        <v>174</v>
      </c>
      <c r="AB21" s="374"/>
      <c r="AC21" s="357">
        <f t="shared" si="2"/>
        <v>7.1538461538461542</v>
      </c>
    </row>
    <row r="22" spans="1:29" s="256" customFormat="1" ht="18" customHeight="1" x14ac:dyDescent="0.2">
      <c r="A22" s="523">
        <v>14</v>
      </c>
      <c r="B22" s="245" t="s">
        <v>1892</v>
      </c>
      <c r="C22" s="246">
        <v>2022</v>
      </c>
      <c r="D22" s="269" t="s">
        <v>797</v>
      </c>
      <c r="E22" s="270" t="s">
        <v>798</v>
      </c>
      <c r="F22" s="242">
        <v>7</v>
      </c>
      <c r="G22" s="242">
        <v>6.5</v>
      </c>
      <c r="H22" s="242">
        <v>6.5</v>
      </c>
      <c r="I22" s="242">
        <v>7</v>
      </c>
      <c r="J22" s="242">
        <v>7</v>
      </c>
      <c r="K22" s="242">
        <v>8</v>
      </c>
      <c r="L22" s="242">
        <v>7</v>
      </c>
      <c r="M22" s="242">
        <v>7</v>
      </c>
      <c r="N22" s="242">
        <v>7.5</v>
      </c>
      <c r="O22" s="242">
        <v>6.5</v>
      </c>
      <c r="P22" s="242">
        <v>7</v>
      </c>
      <c r="Q22" s="242">
        <v>7.5</v>
      </c>
      <c r="R22" s="242">
        <v>6.5</v>
      </c>
      <c r="S22" s="243">
        <f t="shared" si="3"/>
        <v>7</v>
      </c>
      <c r="T22" s="242"/>
      <c r="U22" s="242"/>
      <c r="V22" s="242"/>
      <c r="W22" s="277">
        <f t="shared" si="0"/>
        <v>0</v>
      </c>
      <c r="X22" s="277">
        <f t="shared" si="1"/>
        <v>3.5</v>
      </c>
      <c r="Y22" s="252" t="s">
        <v>95</v>
      </c>
      <c r="Z22" s="273"/>
      <c r="AA22" s="274" t="s">
        <v>18</v>
      </c>
      <c r="AB22" s="374"/>
      <c r="AC22" s="357">
        <f t="shared" si="2"/>
        <v>7</v>
      </c>
    </row>
    <row r="23" spans="1:29" s="256" customFormat="1" ht="18" customHeight="1" x14ac:dyDescent="0.2">
      <c r="A23" s="523">
        <v>15</v>
      </c>
      <c r="B23" s="245" t="s">
        <v>1893</v>
      </c>
      <c r="C23" s="246">
        <v>2022</v>
      </c>
      <c r="D23" s="269" t="s">
        <v>799</v>
      </c>
      <c r="E23" s="270" t="s">
        <v>800</v>
      </c>
      <c r="F23" s="242">
        <v>7</v>
      </c>
      <c r="G23" s="242">
        <v>7</v>
      </c>
      <c r="H23" s="242">
        <v>7</v>
      </c>
      <c r="I23" s="242">
        <v>7</v>
      </c>
      <c r="J23" s="242">
        <v>7</v>
      </c>
      <c r="K23" s="242">
        <v>7</v>
      </c>
      <c r="L23" s="242">
        <v>7</v>
      </c>
      <c r="M23" s="242">
        <v>5.5</v>
      </c>
      <c r="N23" s="242">
        <v>7.5</v>
      </c>
      <c r="O23" s="242">
        <v>7.5</v>
      </c>
      <c r="P23" s="242">
        <v>6.5</v>
      </c>
      <c r="Q23" s="242">
        <v>6.5</v>
      </c>
      <c r="R23" s="242">
        <v>7.5</v>
      </c>
      <c r="S23" s="243">
        <f t="shared" si="3"/>
        <v>6.9230769230769234</v>
      </c>
      <c r="T23" s="242"/>
      <c r="U23" s="242"/>
      <c r="V23" s="242"/>
      <c r="W23" s="277">
        <f t="shared" si="0"/>
        <v>0</v>
      </c>
      <c r="X23" s="277">
        <f t="shared" si="1"/>
        <v>3.4615384615384617</v>
      </c>
      <c r="Y23" s="252" t="s">
        <v>101</v>
      </c>
      <c r="Z23" s="273"/>
      <c r="AA23" s="274" t="s">
        <v>215</v>
      </c>
      <c r="AB23" s="374"/>
      <c r="AC23" s="628">
        <f t="shared" si="2"/>
        <v>6.9230769230769234</v>
      </c>
    </row>
    <row r="24" spans="1:29" s="256" customFormat="1" ht="18" customHeight="1" x14ac:dyDescent="0.2">
      <c r="A24" s="523">
        <v>16</v>
      </c>
      <c r="B24" s="245" t="s">
        <v>1894</v>
      </c>
      <c r="C24" s="246">
        <v>2022</v>
      </c>
      <c r="D24" s="269" t="s">
        <v>801</v>
      </c>
      <c r="E24" s="270" t="s">
        <v>802</v>
      </c>
      <c r="F24" s="242">
        <v>7.8</v>
      </c>
      <c r="G24" s="242">
        <v>7</v>
      </c>
      <c r="H24" s="242">
        <v>7</v>
      </c>
      <c r="I24" s="242">
        <v>8</v>
      </c>
      <c r="J24" s="242">
        <v>7</v>
      </c>
      <c r="K24" s="242">
        <v>8</v>
      </c>
      <c r="L24" s="242">
        <v>7</v>
      </c>
      <c r="M24" s="242">
        <v>7</v>
      </c>
      <c r="N24" s="242">
        <v>6.5</v>
      </c>
      <c r="O24" s="242">
        <v>7.5</v>
      </c>
      <c r="P24" s="242">
        <v>7</v>
      </c>
      <c r="Q24" s="242">
        <v>7</v>
      </c>
      <c r="R24" s="242">
        <v>6.5</v>
      </c>
      <c r="S24" s="243">
        <f t="shared" si="3"/>
        <v>7.1769230769230763</v>
      </c>
      <c r="T24" s="242"/>
      <c r="U24" s="242"/>
      <c r="V24" s="242"/>
      <c r="W24" s="277">
        <f t="shared" si="0"/>
        <v>0</v>
      </c>
      <c r="X24" s="277">
        <f t="shared" si="1"/>
        <v>3.5884615384615381</v>
      </c>
      <c r="Y24" s="252" t="s">
        <v>101</v>
      </c>
      <c r="Z24" s="273"/>
      <c r="AA24" s="274" t="s">
        <v>141</v>
      </c>
      <c r="AB24" s="374"/>
      <c r="AC24" s="357">
        <f t="shared" si="2"/>
        <v>7.1769230769230763</v>
      </c>
    </row>
    <row r="25" spans="1:29" s="256" customFormat="1" ht="18" customHeight="1" x14ac:dyDescent="0.2">
      <c r="A25" s="523">
        <v>17</v>
      </c>
      <c r="B25" s="245" t="s">
        <v>1895</v>
      </c>
      <c r="C25" s="246">
        <v>2022</v>
      </c>
      <c r="D25" s="269" t="s">
        <v>803</v>
      </c>
      <c r="E25" s="270" t="s">
        <v>804</v>
      </c>
      <c r="F25" s="242">
        <v>8</v>
      </c>
      <c r="G25" s="242">
        <v>7</v>
      </c>
      <c r="H25" s="242">
        <v>7.5</v>
      </c>
      <c r="I25" s="242">
        <v>6</v>
      </c>
      <c r="J25" s="242">
        <v>6</v>
      </c>
      <c r="K25" s="242">
        <v>8</v>
      </c>
      <c r="L25" s="242">
        <v>7.5</v>
      </c>
      <c r="M25" s="242">
        <v>7.5</v>
      </c>
      <c r="N25" s="242">
        <v>7</v>
      </c>
      <c r="O25" s="242">
        <v>7</v>
      </c>
      <c r="P25" s="242">
        <v>8</v>
      </c>
      <c r="Q25" s="242">
        <v>7.5</v>
      </c>
      <c r="R25" s="242">
        <v>7</v>
      </c>
      <c r="S25" s="243">
        <f t="shared" si="3"/>
        <v>7.2307692307692308</v>
      </c>
      <c r="T25" s="242"/>
      <c r="U25" s="242"/>
      <c r="V25" s="242"/>
      <c r="W25" s="277">
        <f t="shared" si="0"/>
        <v>0</v>
      </c>
      <c r="X25" s="277">
        <f t="shared" si="1"/>
        <v>3.6153846153846154</v>
      </c>
      <c r="Y25" s="252" t="s">
        <v>101</v>
      </c>
      <c r="Z25" s="273"/>
      <c r="AA25" s="274" t="s">
        <v>193</v>
      </c>
      <c r="AB25" s="374"/>
      <c r="AC25" s="357">
        <f t="shared" si="2"/>
        <v>7.2307692307692308</v>
      </c>
    </row>
    <row r="26" spans="1:29" s="256" customFormat="1" ht="18" customHeight="1" x14ac:dyDescent="0.2">
      <c r="A26" s="523">
        <v>18</v>
      </c>
      <c r="B26" s="245" t="s">
        <v>1896</v>
      </c>
      <c r="C26" s="246">
        <v>2022</v>
      </c>
      <c r="D26" s="269" t="s">
        <v>805</v>
      </c>
      <c r="E26" s="270" t="s">
        <v>806</v>
      </c>
      <c r="F26" s="242">
        <v>7</v>
      </c>
      <c r="G26" s="242">
        <v>7.5</v>
      </c>
      <c r="H26" s="242">
        <v>7.5</v>
      </c>
      <c r="I26" s="242">
        <v>7</v>
      </c>
      <c r="J26" s="242">
        <v>7</v>
      </c>
      <c r="K26" s="242">
        <v>8</v>
      </c>
      <c r="L26" s="242">
        <v>7.5</v>
      </c>
      <c r="M26" s="242">
        <v>7.5</v>
      </c>
      <c r="N26" s="242">
        <v>7.5</v>
      </c>
      <c r="O26" s="242">
        <v>7</v>
      </c>
      <c r="P26" s="242">
        <v>7.5</v>
      </c>
      <c r="Q26" s="242">
        <v>7.5</v>
      </c>
      <c r="R26" s="242">
        <v>7</v>
      </c>
      <c r="S26" s="243">
        <f t="shared" si="3"/>
        <v>7.3461538461538458</v>
      </c>
      <c r="T26" s="242"/>
      <c r="U26" s="242"/>
      <c r="V26" s="242"/>
      <c r="W26" s="277">
        <f t="shared" si="0"/>
        <v>0</v>
      </c>
      <c r="X26" s="277">
        <f t="shared" si="1"/>
        <v>3.6730769230769229</v>
      </c>
      <c r="Y26" s="252" t="s">
        <v>101</v>
      </c>
      <c r="Z26" s="273"/>
      <c r="AA26" s="274" t="s">
        <v>215</v>
      </c>
      <c r="AB26" s="374"/>
      <c r="AC26" s="357">
        <f t="shared" si="2"/>
        <v>7.3461538461538458</v>
      </c>
    </row>
    <row r="27" spans="1:29" s="256" customFormat="1" ht="18" customHeight="1" x14ac:dyDescent="0.2">
      <c r="A27" s="523">
        <v>19</v>
      </c>
      <c r="B27" s="245" t="s">
        <v>1897</v>
      </c>
      <c r="C27" s="246">
        <v>2022</v>
      </c>
      <c r="D27" s="269" t="s">
        <v>249</v>
      </c>
      <c r="E27" s="270" t="s">
        <v>807</v>
      </c>
      <c r="F27" s="242">
        <v>8</v>
      </c>
      <c r="G27" s="242">
        <v>8</v>
      </c>
      <c r="H27" s="242">
        <v>8</v>
      </c>
      <c r="I27" s="242">
        <v>8</v>
      </c>
      <c r="J27" s="242">
        <v>8</v>
      </c>
      <c r="K27" s="242">
        <v>8</v>
      </c>
      <c r="L27" s="242">
        <v>8</v>
      </c>
      <c r="M27" s="242">
        <v>8</v>
      </c>
      <c r="N27" s="242">
        <v>8</v>
      </c>
      <c r="O27" s="242">
        <v>8</v>
      </c>
      <c r="P27" s="242">
        <v>8</v>
      </c>
      <c r="Q27" s="242">
        <v>8</v>
      </c>
      <c r="R27" s="242">
        <v>8</v>
      </c>
      <c r="S27" s="243">
        <f t="shared" si="3"/>
        <v>8</v>
      </c>
      <c r="T27" s="242"/>
      <c r="U27" s="242"/>
      <c r="V27" s="242"/>
      <c r="W27" s="277">
        <f t="shared" si="0"/>
        <v>0</v>
      </c>
      <c r="X27" s="277">
        <f t="shared" si="1"/>
        <v>4</v>
      </c>
      <c r="Y27" s="252" t="s">
        <v>101</v>
      </c>
      <c r="Z27" s="273"/>
      <c r="AA27" s="274" t="s">
        <v>830</v>
      </c>
      <c r="AB27" s="374"/>
      <c r="AC27" s="613">
        <f t="shared" si="2"/>
        <v>8</v>
      </c>
    </row>
    <row r="28" spans="1:29" s="256" customFormat="1" ht="18" customHeight="1" x14ac:dyDescent="0.2">
      <c r="A28" s="523">
        <v>20</v>
      </c>
      <c r="B28" s="245" t="s">
        <v>1898</v>
      </c>
      <c r="C28" s="246">
        <v>2022</v>
      </c>
      <c r="D28" s="269" t="s">
        <v>808</v>
      </c>
      <c r="E28" s="270" t="s">
        <v>498</v>
      </c>
      <c r="F28" s="242">
        <v>7</v>
      </c>
      <c r="G28" s="242">
        <v>7.5</v>
      </c>
      <c r="H28" s="242">
        <v>7</v>
      </c>
      <c r="I28" s="242">
        <v>8</v>
      </c>
      <c r="J28" s="242">
        <v>8</v>
      </c>
      <c r="K28" s="242">
        <v>7</v>
      </c>
      <c r="L28" s="242">
        <v>7.5</v>
      </c>
      <c r="M28" s="242">
        <v>6.5</v>
      </c>
      <c r="N28" s="242">
        <v>7.5</v>
      </c>
      <c r="O28" s="242">
        <v>7</v>
      </c>
      <c r="P28" s="242">
        <v>7</v>
      </c>
      <c r="Q28" s="242">
        <v>6.5</v>
      </c>
      <c r="R28" s="242">
        <v>7</v>
      </c>
      <c r="S28" s="243">
        <f t="shared" si="3"/>
        <v>7.1923076923076925</v>
      </c>
      <c r="T28" s="242"/>
      <c r="U28" s="242"/>
      <c r="V28" s="242"/>
      <c r="W28" s="277">
        <f t="shared" si="0"/>
        <v>0</v>
      </c>
      <c r="X28" s="277">
        <f t="shared" si="1"/>
        <v>3.5961538461538463</v>
      </c>
      <c r="Y28" s="252" t="s">
        <v>101</v>
      </c>
      <c r="Z28" s="273"/>
      <c r="AA28" s="274" t="s">
        <v>215</v>
      </c>
      <c r="AB28" s="374"/>
      <c r="AC28" s="357">
        <f t="shared" si="2"/>
        <v>7.1923076923076925</v>
      </c>
    </row>
    <row r="29" spans="1:29" s="256" customFormat="1" ht="18" customHeight="1" x14ac:dyDescent="0.2">
      <c r="A29" s="523">
        <v>21</v>
      </c>
      <c r="B29" s="245" t="s">
        <v>1899</v>
      </c>
      <c r="C29" s="246">
        <v>2022</v>
      </c>
      <c r="D29" s="269" t="s">
        <v>809</v>
      </c>
      <c r="E29" s="270" t="s">
        <v>810</v>
      </c>
      <c r="F29" s="242">
        <v>7</v>
      </c>
      <c r="G29" s="242">
        <v>7</v>
      </c>
      <c r="H29" s="242">
        <v>7</v>
      </c>
      <c r="I29" s="242">
        <v>8</v>
      </c>
      <c r="J29" s="242">
        <v>8</v>
      </c>
      <c r="K29" s="242">
        <v>7</v>
      </c>
      <c r="L29" s="242">
        <v>7.5</v>
      </c>
      <c r="M29" s="242">
        <v>7.5</v>
      </c>
      <c r="N29" s="242">
        <v>7.5</v>
      </c>
      <c r="O29" s="242">
        <v>6.5</v>
      </c>
      <c r="P29" s="242">
        <v>7</v>
      </c>
      <c r="Q29" s="242">
        <v>6.5</v>
      </c>
      <c r="R29" s="242">
        <v>7.5</v>
      </c>
      <c r="S29" s="243">
        <f t="shared" si="3"/>
        <v>7.2307692307692308</v>
      </c>
      <c r="T29" s="242"/>
      <c r="U29" s="242"/>
      <c r="V29" s="242"/>
      <c r="W29" s="277">
        <f t="shared" si="0"/>
        <v>0</v>
      </c>
      <c r="X29" s="277">
        <f t="shared" si="1"/>
        <v>3.6153846153846154</v>
      </c>
      <c r="Y29" s="252" t="s">
        <v>101</v>
      </c>
      <c r="Z29" s="273"/>
      <c r="AA29" s="274" t="s">
        <v>182</v>
      </c>
      <c r="AB29" s="374"/>
      <c r="AC29" s="357">
        <f t="shared" si="2"/>
        <v>7.2307692307692308</v>
      </c>
    </row>
    <row r="30" spans="1:29" s="256" customFormat="1" ht="18" customHeight="1" x14ac:dyDescent="0.2">
      <c r="A30" s="523"/>
      <c r="B30" s="245" t="s">
        <v>1900</v>
      </c>
      <c r="C30" s="246">
        <v>2022</v>
      </c>
      <c r="D30" s="269" t="s">
        <v>811</v>
      </c>
      <c r="E30" s="270" t="s">
        <v>251</v>
      </c>
      <c r="F30" s="242">
        <v>7</v>
      </c>
      <c r="G30" s="242">
        <v>7.5</v>
      </c>
      <c r="H30" s="242">
        <v>7.5</v>
      </c>
      <c r="I30" s="242">
        <v>7</v>
      </c>
      <c r="J30" s="242">
        <v>7</v>
      </c>
      <c r="K30" s="242">
        <v>8</v>
      </c>
      <c r="L30" s="242">
        <v>7.5</v>
      </c>
      <c r="M30" s="242">
        <v>7.5</v>
      </c>
      <c r="N30" s="242">
        <v>6.5</v>
      </c>
      <c r="O30" s="242">
        <v>7.5</v>
      </c>
      <c r="P30" s="242">
        <v>7.5</v>
      </c>
      <c r="Q30" s="242">
        <v>7</v>
      </c>
      <c r="R30" s="242">
        <v>7</v>
      </c>
      <c r="S30" s="243">
        <f t="shared" si="3"/>
        <v>7.2692307692307692</v>
      </c>
      <c r="T30" s="242"/>
      <c r="U30" s="242"/>
      <c r="V30" s="242"/>
      <c r="W30" s="277">
        <f t="shared" si="0"/>
        <v>0</v>
      </c>
      <c r="X30" s="277">
        <f t="shared" si="1"/>
        <v>3.6346153846153846</v>
      </c>
      <c r="Y30" s="252" t="s">
        <v>101</v>
      </c>
      <c r="Z30" s="273"/>
      <c r="AA30" s="274" t="s">
        <v>215</v>
      </c>
      <c r="AB30" s="374"/>
      <c r="AC30" s="357">
        <f t="shared" si="2"/>
        <v>7.2692307692307692</v>
      </c>
    </row>
    <row r="31" spans="1:29" s="256" customFormat="1" ht="18" customHeight="1" x14ac:dyDescent="0.2">
      <c r="A31" s="523">
        <v>23</v>
      </c>
      <c r="B31" s="245" t="s">
        <v>1901</v>
      </c>
      <c r="C31" s="246">
        <v>2022</v>
      </c>
      <c r="D31" s="269" t="s">
        <v>812</v>
      </c>
      <c r="E31" s="270" t="s">
        <v>813</v>
      </c>
      <c r="F31" s="242">
        <v>7.9</v>
      </c>
      <c r="G31" s="242">
        <v>7.5</v>
      </c>
      <c r="H31" s="242">
        <v>7</v>
      </c>
      <c r="I31" s="242">
        <v>5</v>
      </c>
      <c r="J31" s="242">
        <v>6</v>
      </c>
      <c r="K31" s="242">
        <v>7</v>
      </c>
      <c r="L31" s="242">
        <v>7</v>
      </c>
      <c r="M31" s="242">
        <v>7</v>
      </c>
      <c r="N31" s="242">
        <v>7</v>
      </c>
      <c r="O31" s="242">
        <v>7.5</v>
      </c>
      <c r="P31" s="242">
        <v>7</v>
      </c>
      <c r="Q31" s="242">
        <v>7</v>
      </c>
      <c r="R31" s="242">
        <v>7</v>
      </c>
      <c r="S31" s="243">
        <f t="shared" si="3"/>
        <v>6.9153846153846157</v>
      </c>
      <c r="T31" s="242"/>
      <c r="U31" s="242"/>
      <c r="V31" s="242"/>
      <c r="W31" s="277">
        <f t="shared" si="0"/>
        <v>0</v>
      </c>
      <c r="X31" s="277">
        <f t="shared" si="1"/>
        <v>3.4576923076923078</v>
      </c>
      <c r="Y31" s="252" t="s">
        <v>101</v>
      </c>
      <c r="Z31" s="273"/>
      <c r="AA31" s="274" t="s">
        <v>215</v>
      </c>
      <c r="AB31" s="374"/>
      <c r="AC31" s="628">
        <f t="shared" si="2"/>
        <v>6.9153846153846157</v>
      </c>
    </row>
    <row r="32" spans="1:29" s="256" customFormat="1" ht="18" customHeight="1" x14ac:dyDescent="0.2">
      <c r="A32" s="523">
        <v>24</v>
      </c>
      <c r="B32" s="245" t="s">
        <v>1902</v>
      </c>
      <c r="C32" s="246">
        <v>2022</v>
      </c>
      <c r="D32" s="269" t="s">
        <v>814</v>
      </c>
      <c r="E32" s="611" t="s">
        <v>1913</v>
      </c>
      <c r="F32" s="242">
        <v>7</v>
      </c>
      <c r="G32" s="242">
        <v>6.5</v>
      </c>
      <c r="H32" s="242">
        <v>6.5</v>
      </c>
      <c r="I32" s="242">
        <v>6</v>
      </c>
      <c r="J32" s="242">
        <v>6</v>
      </c>
      <c r="K32" s="242">
        <v>8</v>
      </c>
      <c r="L32" s="242">
        <v>6.5</v>
      </c>
      <c r="M32" s="242">
        <v>7.5</v>
      </c>
      <c r="N32" s="242">
        <v>7.5</v>
      </c>
      <c r="O32" s="242">
        <v>7</v>
      </c>
      <c r="P32" s="242">
        <v>7</v>
      </c>
      <c r="Q32" s="242">
        <v>6.5</v>
      </c>
      <c r="R32" s="242">
        <v>6.5</v>
      </c>
      <c r="S32" s="252" t="s">
        <v>95</v>
      </c>
      <c r="T32" s="242"/>
      <c r="U32" s="242"/>
      <c r="V32" s="242"/>
      <c r="W32" s="277">
        <f t="shared" si="0"/>
        <v>0</v>
      </c>
      <c r="X32" s="277" t="e">
        <f t="shared" si="1"/>
        <v>#VALUE!</v>
      </c>
      <c r="Y32" s="252" t="s">
        <v>101</v>
      </c>
      <c r="Z32" s="273"/>
      <c r="AA32" s="612" t="s">
        <v>12</v>
      </c>
      <c r="AB32" s="374"/>
      <c r="AC32" s="628">
        <f t="shared" si="2"/>
        <v>6.8076923076923075</v>
      </c>
    </row>
    <row r="33" spans="1:29" s="256" customFormat="1" ht="18" customHeight="1" x14ac:dyDescent="0.2">
      <c r="A33" s="523">
        <v>25</v>
      </c>
      <c r="B33" s="245" t="s">
        <v>1903</v>
      </c>
      <c r="C33" s="246">
        <v>2022</v>
      </c>
      <c r="D33" s="269" t="s">
        <v>815</v>
      </c>
      <c r="E33" s="270" t="s">
        <v>272</v>
      </c>
      <c r="F33" s="242">
        <v>7</v>
      </c>
      <c r="G33" s="242">
        <v>7.5</v>
      </c>
      <c r="H33" s="242">
        <v>8</v>
      </c>
      <c r="I33" s="242">
        <v>7</v>
      </c>
      <c r="J33" s="242">
        <v>7</v>
      </c>
      <c r="K33" s="242">
        <v>8</v>
      </c>
      <c r="L33" s="242">
        <v>6</v>
      </c>
      <c r="M33" s="242">
        <v>7.5</v>
      </c>
      <c r="N33" s="242">
        <v>7.5</v>
      </c>
      <c r="O33" s="242">
        <v>7.5</v>
      </c>
      <c r="P33" s="242">
        <v>7</v>
      </c>
      <c r="Q33" s="242">
        <v>7</v>
      </c>
      <c r="R33" s="242">
        <v>7.5</v>
      </c>
      <c r="S33" s="243">
        <f t="shared" si="3"/>
        <v>7.2692307692307692</v>
      </c>
      <c r="T33" s="242"/>
      <c r="U33" s="242"/>
      <c r="V33" s="242"/>
      <c r="W33" s="277">
        <f t="shared" si="0"/>
        <v>0</v>
      </c>
      <c r="X33" s="277">
        <f t="shared" si="1"/>
        <v>3.6346153846153846</v>
      </c>
      <c r="Y33" s="252" t="s">
        <v>101</v>
      </c>
      <c r="Z33" s="273"/>
      <c r="AA33" s="274" t="s">
        <v>831</v>
      </c>
      <c r="AB33" s="374"/>
      <c r="AC33" s="357">
        <f t="shared" si="2"/>
        <v>7.2692307692307692</v>
      </c>
    </row>
    <row r="34" spans="1:29" s="256" customFormat="1" ht="18" customHeight="1" x14ac:dyDescent="0.2">
      <c r="A34" s="523">
        <v>26</v>
      </c>
      <c r="B34" s="245" t="s">
        <v>1904</v>
      </c>
      <c r="C34" s="246">
        <v>2022</v>
      </c>
      <c r="D34" s="269" t="s">
        <v>816</v>
      </c>
      <c r="E34" s="270" t="s">
        <v>817</v>
      </c>
      <c r="F34" s="242">
        <v>7.5</v>
      </c>
      <c r="G34" s="242">
        <v>7</v>
      </c>
      <c r="H34" s="242">
        <v>7</v>
      </c>
      <c r="I34" s="242">
        <v>6</v>
      </c>
      <c r="J34" s="242">
        <v>5</v>
      </c>
      <c r="K34" s="242">
        <v>5</v>
      </c>
      <c r="L34" s="242">
        <v>7.5</v>
      </c>
      <c r="M34" s="242">
        <v>7</v>
      </c>
      <c r="N34" s="242">
        <v>7.5</v>
      </c>
      <c r="O34" s="242">
        <v>7</v>
      </c>
      <c r="P34" s="242">
        <v>6</v>
      </c>
      <c r="Q34" s="242">
        <v>7</v>
      </c>
      <c r="R34" s="242">
        <v>7.5</v>
      </c>
      <c r="S34" s="243">
        <f t="shared" si="3"/>
        <v>6.6923076923076925</v>
      </c>
      <c r="T34" s="242"/>
      <c r="U34" s="242"/>
      <c r="V34" s="242"/>
      <c r="W34" s="277">
        <f t="shared" si="0"/>
        <v>0</v>
      </c>
      <c r="X34" s="277">
        <f t="shared" si="1"/>
        <v>3.3461538461538463</v>
      </c>
      <c r="Y34" s="252" t="s">
        <v>101</v>
      </c>
      <c r="Z34" s="273"/>
      <c r="AA34" s="274" t="s">
        <v>215</v>
      </c>
      <c r="AB34" s="374"/>
      <c r="AC34" s="628">
        <f t="shared" si="2"/>
        <v>6.6923076923076925</v>
      </c>
    </row>
    <row r="35" spans="1:29" s="256" customFormat="1" ht="18" customHeight="1" x14ac:dyDescent="0.2">
      <c r="A35" s="523">
        <v>27</v>
      </c>
      <c r="B35" s="245" t="s">
        <v>1905</v>
      </c>
      <c r="C35" s="246">
        <v>2022</v>
      </c>
      <c r="D35" s="269" t="s">
        <v>818</v>
      </c>
      <c r="E35" s="270" t="s">
        <v>819</v>
      </c>
      <c r="F35" s="242">
        <v>7.5</v>
      </c>
      <c r="G35" s="242">
        <v>6.5</v>
      </c>
      <c r="H35" s="242">
        <v>7</v>
      </c>
      <c r="I35" s="242">
        <v>7</v>
      </c>
      <c r="J35" s="242">
        <v>8</v>
      </c>
      <c r="K35" s="242">
        <v>5</v>
      </c>
      <c r="L35" s="242">
        <v>6.5</v>
      </c>
      <c r="M35" s="242">
        <v>7</v>
      </c>
      <c r="N35" s="242">
        <v>7.5</v>
      </c>
      <c r="O35" s="242">
        <v>7</v>
      </c>
      <c r="P35" s="242">
        <v>5</v>
      </c>
      <c r="Q35" s="242">
        <v>7</v>
      </c>
      <c r="R35" s="242">
        <v>7</v>
      </c>
      <c r="S35" s="243">
        <f t="shared" si="3"/>
        <v>6.7692307692307692</v>
      </c>
      <c r="T35" s="242"/>
      <c r="U35" s="242"/>
      <c r="V35" s="242"/>
      <c r="W35" s="277">
        <f t="shared" si="0"/>
        <v>0</v>
      </c>
      <c r="X35" s="277">
        <f t="shared" si="1"/>
        <v>3.3846153846153846</v>
      </c>
      <c r="Y35" s="252" t="s">
        <v>101</v>
      </c>
      <c r="Z35" s="273"/>
      <c r="AA35" s="274" t="s">
        <v>215</v>
      </c>
      <c r="AB35" s="374"/>
      <c r="AC35" s="628">
        <f t="shared" si="2"/>
        <v>6.7692307692307692</v>
      </c>
    </row>
    <row r="36" spans="1:29" s="256" customFormat="1" ht="18" customHeight="1" x14ac:dyDescent="0.2">
      <c r="A36" s="523">
        <v>28</v>
      </c>
      <c r="B36" s="245" t="s">
        <v>1906</v>
      </c>
      <c r="C36" s="246">
        <v>2022</v>
      </c>
      <c r="D36" s="269" t="s">
        <v>820</v>
      </c>
      <c r="E36" s="270" t="s">
        <v>821</v>
      </c>
      <c r="F36" s="242">
        <v>7.7</v>
      </c>
      <c r="G36" s="242">
        <v>7.5</v>
      </c>
      <c r="H36" s="242">
        <v>7</v>
      </c>
      <c r="I36" s="242">
        <v>7</v>
      </c>
      <c r="J36" s="242">
        <v>7</v>
      </c>
      <c r="K36" s="242">
        <v>7</v>
      </c>
      <c r="L36" s="242">
        <v>7.5</v>
      </c>
      <c r="M36" s="242">
        <v>6.5</v>
      </c>
      <c r="N36" s="242">
        <v>7</v>
      </c>
      <c r="O36" s="242">
        <v>7</v>
      </c>
      <c r="P36" s="242">
        <v>7</v>
      </c>
      <c r="Q36" s="242">
        <v>7</v>
      </c>
      <c r="R36" s="242">
        <v>7</v>
      </c>
      <c r="S36" s="243">
        <f t="shared" si="3"/>
        <v>7.0923076923076929</v>
      </c>
      <c r="T36" s="242"/>
      <c r="U36" s="242"/>
      <c r="V36" s="242"/>
      <c r="W36" s="277">
        <f t="shared" si="0"/>
        <v>0</v>
      </c>
      <c r="X36" s="277">
        <f t="shared" si="1"/>
        <v>3.5461538461538464</v>
      </c>
      <c r="Y36" s="252" t="s">
        <v>101</v>
      </c>
      <c r="Z36" s="273"/>
      <c r="AA36" s="274" t="s">
        <v>215</v>
      </c>
      <c r="AB36" s="374"/>
      <c r="AC36" s="357">
        <f t="shared" si="2"/>
        <v>7.0923076923076929</v>
      </c>
    </row>
    <row r="37" spans="1:29" s="256" customFormat="1" ht="18" customHeight="1" x14ac:dyDescent="0.2">
      <c r="A37" s="523">
        <v>29</v>
      </c>
      <c r="B37" s="245" t="s">
        <v>1907</v>
      </c>
      <c r="C37" s="246">
        <v>2022</v>
      </c>
      <c r="D37" s="269" t="s">
        <v>822</v>
      </c>
      <c r="E37" s="270" t="s">
        <v>823</v>
      </c>
      <c r="F37" s="242">
        <v>7.8</v>
      </c>
      <c r="G37" s="242">
        <v>7.5</v>
      </c>
      <c r="H37" s="242">
        <v>7.5</v>
      </c>
      <c r="I37" s="242">
        <v>7</v>
      </c>
      <c r="J37" s="242">
        <v>8</v>
      </c>
      <c r="K37" s="609">
        <v>4</v>
      </c>
      <c r="L37" s="242">
        <v>7</v>
      </c>
      <c r="M37" s="242">
        <v>7.5</v>
      </c>
      <c r="N37" s="242">
        <v>6.5</v>
      </c>
      <c r="O37" s="242">
        <v>7</v>
      </c>
      <c r="P37" s="242">
        <v>7.5</v>
      </c>
      <c r="Q37" s="242">
        <v>6</v>
      </c>
      <c r="R37" s="242">
        <v>7.5</v>
      </c>
      <c r="S37" s="243">
        <f t="shared" si="3"/>
        <v>6.9846153846153847</v>
      </c>
      <c r="T37" s="242"/>
      <c r="U37" s="242"/>
      <c r="V37" s="242"/>
      <c r="W37" s="277">
        <f t="shared" si="0"/>
        <v>0</v>
      </c>
      <c r="X37" s="277">
        <f t="shared" si="1"/>
        <v>3.4923076923076923</v>
      </c>
      <c r="Y37" s="252" t="s">
        <v>101</v>
      </c>
      <c r="Z37" s="273"/>
      <c r="AA37" s="274" t="s">
        <v>191</v>
      </c>
      <c r="AB37" s="374"/>
      <c r="AC37" s="357">
        <f t="shared" si="2"/>
        <v>6.9846153846153847</v>
      </c>
    </row>
    <row r="38" spans="1:29" s="256" customFormat="1" ht="18" customHeight="1" x14ac:dyDescent="0.2">
      <c r="A38" s="523">
        <v>30</v>
      </c>
      <c r="B38" s="245" t="s">
        <v>1908</v>
      </c>
      <c r="C38" s="246">
        <v>2022</v>
      </c>
      <c r="D38" s="269" t="s">
        <v>824</v>
      </c>
      <c r="E38" s="270" t="s">
        <v>825</v>
      </c>
      <c r="F38" s="242">
        <v>7.5</v>
      </c>
      <c r="G38" s="242">
        <v>7</v>
      </c>
      <c r="H38" s="242">
        <v>7.5</v>
      </c>
      <c r="I38" s="242">
        <v>7</v>
      </c>
      <c r="J38" s="242">
        <v>7</v>
      </c>
      <c r="K38" s="242">
        <v>7</v>
      </c>
      <c r="L38" s="242">
        <v>7.5</v>
      </c>
      <c r="M38" s="242">
        <v>7</v>
      </c>
      <c r="N38" s="242">
        <v>6.5</v>
      </c>
      <c r="O38" s="242">
        <v>7.5</v>
      </c>
      <c r="P38" s="242">
        <v>8</v>
      </c>
      <c r="Q38" s="242">
        <v>7</v>
      </c>
      <c r="R38" s="242">
        <v>7</v>
      </c>
      <c r="S38" s="243">
        <f t="shared" si="3"/>
        <v>7.1923076923076925</v>
      </c>
      <c r="T38" s="242"/>
      <c r="U38" s="242"/>
      <c r="V38" s="242"/>
      <c r="W38" s="277">
        <f t="shared" si="0"/>
        <v>0</v>
      </c>
      <c r="X38" s="277">
        <f t="shared" si="1"/>
        <v>3.5961538461538463</v>
      </c>
      <c r="Y38" s="252" t="s">
        <v>101</v>
      </c>
      <c r="Z38" s="273"/>
      <c r="AA38" s="274" t="s">
        <v>215</v>
      </c>
      <c r="AB38" s="374"/>
      <c r="AC38" s="357">
        <f t="shared" si="2"/>
        <v>7.1923076923076925</v>
      </c>
    </row>
    <row r="39" spans="1:29" s="256" customFormat="1" ht="18" customHeight="1" x14ac:dyDescent="0.2">
      <c r="A39" s="523">
        <v>31</v>
      </c>
      <c r="B39" s="245" t="s">
        <v>1909</v>
      </c>
      <c r="C39" s="246">
        <v>2022</v>
      </c>
      <c r="D39" s="269" t="s">
        <v>826</v>
      </c>
      <c r="E39" s="270" t="s">
        <v>827</v>
      </c>
      <c r="F39" s="242">
        <v>7.6</v>
      </c>
      <c r="G39" s="242">
        <v>7</v>
      </c>
      <c r="H39" s="242">
        <v>7.5</v>
      </c>
      <c r="I39" s="242">
        <v>6</v>
      </c>
      <c r="J39" s="242">
        <v>6</v>
      </c>
      <c r="K39" s="242">
        <v>8</v>
      </c>
      <c r="L39" s="242">
        <v>7.5</v>
      </c>
      <c r="M39" s="242">
        <v>7.5</v>
      </c>
      <c r="N39" s="242">
        <v>7.5</v>
      </c>
      <c r="O39" s="242">
        <v>7</v>
      </c>
      <c r="P39" s="242">
        <v>7.5</v>
      </c>
      <c r="Q39" s="242">
        <v>7.5</v>
      </c>
      <c r="R39" s="242">
        <v>7.5</v>
      </c>
      <c r="S39" s="243">
        <f t="shared" si="3"/>
        <v>7.2384615384615376</v>
      </c>
      <c r="T39" s="242"/>
      <c r="U39" s="242"/>
      <c r="V39" s="242"/>
      <c r="W39" s="277">
        <f t="shared" si="0"/>
        <v>0</v>
      </c>
      <c r="X39" s="277">
        <f t="shared" si="1"/>
        <v>3.6192307692307688</v>
      </c>
      <c r="Y39" s="252" t="s">
        <v>101</v>
      </c>
      <c r="Z39" s="273"/>
      <c r="AA39" s="274" t="s">
        <v>174</v>
      </c>
      <c r="AB39" s="374"/>
      <c r="AC39" s="357">
        <f t="shared" si="2"/>
        <v>7.2384615384615376</v>
      </c>
    </row>
    <row r="40" spans="1:29" s="256" customFormat="1" ht="18" customHeight="1" x14ac:dyDescent="0.2">
      <c r="A40" s="523">
        <v>32</v>
      </c>
      <c r="B40" s="245" t="s">
        <v>1910</v>
      </c>
      <c r="C40" s="246">
        <v>2022</v>
      </c>
      <c r="D40" s="269" t="s">
        <v>828</v>
      </c>
      <c r="E40" s="270" t="s">
        <v>13</v>
      </c>
      <c r="F40" s="242">
        <v>7.5</v>
      </c>
      <c r="G40" s="242">
        <v>6.5</v>
      </c>
      <c r="H40" s="242">
        <v>6.5</v>
      </c>
      <c r="I40" s="242">
        <v>7</v>
      </c>
      <c r="J40" s="242">
        <v>7</v>
      </c>
      <c r="K40" s="242">
        <v>8</v>
      </c>
      <c r="L40" s="242">
        <v>7.5</v>
      </c>
      <c r="M40" s="242">
        <v>7</v>
      </c>
      <c r="N40" s="242">
        <v>7.5</v>
      </c>
      <c r="O40" s="242">
        <v>7</v>
      </c>
      <c r="P40" s="242">
        <v>7</v>
      </c>
      <c r="Q40" s="242">
        <v>6</v>
      </c>
      <c r="R40" s="242">
        <v>7.5</v>
      </c>
      <c r="S40" s="243">
        <f t="shared" si="3"/>
        <v>7.0769230769230766</v>
      </c>
      <c r="T40" s="242"/>
      <c r="U40" s="242"/>
      <c r="V40" s="242"/>
      <c r="W40" s="277">
        <f t="shared" si="0"/>
        <v>0</v>
      </c>
      <c r="X40" s="277">
        <f t="shared" si="1"/>
        <v>3.5384615384615383</v>
      </c>
      <c r="Y40" s="252" t="s">
        <v>101</v>
      </c>
      <c r="Z40" s="273"/>
      <c r="AA40" s="274" t="s">
        <v>193</v>
      </c>
      <c r="AB40" s="374"/>
      <c r="AC40" s="357">
        <f t="shared" si="2"/>
        <v>7.0769230769230766</v>
      </c>
    </row>
    <row r="41" spans="1:29" s="368" customFormat="1" ht="15" customHeight="1" thickBot="1" x14ac:dyDescent="0.35">
      <c r="A41" s="359"/>
      <c r="B41" s="360"/>
      <c r="C41" s="361"/>
      <c r="D41" s="362"/>
      <c r="E41" s="361"/>
      <c r="F41" s="363"/>
      <c r="G41" s="363"/>
      <c r="H41" s="363"/>
      <c r="I41" s="363"/>
      <c r="J41" s="363"/>
      <c r="K41" s="363"/>
      <c r="L41" s="363"/>
      <c r="M41" s="363"/>
      <c r="N41" s="363"/>
      <c r="O41" s="363"/>
      <c r="P41" s="530"/>
      <c r="Q41" s="530"/>
      <c r="R41" s="530"/>
      <c r="S41" s="530"/>
      <c r="T41" s="530"/>
      <c r="U41" s="530"/>
      <c r="V41" s="530"/>
      <c r="W41" s="530"/>
      <c r="X41" s="530"/>
      <c r="Y41" s="530"/>
      <c r="Z41" s="531"/>
      <c r="AA41" s="532"/>
      <c r="AB41" s="374"/>
    </row>
    <row r="42" spans="1:29" s="368" customFormat="1" ht="19.5" thickTop="1" x14ac:dyDescent="0.3">
      <c r="A42" s="369"/>
      <c r="B42" s="369"/>
      <c r="C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527"/>
      <c r="Q42" s="527"/>
      <c r="R42" s="527"/>
      <c r="S42" s="1065"/>
      <c r="T42" s="1065"/>
      <c r="U42" s="1065"/>
      <c r="V42" s="371"/>
      <c r="W42" s="369"/>
      <c r="X42" s="369"/>
      <c r="Y42" s="369"/>
      <c r="Z42" s="372"/>
      <c r="AA42" s="369"/>
    </row>
    <row r="43" spans="1:29" s="368" customFormat="1" x14ac:dyDescent="0.3">
      <c r="A43" s="369"/>
      <c r="B43" s="369"/>
      <c r="C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69"/>
      <c r="P43" s="351"/>
      <c r="Q43" s="351"/>
      <c r="R43" s="351"/>
      <c r="S43" s="373"/>
      <c r="T43" s="374"/>
      <c r="U43" s="374"/>
      <c r="V43" s="371"/>
      <c r="W43" s="369"/>
      <c r="X43" s="369"/>
      <c r="Y43" s="369"/>
      <c r="Z43" s="372"/>
      <c r="AA43" s="369"/>
    </row>
    <row r="44" spans="1:29" s="3" customFormat="1" x14ac:dyDescent="0.3">
      <c r="A44" s="236"/>
      <c r="B44" s="236"/>
      <c r="C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6"/>
      <c r="Q44" s="6"/>
      <c r="R44" s="6"/>
      <c r="S44" s="41"/>
      <c r="T44" s="21"/>
      <c r="U44" s="21"/>
      <c r="V44" s="20"/>
      <c r="W44" s="236"/>
      <c r="X44" s="236"/>
      <c r="Y44" s="39"/>
      <c r="Z44" s="14"/>
      <c r="AA44" s="236"/>
    </row>
    <row r="45" spans="1:29" s="3" customFormat="1" ht="18" x14ac:dyDescent="0.25">
      <c r="A45" s="236"/>
      <c r="B45" s="236"/>
      <c r="C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1200">
        <v>7.5</v>
      </c>
      <c r="Q45" s="1200"/>
      <c r="R45" s="1200"/>
      <c r="S45" s="1200"/>
      <c r="T45" s="1200"/>
      <c r="U45" s="1200"/>
      <c r="V45" s="1200"/>
      <c r="W45" s="1200"/>
      <c r="X45" s="1200"/>
      <c r="Y45" s="1200"/>
      <c r="Z45" s="1200"/>
      <c r="AA45" s="1200"/>
    </row>
    <row r="46" spans="1:29" x14ac:dyDescent="0.3">
      <c r="A46" s="236"/>
      <c r="B46" s="236"/>
      <c r="C46" s="236"/>
      <c r="D46" s="3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T46" s="20"/>
      <c r="U46" s="20"/>
      <c r="V46" s="20"/>
      <c r="W46" s="236"/>
      <c r="X46" s="236"/>
      <c r="Y46" s="39"/>
      <c r="Z46" s="14"/>
      <c r="AA46" s="236"/>
    </row>
    <row r="47" spans="1:29" x14ac:dyDescent="0.3">
      <c r="A47" s="236"/>
      <c r="B47" s="236"/>
      <c r="C47" s="236"/>
      <c r="D47" s="3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T47" s="20"/>
      <c r="U47" s="20"/>
      <c r="V47" s="20"/>
      <c r="W47" s="236"/>
      <c r="X47" s="236"/>
      <c r="Y47" s="39"/>
      <c r="Z47" s="14"/>
      <c r="AA47" s="236"/>
    </row>
    <row r="48" spans="1:29" x14ac:dyDescent="0.3">
      <c r="A48" s="236"/>
      <c r="B48" s="236"/>
      <c r="C48" s="236"/>
      <c r="D48" s="3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T48" s="20"/>
      <c r="U48" s="20"/>
      <c r="V48" s="20"/>
      <c r="W48" s="236"/>
      <c r="X48" s="236"/>
      <c r="Y48" s="39"/>
      <c r="Z48" s="14"/>
      <c r="AA48" s="236"/>
    </row>
    <row r="49" spans="1:27" x14ac:dyDescent="0.3">
      <c r="A49" s="236"/>
      <c r="B49" s="236"/>
      <c r="C49" s="236"/>
      <c r="D49" s="3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T49" s="20"/>
      <c r="U49" s="20"/>
      <c r="V49" s="20"/>
      <c r="W49" s="236"/>
      <c r="X49" s="236"/>
      <c r="Y49" s="39"/>
      <c r="Z49" s="14"/>
      <c r="AA49" s="236"/>
    </row>
    <row r="50" spans="1:27" x14ac:dyDescent="0.3">
      <c r="A50" s="236"/>
      <c r="B50" s="236"/>
      <c r="C50" s="236"/>
      <c r="D50" s="3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T50" s="20"/>
      <c r="U50" s="20"/>
      <c r="V50" s="20"/>
      <c r="W50" s="236"/>
      <c r="X50" s="236"/>
      <c r="Y50" s="39"/>
      <c r="Z50" s="14"/>
      <c r="AA50" s="236"/>
    </row>
  </sheetData>
  <autoFilter ref="S7:AB41">
    <filterColumn colId="1" showButton="0"/>
    <filterColumn colId="2" showButton="0"/>
    <filterColumn colId="3" showButton="0"/>
  </autoFilter>
  <mergeCells count="18">
    <mergeCell ref="A7:A8"/>
    <mergeCell ref="B7:C8"/>
    <mergeCell ref="D7:D8"/>
    <mergeCell ref="E7:E8"/>
    <mergeCell ref="F7:R7"/>
    <mergeCell ref="E1:AA1"/>
    <mergeCell ref="E2:AA2"/>
    <mergeCell ref="E3:AA3"/>
    <mergeCell ref="E4:AA4"/>
    <mergeCell ref="E5:AA5"/>
    <mergeCell ref="S42:U42"/>
    <mergeCell ref="P45:AA45"/>
    <mergeCell ref="S7:S8"/>
    <mergeCell ref="T7:W7"/>
    <mergeCell ref="X7:X8"/>
    <mergeCell ref="Y7:Y8"/>
    <mergeCell ref="Z7:Z8"/>
    <mergeCell ref="AA7:AA8"/>
  </mergeCells>
  <printOptions horizontalCentered="1"/>
  <pageMargins left="0.63" right="0.16" top="0.27" bottom="0.27" header="0.2" footer="0.2"/>
  <pageSetup scale="98"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D51"/>
  <sheetViews>
    <sheetView zoomScale="110" zoomScaleNormal="110" workbookViewId="0">
      <selection activeCell="K17" sqref="K17"/>
    </sheetView>
  </sheetViews>
  <sheetFormatPr defaultRowHeight="18.75" x14ac:dyDescent="0.3"/>
  <cols>
    <col min="1" max="1" width="2.59765625" style="1" customWidth="1"/>
    <col min="2" max="3" width="4.09765625" style="1" customWidth="1"/>
    <col min="4" max="4" width="14.69921875" customWidth="1"/>
    <col min="5" max="5" width="8.3984375" style="1" customWidth="1"/>
    <col min="6" max="18" width="2.69921875" style="1" customWidth="1"/>
    <col min="19" max="19" width="4" style="42" customWidth="1"/>
    <col min="20" max="22" width="2.19921875" style="22" hidden="1" customWidth="1"/>
    <col min="23" max="24" width="3.3984375" style="1" hidden="1" customWidth="1"/>
    <col min="25" max="25" width="3.3984375" style="40" customWidth="1"/>
    <col min="26" max="26" width="4.3984375" style="15" hidden="1" customWidth="1"/>
    <col min="27" max="27" width="24.8984375" style="1" customWidth="1"/>
    <col min="28" max="28" width="5.796875" customWidth="1"/>
    <col min="29" max="29" width="5.296875" style="461" customWidth="1"/>
    <col min="30" max="30" width="10.19921875" customWidth="1"/>
  </cols>
  <sheetData>
    <row r="1" spans="1:29" s="6" customFormat="1" ht="17.25" x14ac:dyDescent="0.3">
      <c r="B1" s="8"/>
      <c r="C1" s="8"/>
      <c r="D1" s="8"/>
      <c r="E1" s="1199" t="s">
        <v>29</v>
      </c>
      <c r="F1" s="1199"/>
      <c r="G1" s="1199"/>
      <c r="H1" s="1199"/>
      <c r="I1" s="1199"/>
      <c r="J1" s="1199"/>
      <c r="K1" s="1199"/>
      <c r="L1" s="1199"/>
      <c r="M1" s="1199"/>
      <c r="N1" s="1199"/>
      <c r="O1" s="1199"/>
      <c r="P1" s="1199"/>
      <c r="Q1" s="1199"/>
      <c r="R1" s="1199"/>
      <c r="S1" s="1199"/>
      <c r="T1" s="1199"/>
      <c r="U1" s="1199"/>
      <c r="V1" s="1199"/>
      <c r="W1" s="1199"/>
      <c r="X1" s="1199"/>
      <c r="Y1" s="1199"/>
      <c r="Z1" s="1199"/>
      <c r="AA1" s="1199"/>
    </row>
    <row r="2" spans="1:29" s="6" customFormat="1" ht="17.25" hidden="1" x14ac:dyDescent="0.3">
      <c r="B2" s="8"/>
      <c r="C2" s="8"/>
      <c r="D2" s="8"/>
      <c r="E2" s="1199" t="s">
        <v>105</v>
      </c>
      <c r="F2" s="1199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9"/>
      <c r="W2" s="1199"/>
      <c r="X2" s="1199"/>
      <c r="Y2" s="1199"/>
      <c r="Z2" s="1199"/>
      <c r="AA2" s="1199"/>
    </row>
    <row r="3" spans="1:29" s="6" customFormat="1" ht="15.75" x14ac:dyDescent="0.25">
      <c r="B3" s="10"/>
      <c r="C3" s="10"/>
      <c r="D3" s="10"/>
      <c r="E3" s="1200" t="s">
        <v>456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0"/>
      <c r="R3" s="1200"/>
      <c r="S3" s="1200"/>
      <c r="T3" s="1200"/>
      <c r="U3" s="1200"/>
      <c r="V3" s="1200"/>
      <c r="W3" s="1200"/>
      <c r="X3" s="1200"/>
      <c r="Y3" s="1200"/>
      <c r="Z3" s="1200"/>
      <c r="AA3" s="1200"/>
    </row>
    <row r="4" spans="1:29" s="6" customFormat="1" ht="15.75" hidden="1" x14ac:dyDescent="0.25">
      <c r="B4" s="11"/>
      <c r="C4" s="11"/>
      <c r="D4" s="11"/>
      <c r="E4" s="1201" t="s">
        <v>32</v>
      </c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1"/>
      <c r="U4" s="1201"/>
      <c r="V4" s="1201"/>
      <c r="W4" s="1201"/>
      <c r="X4" s="1201"/>
      <c r="Y4" s="1201"/>
      <c r="Z4" s="1201"/>
      <c r="AA4" s="1201"/>
    </row>
    <row r="5" spans="1:29" s="6" customFormat="1" ht="15.75" customHeight="1" x14ac:dyDescent="0.25">
      <c r="B5" s="10"/>
      <c r="C5" s="10"/>
      <c r="D5" s="10"/>
      <c r="E5" s="1234" t="s">
        <v>457</v>
      </c>
      <c r="F5" s="1234"/>
      <c r="G5" s="1234"/>
      <c r="H5" s="1234"/>
      <c r="I5" s="1234"/>
      <c r="J5" s="1234"/>
      <c r="K5" s="1234"/>
      <c r="L5" s="1234"/>
      <c r="M5" s="1234"/>
      <c r="N5" s="1234"/>
      <c r="O5" s="1234"/>
      <c r="P5" s="1234"/>
      <c r="Q5" s="1234"/>
      <c r="R5" s="1234"/>
      <c r="S5" s="1234"/>
      <c r="T5" s="1234"/>
      <c r="U5" s="1234"/>
      <c r="V5" s="1234"/>
      <c r="W5" s="1234"/>
      <c r="X5" s="1234"/>
      <c r="Y5" s="1234"/>
      <c r="Z5" s="1234"/>
      <c r="AA5" s="1234"/>
    </row>
    <row r="6" spans="1:29" ht="8.25" customHeight="1" thickBot="1" x14ac:dyDescent="0.3">
      <c r="A6" s="2"/>
      <c r="B6" s="2"/>
      <c r="C6" s="2"/>
      <c r="D6" s="2"/>
      <c r="E6" s="2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38"/>
      <c r="T6" s="19"/>
      <c r="U6" s="19"/>
      <c r="V6" s="19"/>
      <c r="W6" s="2"/>
      <c r="X6" s="2"/>
      <c r="Y6" s="38"/>
      <c r="Z6" s="2"/>
      <c r="AA6" s="240"/>
      <c r="AB6" s="112"/>
    </row>
    <row r="7" spans="1:29" s="6" customFormat="1" ht="18.75" customHeight="1" thickTop="1" x14ac:dyDescent="0.2">
      <c r="A7" s="1203" t="s">
        <v>91</v>
      </c>
      <c r="B7" s="1205" t="s">
        <v>106</v>
      </c>
      <c r="C7" s="1206"/>
      <c r="D7" s="1209" t="s">
        <v>92</v>
      </c>
      <c r="E7" s="1205" t="s">
        <v>93</v>
      </c>
      <c r="F7" s="1175" t="s">
        <v>452</v>
      </c>
      <c r="G7" s="1176"/>
      <c r="H7" s="1176"/>
      <c r="I7" s="1176"/>
      <c r="J7" s="1176"/>
      <c r="K7" s="1176"/>
      <c r="L7" s="1176"/>
      <c r="M7" s="1176"/>
      <c r="N7" s="1176"/>
      <c r="O7" s="1176"/>
      <c r="P7" s="1176"/>
      <c r="Q7" s="1176"/>
      <c r="R7" s="1176"/>
      <c r="S7" s="1222" t="s">
        <v>102</v>
      </c>
      <c r="T7" s="1175" t="s">
        <v>104</v>
      </c>
      <c r="U7" s="1176"/>
      <c r="V7" s="1176"/>
      <c r="W7" s="1178"/>
      <c r="X7" s="1215" t="s">
        <v>99</v>
      </c>
      <c r="Y7" s="1239" t="s">
        <v>100</v>
      </c>
      <c r="Z7" s="1240" t="s">
        <v>103</v>
      </c>
      <c r="AA7" s="1219" t="s">
        <v>90</v>
      </c>
      <c r="AB7" s="6">
        <v>18</v>
      </c>
    </row>
    <row r="8" spans="1:29" s="6" customFormat="1" ht="146.25" customHeight="1" x14ac:dyDescent="0.2">
      <c r="A8" s="1204"/>
      <c r="B8" s="1235"/>
      <c r="C8" s="1236"/>
      <c r="D8" s="1237"/>
      <c r="E8" s="1237"/>
      <c r="F8" s="37" t="s">
        <v>330</v>
      </c>
      <c r="G8" s="52" t="s">
        <v>96</v>
      </c>
      <c r="H8" s="136" t="s">
        <v>446</v>
      </c>
      <c r="I8" s="228" t="s">
        <v>107</v>
      </c>
      <c r="J8" s="217" t="s">
        <v>289</v>
      </c>
      <c r="K8" s="228" t="s">
        <v>129</v>
      </c>
      <c r="L8" s="137" t="s">
        <v>448</v>
      </c>
      <c r="M8" s="137" t="s">
        <v>290</v>
      </c>
      <c r="N8" s="137" t="s">
        <v>291</v>
      </c>
      <c r="O8" s="137" t="s">
        <v>447</v>
      </c>
      <c r="P8" s="217" t="s">
        <v>449</v>
      </c>
      <c r="Q8" s="228" t="s">
        <v>450</v>
      </c>
      <c r="R8" s="228" t="s">
        <v>292</v>
      </c>
      <c r="S8" s="1223"/>
      <c r="T8" s="228" t="s">
        <v>108</v>
      </c>
      <c r="U8" s="228" t="s">
        <v>97</v>
      </c>
      <c r="V8" s="228" t="s">
        <v>96</v>
      </c>
      <c r="W8" s="50" t="s">
        <v>98</v>
      </c>
      <c r="X8" s="1227"/>
      <c r="Y8" s="1229"/>
      <c r="Z8" s="1231"/>
      <c r="AA8" s="1232"/>
      <c r="AB8" s="6" t="s">
        <v>94</v>
      </c>
    </row>
    <row r="9" spans="1:29" s="351" customFormat="1" ht="18" customHeight="1" x14ac:dyDescent="0.2">
      <c r="A9" s="533">
        <v>1</v>
      </c>
      <c r="B9" s="245" t="s">
        <v>1914</v>
      </c>
      <c r="C9" s="246">
        <v>2022</v>
      </c>
      <c r="D9" s="264" t="s">
        <v>832</v>
      </c>
      <c r="E9" s="265" t="s">
        <v>833</v>
      </c>
      <c r="F9" s="266">
        <v>8</v>
      </c>
      <c r="G9" s="266">
        <v>7</v>
      </c>
      <c r="H9" s="267">
        <v>7.5</v>
      </c>
      <c r="I9" s="267">
        <v>8</v>
      </c>
      <c r="J9" s="242">
        <v>8</v>
      </c>
      <c r="K9" s="266">
        <v>8</v>
      </c>
      <c r="L9" s="266">
        <v>8</v>
      </c>
      <c r="M9" s="266">
        <v>7</v>
      </c>
      <c r="N9" s="266">
        <v>7.5</v>
      </c>
      <c r="O9" s="268">
        <v>7.5</v>
      </c>
      <c r="P9" s="268">
        <v>5.5</v>
      </c>
      <c r="Q9" s="268">
        <v>7</v>
      </c>
      <c r="R9" s="242">
        <v>7.5</v>
      </c>
      <c r="S9" s="243">
        <f>SUM(F9:R9)/13</f>
        <v>7.4230769230769234</v>
      </c>
      <c r="T9" s="528"/>
      <c r="U9" s="528"/>
      <c r="V9" s="528"/>
      <c r="W9" s="286">
        <f t="shared" ref="W9:W39" si="0">SUM(T9:V9)/3</f>
        <v>0</v>
      </c>
      <c r="X9" s="286">
        <f t="shared" ref="X9:X39" si="1">SUM(S9+W9)/2</f>
        <v>3.7115384615384617</v>
      </c>
      <c r="Y9" s="252" t="s">
        <v>101</v>
      </c>
      <c r="Z9" s="271"/>
      <c r="AA9" s="272" t="s">
        <v>190</v>
      </c>
      <c r="AB9" s="374"/>
      <c r="AC9" s="357">
        <f t="shared" ref="AC9:AC41" si="2">AVERAGE(F9:R9)</f>
        <v>7.4230769230769234</v>
      </c>
    </row>
    <row r="10" spans="1:29" s="256" customFormat="1" ht="18" customHeight="1" x14ac:dyDescent="0.2">
      <c r="A10" s="287">
        <v>2</v>
      </c>
      <c r="B10" s="245" t="s">
        <v>1915</v>
      </c>
      <c r="C10" s="246">
        <v>2022</v>
      </c>
      <c r="D10" s="269" t="s">
        <v>834</v>
      </c>
      <c r="E10" s="270" t="s">
        <v>287</v>
      </c>
      <c r="F10" s="242">
        <v>8</v>
      </c>
      <c r="G10" s="242">
        <v>8</v>
      </c>
      <c r="H10" s="242">
        <v>8</v>
      </c>
      <c r="I10" s="242">
        <v>8</v>
      </c>
      <c r="J10" s="242">
        <v>7</v>
      </c>
      <c r="K10" s="242">
        <v>8</v>
      </c>
      <c r="L10" s="242">
        <v>8</v>
      </c>
      <c r="M10" s="242">
        <v>8</v>
      </c>
      <c r="N10" s="242">
        <v>8</v>
      </c>
      <c r="O10" s="242">
        <v>8</v>
      </c>
      <c r="P10" s="242">
        <v>8</v>
      </c>
      <c r="Q10" s="242">
        <v>8</v>
      </c>
      <c r="R10" s="242">
        <v>8</v>
      </c>
      <c r="S10" s="243">
        <f t="shared" ref="S10:S41" si="3">SUM(F10:R10)/13</f>
        <v>7.9230769230769234</v>
      </c>
      <c r="T10" s="242"/>
      <c r="U10" s="242"/>
      <c r="V10" s="242"/>
      <c r="W10" s="277">
        <f t="shared" si="0"/>
        <v>0</v>
      </c>
      <c r="X10" s="277">
        <f t="shared" si="1"/>
        <v>3.9615384615384617</v>
      </c>
      <c r="Y10" s="252" t="s">
        <v>101</v>
      </c>
      <c r="Z10" s="273"/>
      <c r="AA10" s="274" t="s">
        <v>882</v>
      </c>
      <c r="AB10" s="374"/>
      <c r="AC10" s="357">
        <f t="shared" si="2"/>
        <v>7.9230769230769234</v>
      </c>
    </row>
    <row r="11" spans="1:29" s="256" customFormat="1" ht="18" customHeight="1" x14ac:dyDescent="0.2">
      <c r="A11" s="287">
        <v>3</v>
      </c>
      <c r="B11" s="245" t="s">
        <v>1916</v>
      </c>
      <c r="C11" s="246">
        <v>2022</v>
      </c>
      <c r="D11" s="269" t="s">
        <v>835</v>
      </c>
      <c r="E11" s="270" t="s">
        <v>836</v>
      </c>
      <c r="F11" s="242">
        <v>8</v>
      </c>
      <c r="G11" s="242">
        <v>8.5</v>
      </c>
      <c r="H11" s="242">
        <v>8</v>
      </c>
      <c r="I11" s="242">
        <v>8</v>
      </c>
      <c r="J11" s="242">
        <v>8</v>
      </c>
      <c r="K11" s="242">
        <v>8</v>
      </c>
      <c r="L11" s="242">
        <v>8</v>
      </c>
      <c r="M11" s="242">
        <v>7</v>
      </c>
      <c r="N11" s="242">
        <v>8</v>
      </c>
      <c r="O11" s="242">
        <v>8</v>
      </c>
      <c r="P11" s="242">
        <v>7.5</v>
      </c>
      <c r="Q11" s="242">
        <v>8</v>
      </c>
      <c r="R11" s="242">
        <v>8</v>
      </c>
      <c r="S11" s="243">
        <f t="shared" si="3"/>
        <v>7.9230769230769234</v>
      </c>
      <c r="T11" s="242"/>
      <c r="U11" s="242"/>
      <c r="V11" s="529"/>
      <c r="W11" s="277">
        <f t="shared" si="0"/>
        <v>0</v>
      </c>
      <c r="X11" s="277">
        <f t="shared" si="1"/>
        <v>3.9615384615384617</v>
      </c>
      <c r="Y11" s="252" t="s">
        <v>101</v>
      </c>
      <c r="Z11" s="273"/>
      <c r="AA11" s="274" t="s">
        <v>18</v>
      </c>
      <c r="AB11" s="374"/>
      <c r="AC11" s="357">
        <f t="shared" si="2"/>
        <v>7.9230769230769234</v>
      </c>
    </row>
    <row r="12" spans="1:29" s="256" customFormat="1" ht="18" customHeight="1" x14ac:dyDescent="0.2">
      <c r="A12" s="287">
        <v>4</v>
      </c>
      <c r="B12" s="245" t="s">
        <v>1917</v>
      </c>
      <c r="C12" s="246">
        <v>2022</v>
      </c>
      <c r="D12" s="269" t="s">
        <v>837</v>
      </c>
      <c r="E12" s="270" t="s">
        <v>806</v>
      </c>
      <c r="F12" s="242">
        <v>7</v>
      </c>
      <c r="G12" s="242">
        <v>6.5</v>
      </c>
      <c r="H12" s="242">
        <v>6</v>
      </c>
      <c r="I12" s="242">
        <v>8</v>
      </c>
      <c r="J12" s="242">
        <v>8</v>
      </c>
      <c r="K12" s="242">
        <v>5</v>
      </c>
      <c r="L12" s="242">
        <v>7</v>
      </c>
      <c r="M12" s="242">
        <v>7.5</v>
      </c>
      <c r="N12" s="242">
        <v>7.5</v>
      </c>
      <c r="O12" s="242">
        <v>7.5</v>
      </c>
      <c r="P12" s="242">
        <v>7</v>
      </c>
      <c r="Q12" s="242">
        <v>7</v>
      </c>
      <c r="R12" s="242">
        <v>7.5</v>
      </c>
      <c r="S12" s="243">
        <f t="shared" si="3"/>
        <v>7.0384615384615383</v>
      </c>
      <c r="T12" s="242"/>
      <c r="U12" s="242"/>
      <c r="V12" s="242"/>
      <c r="W12" s="277">
        <f t="shared" si="0"/>
        <v>0</v>
      </c>
      <c r="X12" s="277">
        <f t="shared" si="1"/>
        <v>3.5192307692307692</v>
      </c>
      <c r="Y12" s="252" t="s">
        <v>101</v>
      </c>
      <c r="Z12" s="273"/>
      <c r="AA12" s="274" t="s">
        <v>186</v>
      </c>
      <c r="AB12" s="374"/>
      <c r="AC12" s="357">
        <f t="shared" si="2"/>
        <v>7.0384615384615383</v>
      </c>
    </row>
    <row r="13" spans="1:29" s="256" customFormat="1" ht="18" customHeight="1" x14ac:dyDescent="0.2">
      <c r="A13" s="287">
        <v>5</v>
      </c>
      <c r="B13" s="245" t="s">
        <v>1918</v>
      </c>
      <c r="C13" s="246">
        <v>2022</v>
      </c>
      <c r="D13" s="269" t="s">
        <v>838</v>
      </c>
      <c r="E13" s="270" t="s">
        <v>724</v>
      </c>
      <c r="F13" s="242">
        <v>6.6</v>
      </c>
      <c r="G13" s="242">
        <v>8</v>
      </c>
      <c r="H13" s="242">
        <v>6.5</v>
      </c>
      <c r="I13" s="242">
        <v>8</v>
      </c>
      <c r="J13" s="242">
        <v>8</v>
      </c>
      <c r="K13" s="242">
        <v>7</v>
      </c>
      <c r="L13" s="242">
        <v>7.5</v>
      </c>
      <c r="M13" s="242">
        <v>7</v>
      </c>
      <c r="N13" s="242">
        <v>7.5</v>
      </c>
      <c r="O13" s="242">
        <v>6.5</v>
      </c>
      <c r="P13" s="242">
        <v>6</v>
      </c>
      <c r="Q13" s="242">
        <v>6.5</v>
      </c>
      <c r="R13" s="242">
        <v>7.5</v>
      </c>
      <c r="S13" s="243">
        <f t="shared" si="3"/>
        <v>7.1230769230769226</v>
      </c>
      <c r="T13" s="242"/>
      <c r="U13" s="242"/>
      <c r="V13" s="242"/>
      <c r="W13" s="277">
        <f t="shared" si="0"/>
        <v>0</v>
      </c>
      <c r="X13" s="277">
        <f t="shared" si="1"/>
        <v>3.5615384615384613</v>
      </c>
      <c r="Y13" s="252" t="s">
        <v>101</v>
      </c>
      <c r="Z13" s="273"/>
      <c r="AA13" s="274" t="s">
        <v>185</v>
      </c>
      <c r="AB13" s="374"/>
      <c r="AC13" s="357">
        <f t="shared" si="2"/>
        <v>7.1230769230769226</v>
      </c>
    </row>
    <row r="14" spans="1:29" s="256" customFormat="1" ht="18" customHeight="1" x14ac:dyDescent="0.2">
      <c r="A14" s="287">
        <v>6</v>
      </c>
      <c r="B14" s="245" t="s">
        <v>1919</v>
      </c>
      <c r="C14" s="246">
        <v>2022</v>
      </c>
      <c r="D14" s="269" t="s">
        <v>839</v>
      </c>
      <c r="E14" s="270" t="s">
        <v>602</v>
      </c>
      <c r="F14" s="242">
        <v>7</v>
      </c>
      <c r="G14" s="242">
        <v>7</v>
      </c>
      <c r="H14" s="242">
        <v>7</v>
      </c>
      <c r="I14" s="242">
        <v>7</v>
      </c>
      <c r="J14" s="242">
        <v>7</v>
      </c>
      <c r="K14" s="242">
        <v>7</v>
      </c>
      <c r="L14" s="242">
        <v>7</v>
      </c>
      <c r="M14" s="242">
        <v>7</v>
      </c>
      <c r="N14" s="242">
        <v>6.5</v>
      </c>
      <c r="O14" s="242">
        <v>6.5</v>
      </c>
      <c r="P14" s="242">
        <v>6</v>
      </c>
      <c r="Q14" s="242">
        <v>6.5</v>
      </c>
      <c r="R14" s="242">
        <v>8</v>
      </c>
      <c r="S14" s="243">
        <f t="shared" si="3"/>
        <v>6.884615384615385</v>
      </c>
      <c r="T14" s="242"/>
      <c r="U14" s="242"/>
      <c r="V14" s="242"/>
      <c r="W14" s="277">
        <f t="shared" si="0"/>
        <v>0</v>
      </c>
      <c r="X14" s="277">
        <f t="shared" si="1"/>
        <v>3.4423076923076925</v>
      </c>
      <c r="Y14" s="252" t="s">
        <v>95</v>
      </c>
      <c r="Z14" s="273"/>
      <c r="AA14" s="274" t="s">
        <v>182</v>
      </c>
      <c r="AB14" s="374"/>
      <c r="AC14" s="628">
        <f t="shared" si="2"/>
        <v>6.884615384615385</v>
      </c>
    </row>
    <row r="15" spans="1:29" s="256" customFormat="1" ht="18" customHeight="1" x14ac:dyDescent="0.2">
      <c r="A15" s="287">
        <v>7</v>
      </c>
      <c r="B15" s="245" t="s">
        <v>1920</v>
      </c>
      <c r="C15" s="246">
        <v>2022</v>
      </c>
      <c r="D15" s="269" t="s">
        <v>879</v>
      </c>
      <c r="E15" s="270" t="s">
        <v>840</v>
      </c>
      <c r="F15" s="242">
        <v>7.9</v>
      </c>
      <c r="G15" s="242">
        <v>7.5</v>
      </c>
      <c r="H15" s="242">
        <v>7.5</v>
      </c>
      <c r="I15" s="242">
        <v>7</v>
      </c>
      <c r="J15" s="242">
        <v>8</v>
      </c>
      <c r="K15" s="242">
        <v>7</v>
      </c>
      <c r="L15" s="242">
        <v>7.5</v>
      </c>
      <c r="M15" s="242">
        <v>6.5</v>
      </c>
      <c r="N15" s="242">
        <v>7.5</v>
      </c>
      <c r="O15" s="242">
        <v>7.5</v>
      </c>
      <c r="P15" s="242">
        <v>7.5</v>
      </c>
      <c r="Q15" s="242">
        <v>7.5</v>
      </c>
      <c r="R15" s="242">
        <v>7.5</v>
      </c>
      <c r="S15" s="243">
        <f t="shared" si="3"/>
        <v>7.4153846153846157</v>
      </c>
      <c r="T15" s="242"/>
      <c r="U15" s="242"/>
      <c r="V15" s="242"/>
      <c r="W15" s="277">
        <f t="shared" si="0"/>
        <v>0</v>
      </c>
      <c r="X15" s="277">
        <f t="shared" si="1"/>
        <v>3.7076923076923078</v>
      </c>
      <c r="Y15" s="252" t="s">
        <v>101</v>
      </c>
      <c r="Z15" s="273"/>
      <c r="AA15" s="274" t="s">
        <v>883</v>
      </c>
      <c r="AB15" s="374"/>
      <c r="AC15" s="357">
        <f t="shared" si="2"/>
        <v>7.4153846153846157</v>
      </c>
    </row>
    <row r="16" spans="1:29" s="256" customFormat="1" ht="18" customHeight="1" x14ac:dyDescent="0.2">
      <c r="A16" s="287">
        <v>8</v>
      </c>
      <c r="B16" s="245" t="s">
        <v>1921</v>
      </c>
      <c r="C16" s="246">
        <v>2022</v>
      </c>
      <c r="D16" s="269" t="s">
        <v>841</v>
      </c>
      <c r="E16" s="270" t="s">
        <v>842</v>
      </c>
      <c r="F16" s="242">
        <v>7</v>
      </c>
      <c r="G16" s="242">
        <v>7.5</v>
      </c>
      <c r="H16" s="242">
        <v>7</v>
      </c>
      <c r="I16" s="242">
        <v>6</v>
      </c>
      <c r="J16" s="242">
        <v>6</v>
      </c>
      <c r="K16" s="242">
        <v>7</v>
      </c>
      <c r="L16" s="242">
        <v>6.5</v>
      </c>
      <c r="M16" s="242">
        <v>7.5</v>
      </c>
      <c r="N16" s="242">
        <v>6.5</v>
      </c>
      <c r="O16" s="242">
        <v>7.5</v>
      </c>
      <c r="P16" s="242">
        <v>6.5</v>
      </c>
      <c r="Q16" s="242">
        <v>7</v>
      </c>
      <c r="R16" s="242">
        <v>6.5</v>
      </c>
      <c r="S16" s="243">
        <f t="shared" si="3"/>
        <v>6.8076923076923075</v>
      </c>
      <c r="T16" s="242"/>
      <c r="U16" s="242"/>
      <c r="V16" s="242"/>
      <c r="W16" s="277">
        <f t="shared" si="0"/>
        <v>0</v>
      </c>
      <c r="X16" s="277">
        <f t="shared" si="1"/>
        <v>3.4038461538461537</v>
      </c>
      <c r="Y16" s="252" t="s">
        <v>101</v>
      </c>
      <c r="Z16" s="273"/>
      <c r="AA16" s="274" t="s">
        <v>215</v>
      </c>
      <c r="AB16" s="374"/>
      <c r="AC16" s="628">
        <f t="shared" si="2"/>
        <v>6.8076923076923075</v>
      </c>
    </row>
    <row r="17" spans="1:30" s="256" customFormat="1" ht="18" customHeight="1" x14ac:dyDescent="0.2">
      <c r="A17" s="287">
        <v>9</v>
      </c>
      <c r="B17" s="245" t="s">
        <v>1922</v>
      </c>
      <c r="C17" s="246">
        <v>2022</v>
      </c>
      <c r="D17" s="269" t="s">
        <v>843</v>
      </c>
      <c r="E17" s="270" t="s">
        <v>844</v>
      </c>
      <c r="F17" s="242">
        <v>7</v>
      </c>
      <c r="G17" s="242">
        <v>7</v>
      </c>
      <c r="H17" s="242">
        <v>7</v>
      </c>
      <c r="I17" s="242">
        <v>8</v>
      </c>
      <c r="J17" s="242">
        <v>8</v>
      </c>
      <c r="K17" s="242">
        <v>7</v>
      </c>
      <c r="L17" s="242">
        <v>8</v>
      </c>
      <c r="M17" s="242">
        <v>8</v>
      </c>
      <c r="N17" s="242">
        <v>6.5</v>
      </c>
      <c r="O17" s="242">
        <v>7.5</v>
      </c>
      <c r="P17" s="242">
        <v>7.5</v>
      </c>
      <c r="Q17" s="242">
        <v>7.5</v>
      </c>
      <c r="R17" s="242">
        <v>7.5</v>
      </c>
      <c r="S17" s="243">
        <f t="shared" si="3"/>
        <v>7.4230769230769234</v>
      </c>
      <c r="T17" s="242"/>
      <c r="U17" s="242"/>
      <c r="V17" s="242"/>
      <c r="W17" s="277">
        <f t="shared" si="0"/>
        <v>0</v>
      </c>
      <c r="X17" s="277">
        <f t="shared" si="1"/>
        <v>3.7115384615384617</v>
      </c>
      <c r="Y17" s="252" t="s">
        <v>101</v>
      </c>
      <c r="Z17" s="273"/>
      <c r="AA17" s="274" t="s">
        <v>186</v>
      </c>
      <c r="AB17" s="374"/>
      <c r="AC17" s="357">
        <f t="shared" si="2"/>
        <v>7.4230769230769234</v>
      </c>
    </row>
    <row r="18" spans="1:30" s="256" customFormat="1" ht="18" customHeight="1" x14ac:dyDescent="0.2">
      <c r="A18" s="287">
        <v>10</v>
      </c>
      <c r="B18" s="245" t="s">
        <v>1923</v>
      </c>
      <c r="C18" s="246">
        <v>2022</v>
      </c>
      <c r="D18" s="269" t="s">
        <v>845</v>
      </c>
      <c r="E18" s="270" t="s">
        <v>616</v>
      </c>
      <c r="F18" s="242">
        <v>7.5</v>
      </c>
      <c r="G18" s="242">
        <v>7</v>
      </c>
      <c r="H18" s="242">
        <v>6.5</v>
      </c>
      <c r="I18" s="242">
        <v>8</v>
      </c>
      <c r="J18" s="242">
        <v>7</v>
      </c>
      <c r="K18" s="242">
        <v>5</v>
      </c>
      <c r="L18" s="242">
        <v>7.5</v>
      </c>
      <c r="M18" s="242">
        <v>7.5</v>
      </c>
      <c r="N18" s="242">
        <v>7.5</v>
      </c>
      <c r="O18" s="242">
        <v>7</v>
      </c>
      <c r="P18" s="242">
        <v>7</v>
      </c>
      <c r="Q18" s="242">
        <v>7</v>
      </c>
      <c r="R18" s="242">
        <v>6.5</v>
      </c>
      <c r="S18" s="243">
        <f t="shared" si="3"/>
        <v>7</v>
      </c>
      <c r="T18" s="242"/>
      <c r="U18" s="242"/>
      <c r="V18" s="242"/>
      <c r="W18" s="277">
        <f>SUM(T18:V18)/3</f>
        <v>0</v>
      </c>
      <c r="X18" s="277">
        <f>SUM(S18+W18)/2</f>
        <v>3.5</v>
      </c>
      <c r="Y18" s="252" t="s">
        <v>95</v>
      </c>
      <c r="Z18" s="273"/>
      <c r="AA18" s="274" t="s">
        <v>193</v>
      </c>
      <c r="AB18" s="374"/>
      <c r="AC18" s="357">
        <f t="shared" si="2"/>
        <v>7</v>
      </c>
    </row>
    <row r="19" spans="1:30" s="256" customFormat="1" ht="18" customHeight="1" x14ac:dyDescent="0.2">
      <c r="A19" s="287">
        <v>11</v>
      </c>
      <c r="B19" s="245" t="s">
        <v>1924</v>
      </c>
      <c r="C19" s="246">
        <v>2022</v>
      </c>
      <c r="D19" s="269" t="s">
        <v>846</v>
      </c>
      <c r="E19" s="270" t="s">
        <v>655</v>
      </c>
      <c r="F19" s="242">
        <v>7</v>
      </c>
      <c r="G19" s="242">
        <v>7</v>
      </c>
      <c r="H19" s="242">
        <v>7.5</v>
      </c>
      <c r="I19" s="242">
        <v>7</v>
      </c>
      <c r="J19" s="242">
        <v>7</v>
      </c>
      <c r="K19" s="242">
        <v>8</v>
      </c>
      <c r="L19" s="242">
        <v>7.5</v>
      </c>
      <c r="M19" s="242">
        <v>7</v>
      </c>
      <c r="N19" s="242">
        <v>7.5</v>
      </c>
      <c r="O19" s="242">
        <v>7</v>
      </c>
      <c r="P19" s="242">
        <v>6</v>
      </c>
      <c r="Q19" s="242">
        <v>7</v>
      </c>
      <c r="R19" s="242">
        <v>6.5</v>
      </c>
      <c r="S19" s="243">
        <f t="shared" si="3"/>
        <v>7.0769230769230766</v>
      </c>
      <c r="T19" s="242"/>
      <c r="U19" s="242"/>
      <c r="V19" s="242"/>
      <c r="W19" s="277">
        <f t="shared" si="0"/>
        <v>0</v>
      </c>
      <c r="X19" s="277">
        <f t="shared" si="1"/>
        <v>3.5384615384615383</v>
      </c>
      <c r="Y19" s="252" t="s">
        <v>95</v>
      </c>
      <c r="Z19" s="273"/>
      <c r="AA19" s="274" t="s">
        <v>141</v>
      </c>
      <c r="AB19" s="374"/>
      <c r="AC19" s="357">
        <f t="shared" si="2"/>
        <v>7.0769230769230766</v>
      </c>
      <c r="AD19" s="256" t="s">
        <v>130</v>
      </c>
    </row>
    <row r="20" spans="1:30" s="256" customFormat="1" ht="18" customHeight="1" x14ac:dyDescent="0.2">
      <c r="A20" s="287">
        <v>12</v>
      </c>
      <c r="B20" s="245" t="s">
        <v>1925</v>
      </c>
      <c r="C20" s="246">
        <v>2022</v>
      </c>
      <c r="D20" s="269" t="s">
        <v>847</v>
      </c>
      <c r="E20" s="270" t="s">
        <v>848</v>
      </c>
      <c r="F20" s="242">
        <v>7.6</v>
      </c>
      <c r="G20" s="242">
        <v>7.5</v>
      </c>
      <c r="H20" s="242">
        <v>7.5</v>
      </c>
      <c r="I20" s="242">
        <v>7</v>
      </c>
      <c r="J20" s="242">
        <v>7</v>
      </c>
      <c r="K20" s="242">
        <v>7</v>
      </c>
      <c r="L20" s="242">
        <v>7</v>
      </c>
      <c r="M20" s="242">
        <v>7</v>
      </c>
      <c r="N20" s="242">
        <v>7.5</v>
      </c>
      <c r="O20" s="242">
        <v>7.5</v>
      </c>
      <c r="P20" s="242">
        <v>7</v>
      </c>
      <c r="Q20" s="242">
        <v>7</v>
      </c>
      <c r="R20" s="242">
        <v>7.5</v>
      </c>
      <c r="S20" s="243">
        <f t="shared" si="3"/>
        <v>7.2384615384615376</v>
      </c>
      <c r="T20" s="242"/>
      <c r="U20" s="242"/>
      <c r="V20" s="242"/>
      <c r="W20" s="277">
        <f t="shared" si="0"/>
        <v>0</v>
      </c>
      <c r="X20" s="277">
        <f t="shared" si="1"/>
        <v>3.6192307692307688</v>
      </c>
      <c r="Y20" s="252" t="s">
        <v>101</v>
      </c>
      <c r="Z20" s="273"/>
      <c r="AA20" s="274" t="s">
        <v>191</v>
      </c>
      <c r="AB20" s="374"/>
      <c r="AC20" s="357">
        <f t="shared" si="2"/>
        <v>7.2384615384615376</v>
      </c>
    </row>
    <row r="21" spans="1:30" s="256" customFormat="1" ht="18" customHeight="1" x14ac:dyDescent="0.2">
      <c r="A21" s="287">
        <v>13</v>
      </c>
      <c r="B21" s="245" t="s">
        <v>1926</v>
      </c>
      <c r="C21" s="246">
        <v>2022</v>
      </c>
      <c r="D21" s="269" t="s">
        <v>849</v>
      </c>
      <c r="E21" s="270" t="s">
        <v>850</v>
      </c>
      <c r="F21" s="242">
        <v>7</v>
      </c>
      <c r="G21" s="242">
        <v>7</v>
      </c>
      <c r="H21" s="242">
        <v>7.5</v>
      </c>
      <c r="I21" s="242">
        <v>7</v>
      </c>
      <c r="J21" s="242">
        <v>7</v>
      </c>
      <c r="K21" s="242">
        <v>8</v>
      </c>
      <c r="L21" s="242">
        <v>7.5</v>
      </c>
      <c r="M21" s="242">
        <v>6.5</v>
      </c>
      <c r="N21" s="242">
        <v>7.5</v>
      </c>
      <c r="O21" s="242">
        <v>7</v>
      </c>
      <c r="P21" s="242">
        <v>7</v>
      </c>
      <c r="Q21" s="242">
        <v>7</v>
      </c>
      <c r="R21" s="242">
        <v>7.5</v>
      </c>
      <c r="S21" s="243">
        <f t="shared" si="3"/>
        <v>7.1923076923076925</v>
      </c>
      <c r="T21" s="242"/>
      <c r="U21" s="242"/>
      <c r="V21" s="242"/>
      <c r="W21" s="277">
        <f t="shared" si="0"/>
        <v>0</v>
      </c>
      <c r="X21" s="277">
        <f t="shared" si="1"/>
        <v>3.5961538461538463</v>
      </c>
      <c r="Y21" s="252" t="s">
        <v>101</v>
      </c>
      <c r="Z21" s="273"/>
      <c r="AA21" s="274" t="s">
        <v>12</v>
      </c>
      <c r="AB21" s="374"/>
      <c r="AC21" s="357">
        <f t="shared" si="2"/>
        <v>7.1923076923076925</v>
      </c>
    </row>
    <row r="22" spans="1:30" s="256" customFormat="1" ht="18" customHeight="1" x14ac:dyDescent="0.2">
      <c r="A22" s="287">
        <v>14</v>
      </c>
      <c r="B22" s="245" t="s">
        <v>1927</v>
      </c>
      <c r="C22" s="246">
        <v>2022</v>
      </c>
      <c r="D22" s="269" t="s">
        <v>851</v>
      </c>
      <c r="E22" s="270" t="s">
        <v>852</v>
      </c>
      <c r="F22" s="242">
        <v>7.5</v>
      </c>
      <c r="G22" s="242">
        <v>6.5</v>
      </c>
      <c r="H22" s="242">
        <v>7</v>
      </c>
      <c r="I22" s="242">
        <v>7</v>
      </c>
      <c r="J22" s="242">
        <v>6</v>
      </c>
      <c r="K22" s="242">
        <v>8</v>
      </c>
      <c r="L22" s="242">
        <v>6.5</v>
      </c>
      <c r="M22" s="242">
        <v>7.5</v>
      </c>
      <c r="N22" s="242">
        <v>6.5</v>
      </c>
      <c r="O22" s="242">
        <v>7.5</v>
      </c>
      <c r="P22" s="242">
        <v>7.5</v>
      </c>
      <c r="Q22" s="242">
        <v>7</v>
      </c>
      <c r="R22" s="242">
        <v>6.5</v>
      </c>
      <c r="S22" s="243">
        <f t="shared" si="3"/>
        <v>7</v>
      </c>
      <c r="T22" s="242"/>
      <c r="U22" s="242"/>
      <c r="V22" s="242"/>
      <c r="W22" s="277">
        <f t="shared" si="0"/>
        <v>0</v>
      </c>
      <c r="X22" s="277">
        <f t="shared" si="1"/>
        <v>3.5</v>
      </c>
      <c r="Y22" s="252" t="s">
        <v>95</v>
      </c>
      <c r="Z22" s="273"/>
      <c r="AA22" s="274" t="s">
        <v>182</v>
      </c>
      <c r="AB22" s="374"/>
      <c r="AC22" s="357">
        <f t="shared" si="2"/>
        <v>7</v>
      </c>
    </row>
    <row r="23" spans="1:30" s="256" customFormat="1" ht="18" customHeight="1" x14ac:dyDescent="0.2">
      <c r="A23" s="287">
        <v>15</v>
      </c>
      <c r="B23" s="245" t="s">
        <v>1928</v>
      </c>
      <c r="C23" s="246">
        <v>2022</v>
      </c>
      <c r="D23" s="269" t="s">
        <v>853</v>
      </c>
      <c r="E23" s="270" t="s">
        <v>854</v>
      </c>
      <c r="F23" s="242">
        <v>7</v>
      </c>
      <c r="G23" s="242">
        <v>7.5</v>
      </c>
      <c r="H23" s="242">
        <v>7.5</v>
      </c>
      <c r="I23" s="242">
        <v>7</v>
      </c>
      <c r="J23" s="242">
        <v>7</v>
      </c>
      <c r="K23" s="242">
        <v>8</v>
      </c>
      <c r="L23" s="242">
        <v>7</v>
      </c>
      <c r="M23" s="242">
        <v>7</v>
      </c>
      <c r="N23" s="242">
        <v>7</v>
      </c>
      <c r="O23" s="242">
        <v>7</v>
      </c>
      <c r="P23" s="242">
        <v>6</v>
      </c>
      <c r="Q23" s="242">
        <v>7</v>
      </c>
      <c r="R23" s="242">
        <v>7</v>
      </c>
      <c r="S23" s="243">
        <f t="shared" si="3"/>
        <v>7.0769230769230766</v>
      </c>
      <c r="T23" s="242"/>
      <c r="U23" s="242"/>
      <c r="V23" s="242"/>
      <c r="W23" s="277">
        <f t="shared" si="0"/>
        <v>0</v>
      </c>
      <c r="X23" s="277">
        <f t="shared" si="1"/>
        <v>3.5384615384615383</v>
      </c>
      <c r="Y23" s="252" t="s">
        <v>101</v>
      </c>
      <c r="Z23" s="273"/>
      <c r="AA23" s="274" t="s">
        <v>201</v>
      </c>
      <c r="AB23" s="374"/>
      <c r="AC23" s="357">
        <f t="shared" si="2"/>
        <v>7.0769230769230766</v>
      </c>
    </row>
    <row r="24" spans="1:30" s="256" customFormat="1" ht="18" customHeight="1" x14ac:dyDescent="0.2">
      <c r="A24" s="287">
        <v>16</v>
      </c>
      <c r="B24" s="245" t="s">
        <v>1929</v>
      </c>
      <c r="C24" s="246">
        <v>2022</v>
      </c>
      <c r="D24" s="269" t="s">
        <v>855</v>
      </c>
      <c r="E24" s="270" t="s">
        <v>856</v>
      </c>
      <c r="F24" s="242">
        <v>7.5</v>
      </c>
      <c r="G24" s="242">
        <v>7</v>
      </c>
      <c r="H24" s="242">
        <v>7.5</v>
      </c>
      <c r="I24" s="242">
        <v>6</v>
      </c>
      <c r="J24" s="242">
        <v>6</v>
      </c>
      <c r="K24" s="242">
        <v>7</v>
      </c>
      <c r="L24" s="242">
        <v>7.5</v>
      </c>
      <c r="M24" s="242">
        <v>7.5</v>
      </c>
      <c r="N24" s="242">
        <v>7.5</v>
      </c>
      <c r="O24" s="242">
        <v>7</v>
      </c>
      <c r="P24" s="242">
        <v>7</v>
      </c>
      <c r="Q24" s="242">
        <v>7</v>
      </c>
      <c r="R24" s="242">
        <v>7</v>
      </c>
      <c r="S24" s="243">
        <f t="shared" si="3"/>
        <v>7.0384615384615383</v>
      </c>
      <c r="T24" s="242"/>
      <c r="U24" s="242"/>
      <c r="V24" s="242"/>
      <c r="W24" s="277">
        <f t="shared" si="0"/>
        <v>0</v>
      </c>
      <c r="X24" s="277">
        <f t="shared" si="1"/>
        <v>3.5192307692307692</v>
      </c>
      <c r="Y24" s="252" t="s">
        <v>101</v>
      </c>
      <c r="Z24" s="273"/>
      <c r="AA24" s="274" t="s">
        <v>186</v>
      </c>
      <c r="AB24" s="374"/>
      <c r="AC24" s="357">
        <f t="shared" si="2"/>
        <v>7.0384615384615383</v>
      </c>
    </row>
    <row r="25" spans="1:30" s="256" customFormat="1" ht="18" customHeight="1" x14ac:dyDescent="0.2">
      <c r="A25" s="287">
        <v>17</v>
      </c>
      <c r="B25" s="245" t="s">
        <v>1930</v>
      </c>
      <c r="C25" s="246">
        <v>2022</v>
      </c>
      <c r="D25" s="269" t="s">
        <v>880</v>
      </c>
      <c r="E25" s="270" t="s">
        <v>264</v>
      </c>
      <c r="F25" s="242">
        <v>7</v>
      </c>
      <c r="G25" s="242">
        <v>7</v>
      </c>
      <c r="H25" s="242">
        <v>7</v>
      </c>
      <c r="I25" s="242">
        <v>7</v>
      </c>
      <c r="J25" s="242">
        <v>7</v>
      </c>
      <c r="K25" s="242">
        <v>8</v>
      </c>
      <c r="L25" s="242">
        <v>7</v>
      </c>
      <c r="M25" s="242">
        <v>7.5</v>
      </c>
      <c r="N25" s="242">
        <v>7.5</v>
      </c>
      <c r="O25" s="242">
        <v>7.5</v>
      </c>
      <c r="P25" s="242">
        <v>7</v>
      </c>
      <c r="Q25" s="242">
        <v>7</v>
      </c>
      <c r="R25" s="242">
        <v>7.5</v>
      </c>
      <c r="S25" s="243">
        <f t="shared" si="3"/>
        <v>7.2307692307692308</v>
      </c>
      <c r="T25" s="242"/>
      <c r="U25" s="242"/>
      <c r="V25" s="242"/>
      <c r="W25" s="277">
        <f t="shared" si="0"/>
        <v>0</v>
      </c>
      <c r="X25" s="277">
        <f t="shared" si="1"/>
        <v>3.6153846153846154</v>
      </c>
      <c r="Y25" s="252" t="s">
        <v>101</v>
      </c>
      <c r="Z25" s="273"/>
      <c r="AA25" s="274" t="s">
        <v>185</v>
      </c>
      <c r="AB25" s="374"/>
      <c r="AC25" s="357">
        <f t="shared" si="2"/>
        <v>7.2307692307692308</v>
      </c>
    </row>
    <row r="26" spans="1:30" s="256" customFormat="1" ht="18" customHeight="1" x14ac:dyDescent="0.2">
      <c r="A26" s="287">
        <v>18</v>
      </c>
      <c r="B26" s="245" t="s">
        <v>1931</v>
      </c>
      <c r="C26" s="246">
        <v>2022</v>
      </c>
      <c r="D26" s="269" t="s">
        <v>857</v>
      </c>
      <c r="E26" s="270" t="s">
        <v>264</v>
      </c>
      <c r="F26" s="242">
        <v>6.6</v>
      </c>
      <c r="G26" s="242">
        <v>7</v>
      </c>
      <c r="H26" s="242">
        <v>7</v>
      </c>
      <c r="I26" s="242">
        <v>8</v>
      </c>
      <c r="J26" s="242">
        <v>8</v>
      </c>
      <c r="K26" s="242">
        <v>8</v>
      </c>
      <c r="L26" s="242">
        <v>7</v>
      </c>
      <c r="M26" s="242">
        <v>7</v>
      </c>
      <c r="N26" s="242">
        <v>7.5</v>
      </c>
      <c r="O26" s="242">
        <v>7</v>
      </c>
      <c r="P26" s="242">
        <v>7</v>
      </c>
      <c r="Q26" s="242">
        <v>7</v>
      </c>
      <c r="R26" s="242">
        <v>6.5</v>
      </c>
      <c r="S26" s="243">
        <f t="shared" si="3"/>
        <v>7.1999999999999993</v>
      </c>
      <c r="T26" s="242"/>
      <c r="U26" s="242"/>
      <c r="V26" s="242"/>
      <c r="W26" s="277">
        <f t="shared" si="0"/>
        <v>0</v>
      </c>
      <c r="X26" s="277">
        <f t="shared" si="1"/>
        <v>3.5999999999999996</v>
      </c>
      <c r="Y26" s="252" t="s">
        <v>101</v>
      </c>
      <c r="Z26" s="273"/>
      <c r="AA26" s="274" t="s">
        <v>201</v>
      </c>
      <c r="AB26" s="374"/>
      <c r="AC26" s="357">
        <f t="shared" si="2"/>
        <v>7.1999999999999993</v>
      </c>
    </row>
    <row r="27" spans="1:30" s="256" customFormat="1" ht="18" customHeight="1" x14ac:dyDescent="0.2">
      <c r="A27" s="287">
        <v>19</v>
      </c>
      <c r="B27" s="245" t="s">
        <v>1932</v>
      </c>
      <c r="C27" s="246">
        <v>2022</v>
      </c>
      <c r="D27" s="269" t="s">
        <v>858</v>
      </c>
      <c r="E27" s="270" t="s">
        <v>544</v>
      </c>
      <c r="F27" s="242">
        <v>6.5</v>
      </c>
      <c r="G27" s="242">
        <v>7</v>
      </c>
      <c r="H27" s="242">
        <v>7.5</v>
      </c>
      <c r="I27" s="242">
        <v>7</v>
      </c>
      <c r="J27" s="242">
        <v>6</v>
      </c>
      <c r="K27" s="242">
        <v>5</v>
      </c>
      <c r="L27" s="242">
        <v>7.5</v>
      </c>
      <c r="M27" s="242">
        <v>6.5</v>
      </c>
      <c r="N27" s="242">
        <v>7.5</v>
      </c>
      <c r="O27" s="242">
        <v>7</v>
      </c>
      <c r="P27" s="242">
        <v>7.5</v>
      </c>
      <c r="Q27" s="242">
        <v>7</v>
      </c>
      <c r="R27" s="242">
        <v>7</v>
      </c>
      <c r="S27" s="243">
        <f t="shared" si="3"/>
        <v>6.8461538461538458</v>
      </c>
      <c r="T27" s="242"/>
      <c r="U27" s="242"/>
      <c r="V27" s="242"/>
      <c r="W27" s="277">
        <f t="shared" si="0"/>
        <v>0</v>
      </c>
      <c r="X27" s="277">
        <f t="shared" si="1"/>
        <v>3.4230769230769229</v>
      </c>
      <c r="Y27" s="252" t="s">
        <v>101</v>
      </c>
      <c r="Z27" s="273"/>
      <c r="AA27" s="274" t="s">
        <v>195</v>
      </c>
      <c r="AB27" s="374"/>
      <c r="AC27" s="628">
        <f t="shared" si="2"/>
        <v>6.8461538461538458</v>
      </c>
    </row>
    <row r="28" spans="1:30" s="256" customFormat="1" ht="18" customHeight="1" x14ac:dyDescent="0.2">
      <c r="A28" s="287">
        <v>20</v>
      </c>
      <c r="B28" s="245" t="s">
        <v>1933</v>
      </c>
      <c r="C28" s="246">
        <v>2022</v>
      </c>
      <c r="D28" s="269" t="s">
        <v>859</v>
      </c>
      <c r="E28" s="270" t="s">
        <v>860</v>
      </c>
      <c r="F28" s="242">
        <v>6.6</v>
      </c>
      <c r="G28" s="242">
        <v>7</v>
      </c>
      <c r="H28" s="242">
        <v>7</v>
      </c>
      <c r="I28" s="242">
        <v>7</v>
      </c>
      <c r="J28" s="242">
        <v>7</v>
      </c>
      <c r="K28" s="242">
        <v>7</v>
      </c>
      <c r="L28" s="242">
        <v>7</v>
      </c>
      <c r="M28" s="242">
        <v>7</v>
      </c>
      <c r="N28" s="242">
        <v>7.5</v>
      </c>
      <c r="O28" s="242">
        <v>7.5</v>
      </c>
      <c r="P28" s="242">
        <v>7</v>
      </c>
      <c r="Q28" s="242">
        <v>6.5</v>
      </c>
      <c r="R28" s="242">
        <v>7</v>
      </c>
      <c r="S28" s="243">
        <f t="shared" si="3"/>
        <v>7.0076923076923077</v>
      </c>
      <c r="T28" s="242"/>
      <c r="U28" s="242"/>
      <c r="V28" s="242"/>
      <c r="W28" s="277">
        <f t="shared" si="0"/>
        <v>0</v>
      </c>
      <c r="X28" s="277">
        <f t="shared" si="1"/>
        <v>3.5038461538461538</v>
      </c>
      <c r="Y28" s="252" t="s">
        <v>101</v>
      </c>
      <c r="Z28" s="273"/>
      <c r="AA28" s="274" t="s">
        <v>186</v>
      </c>
      <c r="AB28" s="374"/>
      <c r="AC28" s="357">
        <f t="shared" si="2"/>
        <v>7.0076923076923077</v>
      </c>
    </row>
    <row r="29" spans="1:30" s="256" customFormat="1" ht="18" customHeight="1" x14ac:dyDescent="0.2">
      <c r="A29" s="287">
        <v>21</v>
      </c>
      <c r="B29" s="245" t="s">
        <v>1934</v>
      </c>
      <c r="C29" s="246">
        <v>2022</v>
      </c>
      <c r="D29" s="269" t="s">
        <v>861</v>
      </c>
      <c r="E29" s="611" t="s">
        <v>1947</v>
      </c>
      <c r="F29" s="242">
        <v>7.9</v>
      </c>
      <c r="G29" s="242">
        <v>7.5</v>
      </c>
      <c r="H29" s="242">
        <v>8</v>
      </c>
      <c r="I29" s="242">
        <v>6</v>
      </c>
      <c r="J29" s="242">
        <v>6</v>
      </c>
      <c r="K29" s="242">
        <v>8</v>
      </c>
      <c r="L29" s="242">
        <v>7</v>
      </c>
      <c r="M29" s="242">
        <v>7.5</v>
      </c>
      <c r="N29" s="242">
        <v>7</v>
      </c>
      <c r="O29" s="242">
        <v>7.5</v>
      </c>
      <c r="P29" s="242">
        <v>7</v>
      </c>
      <c r="Q29" s="242">
        <v>7</v>
      </c>
      <c r="R29" s="242">
        <v>7</v>
      </c>
      <c r="S29" s="243">
        <f t="shared" si="3"/>
        <v>7.1846153846153848</v>
      </c>
      <c r="T29" s="242"/>
      <c r="U29" s="242"/>
      <c r="V29" s="242"/>
      <c r="W29" s="277">
        <f t="shared" si="0"/>
        <v>0</v>
      </c>
      <c r="X29" s="277">
        <f t="shared" si="1"/>
        <v>3.5923076923076924</v>
      </c>
      <c r="Y29" s="252" t="s">
        <v>101</v>
      </c>
      <c r="Z29" s="273"/>
      <c r="AA29" s="274" t="s">
        <v>182</v>
      </c>
      <c r="AB29" s="374"/>
      <c r="AC29" s="357">
        <f t="shared" si="2"/>
        <v>7.1846153846153848</v>
      </c>
    </row>
    <row r="30" spans="1:30" s="256" customFormat="1" ht="18" customHeight="1" x14ac:dyDescent="0.2">
      <c r="A30" s="287">
        <v>22</v>
      </c>
      <c r="B30" s="245" t="s">
        <v>1935</v>
      </c>
      <c r="C30" s="246">
        <v>2022</v>
      </c>
      <c r="D30" s="269" t="s">
        <v>862</v>
      </c>
      <c r="E30" s="270" t="s">
        <v>863</v>
      </c>
      <c r="F30" s="242">
        <v>7</v>
      </c>
      <c r="G30" s="242">
        <v>7</v>
      </c>
      <c r="H30" s="242">
        <v>7</v>
      </c>
      <c r="I30" s="242">
        <v>7</v>
      </c>
      <c r="J30" s="242">
        <v>7</v>
      </c>
      <c r="K30" s="242">
        <v>8</v>
      </c>
      <c r="L30" s="242">
        <v>7.5</v>
      </c>
      <c r="M30" s="242">
        <v>7</v>
      </c>
      <c r="N30" s="242">
        <v>7.5</v>
      </c>
      <c r="O30" s="242">
        <v>7.5</v>
      </c>
      <c r="P30" s="242">
        <v>6.5</v>
      </c>
      <c r="Q30" s="242">
        <v>7</v>
      </c>
      <c r="R30" s="242">
        <v>7.5</v>
      </c>
      <c r="S30" s="243">
        <f t="shared" si="3"/>
        <v>7.1923076923076925</v>
      </c>
      <c r="T30" s="242"/>
      <c r="U30" s="242"/>
      <c r="V30" s="242"/>
      <c r="W30" s="277">
        <f t="shared" si="0"/>
        <v>0</v>
      </c>
      <c r="X30" s="277">
        <f t="shared" si="1"/>
        <v>3.5961538461538463</v>
      </c>
      <c r="Y30" s="252" t="s">
        <v>101</v>
      </c>
      <c r="Z30" s="273"/>
      <c r="AA30" s="274" t="s">
        <v>186</v>
      </c>
      <c r="AB30" s="374"/>
      <c r="AC30" s="357">
        <f t="shared" si="2"/>
        <v>7.1923076923076925</v>
      </c>
    </row>
    <row r="31" spans="1:30" s="256" customFormat="1" ht="18" customHeight="1" x14ac:dyDescent="0.2">
      <c r="A31" s="287">
        <v>23</v>
      </c>
      <c r="B31" s="245" t="s">
        <v>1936</v>
      </c>
      <c r="C31" s="246">
        <v>2022</v>
      </c>
      <c r="D31" s="269" t="s">
        <v>864</v>
      </c>
      <c r="E31" s="270" t="s">
        <v>865</v>
      </c>
      <c r="F31" s="242">
        <v>7</v>
      </c>
      <c r="G31" s="242">
        <v>7.5</v>
      </c>
      <c r="H31" s="242">
        <v>7</v>
      </c>
      <c r="I31" s="242">
        <v>7</v>
      </c>
      <c r="J31" s="242">
        <v>6</v>
      </c>
      <c r="K31" s="242">
        <v>8</v>
      </c>
      <c r="L31" s="242">
        <v>6.5</v>
      </c>
      <c r="M31" s="242">
        <v>6.5</v>
      </c>
      <c r="N31" s="242">
        <v>7.5</v>
      </c>
      <c r="O31" s="242">
        <v>6.5</v>
      </c>
      <c r="P31" s="242">
        <v>7</v>
      </c>
      <c r="Q31" s="242">
        <v>7</v>
      </c>
      <c r="R31" s="242">
        <v>7</v>
      </c>
      <c r="S31" s="243">
        <f t="shared" si="3"/>
        <v>6.9615384615384617</v>
      </c>
      <c r="T31" s="242"/>
      <c r="U31" s="242"/>
      <c r="V31" s="242"/>
      <c r="W31" s="277">
        <f t="shared" si="0"/>
        <v>0</v>
      </c>
      <c r="X31" s="277">
        <f t="shared" si="1"/>
        <v>3.4807692307692308</v>
      </c>
      <c r="Y31" s="252" t="s">
        <v>101</v>
      </c>
      <c r="Z31" s="273"/>
      <c r="AA31" s="274" t="s">
        <v>12</v>
      </c>
      <c r="AB31" s="374"/>
      <c r="AC31" s="628">
        <f t="shared" si="2"/>
        <v>6.9615384615384617</v>
      </c>
    </row>
    <row r="32" spans="1:30" s="256" customFormat="1" ht="18" customHeight="1" x14ac:dyDescent="0.2">
      <c r="A32" s="287">
        <v>24</v>
      </c>
      <c r="B32" s="245" t="s">
        <v>1937</v>
      </c>
      <c r="C32" s="246">
        <v>2022</v>
      </c>
      <c r="D32" s="269" t="s">
        <v>866</v>
      </c>
      <c r="E32" s="270" t="s">
        <v>867</v>
      </c>
      <c r="F32" s="242">
        <v>7.8</v>
      </c>
      <c r="G32" s="242">
        <v>7</v>
      </c>
      <c r="H32" s="242">
        <v>7</v>
      </c>
      <c r="I32" s="242">
        <v>7</v>
      </c>
      <c r="J32" s="242">
        <v>7</v>
      </c>
      <c r="K32" s="242">
        <v>8</v>
      </c>
      <c r="L32" s="242">
        <v>7.5</v>
      </c>
      <c r="M32" s="242">
        <v>8</v>
      </c>
      <c r="N32" s="242">
        <v>6.5</v>
      </c>
      <c r="O32" s="242">
        <v>7</v>
      </c>
      <c r="P32" s="242">
        <v>7</v>
      </c>
      <c r="Q32" s="242">
        <v>7.5</v>
      </c>
      <c r="R32" s="242">
        <v>7.5</v>
      </c>
      <c r="S32" s="243">
        <f t="shared" si="3"/>
        <v>7.2923076923076922</v>
      </c>
      <c r="T32" s="242"/>
      <c r="U32" s="242"/>
      <c r="V32" s="242"/>
      <c r="W32" s="277">
        <f t="shared" si="0"/>
        <v>0</v>
      </c>
      <c r="X32" s="277">
        <f t="shared" si="1"/>
        <v>3.6461538461538461</v>
      </c>
      <c r="Y32" s="252" t="s">
        <v>101</v>
      </c>
      <c r="Z32" s="273"/>
      <c r="AA32" s="274" t="s">
        <v>193</v>
      </c>
      <c r="AB32" s="374"/>
      <c r="AC32" s="357">
        <f t="shared" si="2"/>
        <v>7.2923076923076922</v>
      </c>
    </row>
    <row r="33" spans="1:29" s="256" customFormat="1" ht="18" customHeight="1" x14ac:dyDescent="0.2">
      <c r="A33" s="287">
        <v>25</v>
      </c>
      <c r="B33" s="245" t="s">
        <v>1938</v>
      </c>
      <c r="C33" s="246">
        <v>2022</v>
      </c>
      <c r="D33" s="269" t="s">
        <v>881</v>
      </c>
      <c r="E33" s="270" t="s">
        <v>679</v>
      </c>
      <c r="F33" s="242">
        <v>7.6</v>
      </c>
      <c r="G33" s="242">
        <v>7</v>
      </c>
      <c r="H33" s="242">
        <v>7.5</v>
      </c>
      <c r="I33" s="242">
        <v>6</v>
      </c>
      <c r="J33" s="242">
        <v>6</v>
      </c>
      <c r="K33" s="609">
        <v>4</v>
      </c>
      <c r="L33" s="242">
        <v>7</v>
      </c>
      <c r="M33" s="242">
        <v>7</v>
      </c>
      <c r="N33" s="242">
        <v>7.5</v>
      </c>
      <c r="O33" s="242">
        <v>7.5</v>
      </c>
      <c r="P33" s="242">
        <v>7</v>
      </c>
      <c r="Q33" s="242">
        <v>6</v>
      </c>
      <c r="R33" s="242">
        <v>7.5</v>
      </c>
      <c r="S33" s="243">
        <f t="shared" si="3"/>
        <v>6.7384615384615376</v>
      </c>
      <c r="T33" s="242"/>
      <c r="U33" s="242"/>
      <c r="V33" s="242"/>
      <c r="W33" s="277">
        <f t="shared" si="0"/>
        <v>0</v>
      </c>
      <c r="X33" s="277">
        <f t="shared" si="1"/>
        <v>3.3692307692307688</v>
      </c>
      <c r="Y33" s="252" t="s">
        <v>101</v>
      </c>
      <c r="Z33" s="273"/>
      <c r="AA33" s="274" t="s">
        <v>186</v>
      </c>
      <c r="AB33" s="374"/>
      <c r="AC33" s="628">
        <f t="shared" si="2"/>
        <v>6.7384615384615376</v>
      </c>
    </row>
    <row r="34" spans="1:29" s="256" customFormat="1" ht="18" customHeight="1" x14ac:dyDescent="0.2">
      <c r="A34" s="287">
        <v>26</v>
      </c>
      <c r="B34" s="245" t="s">
        <v>1939</v>
      </c>
      <c r="C34" s="246">
        <v>2022</v>
      </c>
      <c r="D34" s="269" t="s">
        <v>136</v>
      </c>
      <c r="E34" s="270" t="s">
        <v>689</v>
      </c>
      <c r="F34" s="242">
        <v>7</v>
      </c>
      <c r="G34" s="242">
        <v>7.5</v>
      </c>
      <c r="H34" s="242">
        <v>7.5</v>
      </c>
      <c r="I34" s="242">
        <v>7</v>
      </c>
      <c r="J34" s="242">
        <v>7</v>
      </c>
      <c r="K34" s="609">
        <v>4</v>
      </c>
      <c r="L34" s="242">
        <v>6</v>
      </c>
      <c r="M34" s="242">
        <v>7</v>
      </c>
      <c r="N34" s="242">
        <v>7.5</v>
      </c>
      <c r="O34" s="242">
        <v>7</v>
      </c>
      <c r="P34" s="242">
        <v>7</v>
      </c>
      <c r="Q34" s="242">
        <v>7</v>
      </c>
      <c r="R34" s="242">
        <v>7.5</v>
      </c>
      <c r="S34" s="243">
        <f t="shared" si="3"/>
        <v>6.8461538461538458</v>
      </c>
      <c r="T34" s="242"/>
      <c r="U34" s="242"/>
      <c r="V34" s="242"/>
      <c r="W34" s="277">
        <f t="shared" si="0"/>
        <v>0</v>
      </c>
      <c r="X34" s="277">
        <f t="shared" si="1"/>
        <v>3.4230769230769229</v>
      </c>
      <c r="Y34" s="252" t="s">
        <v>101</v>
      </c>
      <c r="Z34" s="273"/>
      <c r="AA34" s="274" t="s">
        <v>186</v>
      </c>
      <c r="AB34" s="374"/>
      <c r="AC34" s="628">
        <f t="shared" si="2"/>
        <v>6.8461538461538458</v>
      </c>
    </row>
    <row r="35" spans="1:29" s="256" customFormat="1" ht="18" customHeight="1" x14ac:dyDescent="0.2">
      <c r="A35" s="287">
        <v>27</v>
      </c>
      <c r="B35" s="245" t="s">
        <v>1940</v>
      </c>
      <c r="C35" s="246">
        <v>2022</v>
      </c>
      <c r="D35" s="269" t="s">
        <v>868</v>
      </c>
      <c r="E35" s="270" t="s">
        <v>869</v>
      </c>
      <c r="F35" s="242">
        <v>7</v>
      </c>
      <c r="G35" s="242">
        <v>7</v>
      </c>
      <c r="H35" s="242">
        <v>7</v>
      </c>
      <c r="I35" s="242">
        <v>7</v>
      </c>
      <c r="J35" s="242">
        <v>7</v>
      </c>
      <c r="K35" s="609">
        <v>4</v>
      </c>
      <c r="L35" s="242">
        <v>7.5</v>
      </c>
      <c r="M35" s="242">
        <v>6.5</v>
      </c>
      <c r="N35" s="242">
        <v>7</v>
      </c>
      <c r="O35" s="242">
        <v>7</v>
      </c>
      <c r="P35" s="242">
        <v>7</v>
      </c>
      <c r="Q35" s="242">
        <v>7</v>
      </c>
      <c r="R35" s="242">
        <v>7</v>
      </c>
      <c r="S35" s="243">
        <f t="shared" si="3"/>
        <v>6.7692307692307692</v>
      </c>
      <c r="T35" s="242"/>
      <c r="U35" s="242"/>
      <c r="V35" s="242"/>
      <c r="W35" s="277">
        <f t="shared" si="0"/>
        <v>0</v>
      </c>
      <c r="X35" s="277">
        <f t="shared" si="1"/>
        <v>3.3846153846153846</v>
      </c>
      <c r="Y35" s="252" t="s">
        <v>101</v>
      </c>
      <c r="Z35" s="273"/>
      <c r="AA35" s="274" t="s">
        <v>186</v>
      </c>
      <c r="AB35" s="374"/>
      <c r="AC35" s="628">
        <f t="shared" si="2"/>
        <v>6.7692307692307692</v>
      </c>
    </row>
    <row r="36" spans="1:29" s="256" customFormat="1" ht="18" customHeight="1" x14ac:dyDescent="0.2">
      <c r="A36" s="287">
        <v>28</v>
      </c>
      <c r="B36" s="245" t="s">
        <v>1941</v>
      </c>
      <c r="C36" s="246">
        <v>2022</v>
      </c>
      <c r="D36" s="269" t="s">
        <v>870</v>
      </c>
      <c r="E36" s="270" t="s">
        <v>871</v>
      </c>
      <c r="F36" s="242">
        <v>7.5</v>
      </c>
      <c r="G36" s="242">
        <v>7.5</v>
      </c>
      <c r="H36" s="242">
        <v>6.5</v>
      </c>
      <c r="I36" s="242">
        <v>7</v>
      </c>
      <c r="J36" s="242">
        <v>7</v>
      </c>
      <c r="K36" s="242">
        <v>8</v>
      </c>
      <c r="L36" s="242">
        <v>7</v>
      </c>
      <c r="M36" s="242">
        <v>7.5</v>
      </c>
      <c r="N36" s="242">
        <v>7.5</v>
      </c>
      <c r="O36" s="242">
        <v>7</v>
      </c>
      <c r="P36" s="242">
        <v>7</v>
      </c>
      <c r="Q36" s="242">
        <v>7</v>
      </c>
      <c r="R36" s="242">
        <v>7.5</v>
      </c>
      <c r="S36" s="243">
        <f t="shared" si="3"/>
        <v>7.2307692307692308</v>
      </c>
      <c r="T36" s="242"/>
      <c r="U36" s="242"/>
      <c r="V36" s="242"/>
      <c r="W36" s="277">
        <f t="shared" si="0"/>
        <v>0</v>
      </c>
      <c r="X36" s="277">
        <f t="shared" si="1"/>
        <v>3.6153846153846154</v>
      </c>
      <c r="Y36" s="252" t="s">
        <v>101</v>
      </c>
      <c r="Z36" s="273"/>
      <c r="AA36" s="274" t="s">
        <v>190</v>
      </c>
      <c r="AB36" s="374"/>
      <c r="AC36" s="357">
        <f t="shared" si="2"/>
        <v>7.2307692307692308</v>
      </c>
    </row>
    <row r="37" spans="1:29" s="256" customFormat="1" ht="18" customHeight="1" x14ac:dyDescent="0.2">
      <c r="A37" s="287">
        <v>29</v>
      </c>
      <c r="B37" s="245" t="s">
        <v>1942</v>
      </c>
      <c r="C37" s="246">
        <v>2022</v>
      </c>
      <c r="D37" s="269" t="s">
        <v>872</v>
      </c>
      <c r="E37" s="270" t="s">
        <v>503</v>
      </c>
      <c r="F37" s="242">
        <v>7</v>
      </c>
      <c r="G37" s="242">
        <v>6.5</v>
      </c>
      <c r="H37" s="242">
        <v>7.5</v>
      </c>
      <c r="I37" s="242">
        <v>6</v>
      </c>
      <c r="J37" s="242">
        <v>7</v>
      </c>
      <c r="K37" s="242">
        <v>8</v>
      </c>
      <c r="L37" s="242">
        <v>7</v>
      </c>
      <c r="M37" s="242">
        <v>7.5</v>
      </c>
      <c r="N37" s="242">
        <v>7.5</v>
      </c>
      <c r="O37" s="242">
        <v>7.5</v>
      </c>
      <c r="P37" s="242">
        <v>7</v>
      </c>
      <c r="Q37" s="242">
        <v>5</v>
      </c>
      <c r="R37" s="242">
        <v>7.5</v>
      </c>
      <c r="S37" s="243">
        <f t="shared" si="3"/>
        <v>7</v>
      </c>
      <c r="T37" s="242"/>
      <c r="U37" s="242"/>
      <c r="V37" s="242"/>
      <c r="W37" s="277">
        <f t="shared" si="0"/>
        <v>0</v>
      </c>
      <c r="X37" s="277">
        <f t="shared" si="1"/>
        <v>3.5</v>
      </c>
      <c r="Y37" s="252" t="s">
        <v>101</v>
      </c>
      <c r="Z37" s="273"/>
      <c r="AA37" s="274" t="s">
        <v>215</v>
      </c>
      <c r="AB37" s="374"/>
      <c r="AC37" s="357">
        <f t="shared" si="2"/>
        <v>7</v>
      </c>
    </row>
    <row r="38" spans="1:29" s="256" customFormat="1" ht="18" customHeight="1" x14ac:dyDescent="0.2">
      <c r="A38" s="287">
        <v>30</v>
      </c>
      <c r="B38" s="245" t="s">
        <v>1943</v>
      </c>
      <c r="C38" s="246">
        <v>2022</v>
      </c>
      <c r="D38" s="269" t="s">
        <v>873</v>
      </c>
      <c r="E38" s="270" t="s">
        <v>874</v>
      </c>
      <c r="F38" s="242">
        <v>7</v>
      </c>
      <c r="G38" s="242">
        <v>7</v>
      </c>
      <c r="H38" s="242">
        <v>7</v>
      </c>
      <c r="I38" s="242">
        <v>6</v>
      </c>
      <c r="J38" s="242">
        <v>5</v>
      </c>
      <c r="K38" s="242">
        <v>8</v>
      </c>
      <c r="L38" s="242">
        <v>7.5</v>
      </c>
      <c r="M38" s="242">
        <v>7</v>
      </c>
      <c r="N38" s="242">
        <v>7.5</v>
      </c>
      <c r="O38" s="242">
        <v>7.5</v>
      </c>
      <c r="P38" s="242">
        <v>7.5</v>
      </c>
      <c r="Q38" s="242">
        <v>7</v>
      </c>
      <c r="R38" s="242">
        <v>7</v>
      </c>
      <c r="S38" s="243">
        <f t="shared" si="3"/>
        <v>7</v>
      </c>
      <c r="T38" s="242"/>
      <c r="U38" s="242"/>
      <c r="V38" s="242"/>
      <c r="W38" s="277">
        <f t="shared" si="0"/>
        <v>0</v>
      </c>
      <c r="X38" s="277">
        <f t="shared" si="1"/>
        <v>3.5</v>
      </c>
      <c r="Y38" s="252" t="s">
        <v>101</v>
      </c>
      <c r="Z38" s="273"/>
      <c r="AA38" s="274" t="s">
        <v>884</v>
      </c>
      <c r="AB38" s="374"/>
      <c r="AC38" s="357">
        <f t="shared" si="2"/>
        <v>7</v>
      </c>
    </row>
    <row r="39" spans="1:29" s="256" customFormat="1" ht="18" customHeight="1" x14ac:dyDescent="0.2">
      <c r="A39" s="287">
        <v>31</v>
      </c>
      <c r="B39" s="245" t="s">
        <v>1944</v>
      </c>
      <c r="C39" s="246">
        <v>2022</v>
      </c>
      <c r="D39" s="269" t="s">
        <v>875</v>
      </c>
      <c r="E39" s="270" t="s">
        <v>243</v>
      </c>
      <c r="F39" s="242">
        <v>8</v>
      </c>
      <c r="G39" s="242">
        <v>8.5</v>
      </c>
      <c r="H39" s="242">
        <v>8</v>
      </c>
      <c r="I39" s="242">
        <v>8</v>
      </c>
      <c r="J39" s="242">
        <v>8</v>
      </c>
      <c r="K39" s="242">
        <v>8</v>
      </c>
      <c r="L39" s="242">
        <v>8</v>
      </c>
      <c r="M39" s="242">
        <v>8</v>
      </c>
      <c r="N39" s="242">
        <v>8.5</v>
      </c>
      <c r="O39" s="242">
        <v>8</v>
      </c>
      <c r="P39" s="242">
        <v>7</v>
      </c>
      <c r="Q39" s="242">
        <v>8</v>
      </c>
      <c r="R39" s="242">
        <v>8</v>
      </c>
      <c r="S39" s="243">
        <f t="shared" si="3"/>
        <v>8</v>
      </c>
      <c r="T39" s="242"/>
      <c r="U39" s="242"/>
      <c r="V39" s="242"/>
      <c r="W39" s="277">
        <f t="shared" si="0"/>
        <v>0</v>
      </c>
      <c r="X39" s="277">
        <f t="shared" si="1"/>
        <v>4</v>
      </c>
      <c r="Y39" s="252" t="s">
        <v>101</v>
      </c>
      <c r="Z39" s="273"/>
      <c r="AA39" s="274" t="s">
        <v>186</v>
      </c>
      <c r="AB39" s="374"/>
      <c r="AC39" s="613">
        <f t="shared" si="2"/>
        <v>8</v>
      </c>
    </row>
    <row r="40" spans="1:29" s="256" customFormat="1" ht="18" customHeight="1" x14ac:dyDescent="0.2">
      <c r="A40" s="287">
        <v>32</v>
      </c>
      <c r="B40" s="245" t="s">
        <v>1945</v>
      </c>
      <c r="C40" s="246">
        <v>2022</v>
      </c>
      <c r="D40" s="269" t="s">
        <v>876</v>
      </c>
      <c r="E40" s="270" t="s">
        <v>877</v>
      </c>
      <c r="F40" s="242">
        <v>8</v>
      </c>
      <c r="G40" s="242">
        <v>6.5</v>
      </c>
      <c r="H40" s="242">
        <v>7</v>
      </c>
      <c r="I40" s="242">
        <v>7</v>
      </c>
      <c r="J40" s="242">
        <v>7</v>
      </c>
      <c r="K40" s="242">
        <v>7</v>
      </c>
      <c r="L40" s="242">
        <v>7</v>
      </c>
      <c r="M40" s="242">
        <v>7</v>
      </c>
      <c r="N40" s="242">
        <v>7</v>
      </c>
      <c r="O40" s="242">
        <v>7.5</v>
      </c>
      <c r="P40" s="242">
        <v>7</v>
      </c>
      <c r="Q40" s="242">
        <v>7</v>
      </c>
      <c r="R40" s="242">
        <v>7</v>
      </c>
      <c r="S40" s="243">
        <f t="shared" si="3"/>
        <v>7.0769230769230766</v>
      </c>
      <c r="T40" s="242"/>
      <c r="U40" s="242"/>
      <c r="V40" s="242"/>
      <c r="W40" s="277"/>
      <c r="X40" s="277"/>
      <c r="Y40" s="252" t="s">
        <v>101</v>
      </c>
      <c r="Z40" s="273"/>
      <c r="AA40" s="274" t="s">
        <v>186</v>
      </c>
      <c r="AB40" s="374"/>
      <c r="AC40" s="357">
        <f t="shared" si="2"/>
        <v>7.0769230769230766</v>
      </c>
    </row>
    <row r="41" spans="1:29" s="256" customFormat="1" ht="18" customHeight="1" x14ac:dyDescent="0.2">
      <c r="A41" s="287">
        <v>33</v>
      </c>
      <c r="B41" s="245" t="s">
        <v>1946</v>
      </c>
      <c r="C41" s="246">
        <v>2022</v>
      </c>
      <c r="D41" s="269" t="s">
        <v>878</v>
      </c>
      <c r="E41" s="270" t="s">
        <v>716</v>
      </c>
      <c r="F41" s="242">
        <v>6.5</v>
      </c>
      <c r="G41" s="242">
        <v>8</v>
      </c>
      <c r="H41" s="242">
        <v>7</v>
      </c>
      <c r="I41" s="242">
        <v>6</v>
      </c>
      <c r="J41" s="242">
        <v>6</v>
      </c>
      <c r="K41" s="242">
        <v>7</v>
      </c>
      <c r="L41" s="242">
        <v>7</v>
      </c>
      <c r="M41" s="242">
        <v>7</v>
      </c>
      <c r="N41" s="242">
        <v>7.5</v>
      </c>
      <c r="O41" s="242">
        <v>7.5</v>
      </c>
      <c r="P41" s="242">
        <v>7</v>
      </c>
      <c r="Q41" s="242">
        <v>7</v>
      </c>
      <c r="R41" s="242">
        <v>7.5</v>
      </c>
      <c r="S41" s="243">
        <f t="shared" si="3"/>
        <v>7</v>
      </c>
      <c r="T41" s="242"/>
      <c r="U41" s="242"/>
      <c r="V41" s="242"/>
      <c r="W41" s="277"/>
      <c r="X41" s="277"/>
      <c r="Y41" s="252" t="s">
        <v>101</v>
      </c>
      <c r="Z41" s="273"/>
      <c r="AA41" s="274" t="s">
        <v>191</v>
      </c>
      <c r="AB41" s="374"/>
      <c r="AC41" s="357">
        <f t="shared" si="2"/>
        <v>7</v>
      </c>
    </row>
    <row r="42" spans="1:29" s="3" customFormat="1" ht="15" customHeight="1" thickBot="1" x14ac:dyDescent="0.35">
      <c r="A42" s="202"/>
      <c r="B42" s="203"/>
      <c r="C42" s="204"/>
      <c r="D42" s="205"/>
      <c r="E42" s="204"/>
      <c r="F42" s="206"/>
      <c r="G42" s="206"/>
      <c r="H42" s="206"/>
      <c r="I42" s="206"/>
      <c r="J42" s="206"/>
      <c r="K42" s="206"/>
      <c r="L42" s="206"/>
      <c r="M42" s="206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8"/>
      <c r="AA42" s="209"/>
      <c r="AB42" s="158"/>
    </row>
    <row r="43" spans="1:29" s="3" customFormat="1" ht="19.5" thickTop="1" x14ac:dyDescent="0.3">
      <c r="A43" s="236"/>
      <c r="B43" s="157"/>
      <c r="C43" s="157"/>
      <c r="D43" s="158"/>
      <c r="E43" s="157"/>
      <c r="F43" s="157"/>
      <c r="G43" s="157"/>
      <c r="H43" s="157"/>
      <c r="I43" s="157"/>
      <c r="J43" s="157"/>
      <c r="K43" s="157"/>
      <c r="L43" s="157"/>
      <c r="M43" s="157"/>
      <c r="N43" s="12"/>
      <c r="O43" s="12"/>
      <c r="P43" s="12"/>
      <c r="Q43" s="12"/>
      <c r="R43" s="12"/>
      <c r="S43" s="1199"/>
      <c r="T43" s="1199"/>
      <c r="U43" s="1199"/>
      <c r="V43" s="20"/>
      <c r="W43" s="235"/>
      <c r="X43" s="235"/>
      <c r="Y43" s="235"/>
      <c r="Z43" s="14"/>
      <c r="AA43" s="235"/>
    </row>
    <row r="44" spans="1:29" s="3" customFormat="1" x14ac:dyDescent="0.3">
      <c r="A44" s="236"/>
      <c r="B44" s="236"/>
      <c r="C44" s="236"/>
      <c r="E44" s="236"/>
      <c r="F44" s="236"/>
      <c r="G44" s="236"/>
      <c r="H44" s="236"/>
      <c r="I44" s="236"/>
      <c r="J44" s="236"/>
      <c r="K44" s="236"/>
      <c r="L44" s="236"/>
      <c r="M44" s="236"/>
      <c r="N44" s="6"/>
      <c r="O44" s="6"/>
      <c r="P44" s="6"/>
      <c r="Q44" s="6"/>
      <c r="R44" s="6"/>
      <c r="S44" s="9"/>
      <c r="T44" s="21"/>
      <c r="U44" s="21"/>
      <c r="V44" s="20"/>
      <c r="W44" s="235"/>
      <c r="X44" s="235"/>
      <c r="Y44" s="235"/>
      <c r="Z44" s="14"/>
      <c r="AA44" s="235"/>
    </row>
    <row r="45" spans="1:29" s="3" customFormat="1" x14ac:dyDescent="0.3">
      <c r="A45" s="236"/>
      <c r="B45" s="236"/>
      <c r="C45" s="236"/>
      <c r="E45" s="236"/>
      <c r="F45" s="236"/>
      <c r="G45" s="236"/>
      <c r="H45" s="236"/>
      <c r="I45" s="236"/>
      <c r="J45" s="236"/>
      <c r="K45" s="236"/>
      <c r="L45" s="236"/>
      <c r="M45" s="236"/>
      <c r="N45" s="6"/>
      <c r="O45" s="6"/>
      <c r="P45" s="6"/>
      <c r="Q45" s="6"/>
      <c r="R45" s="6"/>
      <c r="S45" s="9"/>
      <c r="T45" s="21"/>
      <c r="U45" s="21"/>
      <c r="V45" s="20"/>
      <c r="W45" s="235"/>
      <c r="X45" s="235"/>
      <c r="Y45" s="235"/>
      <c r="Z45" s="14"/>
      <c r="AA45" s="235"/>
    </row>
    <row r="46" spans="1:29" s="3" customFormat="1" ht="18" x14ac:dyDescent="0.25">
      <c r="A46" s="236"/>
      <c r="B46" s="236"/>
      <c r="C46" s="236"/>
      <c r="E46" s="236"/>
      <c r="F46" s="236"/>
      <c r="G46" s="236"/>
      <c r="H46" s="236"/>
      <c r="I46" s="236"/>
      <c r="J46" s="236"/>
      <c r="K46" s="236"/>
      <c r="L46" s="236"/>
      <c r="M46" s="236"/>
      <c r="N46" s="1200"/>
      <c r="O46" s="1200"/>
      <c r="P46" s="1200"/>
      <c r="Q46" s="1200"/>
      <c r="R46" s="1200"/>
      <c r="S46" s="1200"/>
      <c r="T46" s="1200"/>
      <c r="U46" s="1200"/>
      <c r="V46" s="1200"/>
      <c r="W46" s="1200"/>
      <c r="X46" s="1200"/>
      <c r="Y46" s="1200"/>
      <c r="Z46" s="1200"/>
      <c r="AA46" s="1200"/>
    </row>
    <row r="47" spans="1:29" x14ac:dyDescent="0.3">
      <c r="A47" s="236"/>
      <c r="B47" s="236"/>
      <c r="C47" s="236"/>
      <c r="D47" s="3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T47" s="20"/>
      <c r="U47" s="20"/>
      <c r="V47" s="20"/>
      <c r="W47" s="236"/>
      <c r="X47" s="236"/>
      <c r="Y47" s="39"/>
      <c r="Z47" s="14"/>
      <c r="AA47" s="236"/>
    </row>
    <row r="48" spans="1:29" x14ac:dyDescent="0.3">
      <c r="A48" s="236"/>
      <c r="B48" s="236"/>
      <c r="C48" s="236"/>
      <c r="D48" s="3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T48" s="20"/>
      <c r="U48" s="20"/>
      <c r="V48" s="20"/>
      <c r="W48" s="236"/>
      <c r="X48" s="236"/>
      <c r="Y48" s="39"/>
      <c r="Z48" s="14"/>
      <c r="AA48" s="236"/>
    </row>
    <row r="49" spans="1:27" x14ac:dyDescent="0.3">
      <c r="A49" s="236"/>
      <c r="B49" s="236"/>
      <c r="C49" s="236"/>
      <c r="D49" s="3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T49" s="20"/>
      <c r="U49" s="20"/>
      <c r="V49" s="20"/>
      <c r="W49" s="236"/>
      <c r="X49" s="236"/>
      <c r="Y49" s="39"/>
      <c r="Z49" s="14"/>
      <c r="AA49" s="236"/>
    </row>
    <row r="50" spans="1:27" x14ac:dyDescent="0.3">
      <c r="A50" s="236"/>
      <c r="B50" s="236"/>
      <c r="C50" s="236"/>
      <c r="D50" s="3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T50" s="20"/>
      <c r="U50" s="20"/>
      <c r="V50" s="20"/>
      <c r="W50" s="236"/>
      <c r="X50" s="236"/>
      <c r="Y50" s="39"/>
      <c r="Z50" s="14"/>
      <c r="AA50" s="236"/>
    </row>
    <row r="51" spans="1:27" x14ac:dyDescent="0.3">
      <c r="A51" s="236"/>
      <c r="B51" s="236"/>
      <c r="C51" s="236"/>
      <c r="D51" s="3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T51" s="20"/>
      <c r="U51" s="20"/>
      <c r="V51" s="20"/>
      <c r="W51" s="236"/>
      <c r="X51" s="236"/>
      <c r="Y51" s="39"/>
      <c r="Z51" s="14"/>
      <c r="AA51" s="236"/>
    </row>
  </sheetData>
  <autoFilter ref="S7:AB42">
    <filterColumn colId="1" showButton="0"/>
    <filterColumn colId="2" showButton="0"/>
    <filterColumn colId="3" showButton="0"/>
  </autoFilter>
  <mergeCells count="18">
    <mergeCell ref="A7:A8"/>
    <mergeCell ref="B7:C8"/>
    <mergeCell ref="D7:D8"/>
    <mergeCell ref="E7:E8"/>
    <mergeCell ref="F7:R7"/>
    <mergeCell ref="E1:AA1"/>
    <mergeCell ref="E2:AA2"/>
    <mergeCell ref="E3:AA3"/>
    <mergeCell ref="E4:AA4"/>
    <mergeCell ref="E5:AA5"/>
    <mergeCell ref="S43:U43"/>
    <mergeCell ref="N46:AA46"/>
    <mergeCell ref="S7:S8"/>
    <mergeCell ref="T7:W7"/>
    <mergeCell ref="X7:X8"/>
    <mergeCell ref="Y7:Y8"/>
    <mergeCell ref="Z7:Z8"/>
    <mergeCell ref="AA7:AA8"/>
  </mergeCells>
  <printOptions horizontalCentered="1"/>
  <pageMargins left="0.63" right="0.16" top="0.27" bottom="0.27" header="0.2" footer="0.2"/>
  <pageSetup scale="98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H59"/>
  <sheetViews>
    <sheetView topLeftCell="A17" zoomScale="120" zoomScaleNormal="120" workbookViewId="0">
      <selection activeCell="K17" sqref="K17"/>
    </sheetView>
  </sheetViews>
  <sheetFormatPr defaultRowHeight="18.75" x14ac:dyDescent="0.3"/>
  <cols>
    <col min="1" max="1" width="3.796875" style="1" customWidth="1"/>
    <col min="2" max="3" width="4.296875" style="1" customWidth="1"/>
    <col min="4" max="4" width="13.09765625" customWidth="1"/>
    <col min="5" max="5" width="8.19921875" style="1" customWidth="1"/>
    <col min="6" max="17" width="2.69921875" style="1" customWidth="1"/>
    <col min="18" max="18" width="3.59765625" style="44" customWidth="1"/>
    <col min="19" max="21" width="2.19921875" style="22" hidden="1" customWidth="1"/>
    <col min="22" max="23" width="3.3984375" style="1" hidden="1" customWidth="1"/>
    <col min="24" max="24" width="4.69921875" style="1" customWidth="1"/>
    <col min="25" max="25" width="4.19921875" style="15" hidden="1" customWidth="1"/>
    <col min="26" max="26" width="23.8984375" style="1" customWidth="1"/>
    <col min="27" max="27" width="2.296875" customWidth="1"/>
    <col min="28" max="28" width="5" style="461" customWidth="1"/>
  </cols>
  <sheetData>
    <row r="1" spans="1:34" ht="7.5" customHeight="1" x14ac:dyDescent="0.3">
      <c r="R1" s="42"/>
    </row>
    <row r="2" spans="1:34" s="6" customFormat="1" ht="20.25" customHeight="1" x14ac:dyDescent="0.3">
      <c r="B2" s="8"/>
      <c r="C2" s="8"/>
      <c r="D2" s="8"/>
      <c r="E2" s="1199" t="s">
        <v>29</v>
      </c>
      <c r="F2" s="1199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9"/>
      <c r="W2" s="1199"/>
      <c r="X2" s="1199"/>
      <c r="Y2" s="1199"/>
      <c r="Z2" s="1199"/>
      <c r="AA2" s="8"/>
      <c r="AB2" s="8"/>
    </row>
    <row r="3" spans="1:34" s="6" customFormat="1" ht="15.75" x14ac:dyDescent="0.25">
      <c r="B3" s="10"/>
      <c r="C3" s="10"/>
      <c r="D3" s="10"/>
      <c r="E3" s="1200" t="s">
        <v>460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0"/>
      <c r="R3" s="1200"/>
      <c r="S3" s="1200"/>
      <c r="T3" s="1200"/>
      <c r="U3" s="1200"/>
      <c r="V3" s="1200"/>
      <c r="W3" s="1200"/>
      <c r="X3" s="1200"/>
      <c r="Y3" s="1200"/>
      <c r="Z3" s="1200"/>
    </row>
    <row r="4" spans="1:34" s="6" customFormat="1" ht="15.75" hidden="1" x14ac:dyDescent="0.25">
      <c r="B4" s="11"/>
      <c r="C4" s="11"/>
      <c r="D4" s="11"/>
      <c r="E4" s="1201" t="s">
        <v>34</v>
      </c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1"/>
      <c r="U4" s="1201"/>
      <c r="V4" s="1201"/>
      <c r="W4" s="1201"/>
      <c r="X4" s="1201"/>
      <c r="Y4" s="1201"/>
      <c r="Z4" s="1201"/>
    </row>
    <row r="5" spans="1:34" s="6" customFormat="1" ht="15.75" customHeight="1" x14ac:dyDescent="0.25">
      <c r="B5" s="10"/>
      <c r="C5" s="10"/>
      <c r="D5" s="10"/>
      <c r="E5" s="1202" t="s">
        <v>461</v>
      </c>
      <c r="F5" s="1202"/>
      <c r="G5" s="1202"/>
      <c r="H5" s="1202"/>
      <c r="I5" s="1202"/>
      <c r="J5" s="1202"/>
      <c r="K5" s="1202"/>
      <c r="L5" s="1202"/>
      <c r="M5" s="1202"/>
      <c r="N5" s="1202"/>
      <c r="O5" s="1202"/>
      <c r="P5" s="1202"/>
      <c r="Q5" s="1202"/>
      <c r="R5" s="1202"/>
      <c r="S5" s="1202"/>
      <c r="T5" s="1202"/>
      <c r="U5" s="1202"/>
      <c r="V5" s="1202"/>
      <c r="W5" s="1202"/>
      <c r="X5" s="1202"/>
      <c r="Y5" s="1202"/>
      <c r="Z5" s="1202"/>
      <c r="AA5" s="1202"/>
      <c r="AB5" s="1202"/>
      <c r="AC5" s="1202"/>
      <c r="AD5" s="1202"/>
      <c r="AE5" s="1202"/>
      <c r="AF5" s="1202"/>
      <c r="AG5" s="1202"/>
      <c r="AH5" s="1202"/>
    </row>
    <row r="6" spans="1:34" ht="12" customHeight="1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8"/>
      <c r="S6" s="19"/>
      <c r="T6" s="19"/>
      <c r="U6" s="19"/>
      <c r="V6" s="2"/>
      <c r="W6" s="2"/>
      <c r="X6" s="2"/>
      <c r="Y6" s="2"/>
      <c r="Z6" s="2"/>
    </row>
    <row r="7" spans="1:34" s="6" customFormat="1" ht="18" customHeight="1" thickTop="1" x14ac:dyDescent="0.2">
      <c r="A7" s="1248" t="s">
        <v>91</v>
      </c>
      <c r="B7" s="1250" t="s">
        <v>106</v>
      </c>
      <c r="C7" s="1251"/>
      <c r="D7" s="1254" t="s">
        <v>92</v>
      </c>
      <c r="E7" s="1254" t="s">
        <v>93</v>
      </c>
      <c r="F7" s="1241" t="s">
        <v>128</v>
      </c>
      <c r="G7" s="1242"/>
      <c r="H7" s="1242"/>
      <c r="I7" s="1242"/>
      <c r="J7" s="1242"/>
      <c r="K7" s="1242"/>
      <c r="L7" s="1242"/>
      <c r="M7" s="1242"/>
      <c r="N7" s="1242"/>
      <c r="O7" s="1242"/>
      <c r="P7" s="1242"/>
      <c r="Q7" s="668"/>
      <c r="R7" s="1222" t="s">
        <v>102</v>
      </c>
      <c r="S7" s="1241" t="s">
        <v>104</v>
      </c>
      <c r="T7" s="1242"/>
      <c r="U7" s="1242"/>
      <c r="V7" s="1243"/>
      <c r="W7" s="1239" t="s">
        <v>99</v>
      </c>
      <c r="X7" s="1239" t="s">
        <v>100</v>
      </c>
      <c r="Y7" s="1244" t="s">
        <v>103</v>
      </c>
      <c r="Z7" s="1246" t="s">
        <v>90</v>
      </c>
    </row>
    <row r="8" spans="1:34" s="6" customFormat="1" ht="122.25" customHeight="1" x14ac:dyDescent="0.2">
      <c r="A8" s="1249"/>
      <c r="B8" s="1252"/>
      <c r="C8" s="1253"/>
      <c r="D8" s="1255"/>
      <c r="E8" s="1255"/>
      <c r="F8" s="218" t="s">
        <v>96</v>
      </c>
      <c r="G8" s="218" t="s">
        <v>1796</v>
      </c>
      <c r="H8" s="218" t="s">
        <v>294</v>
      </c>
      <c r="I8" s="229" t="s">
        <v>5</v>
      </c>
      <c r="J8" s="229" t="s">
        <v>1795</v>
      </c>
      <c r="K8" s="37" t="s">
        <v>330</v>
      </c>
      <c r="L8" s="218" t="s">
        <v>16</v>
      </c>
      <c r="M8" s="629" t="s">
        <v>110</v>
      </c>
      <c r="N8" s="630" t="s">
        <v>116</v>
      </c>
      <c r="O8" s="229" t="s">
        <v>458</v>
      </c>
      <c r="P8" s="630" t="s">
        <v>293</v>
      </c>
      <c r="Q8" s="229" t="s">
        <v>459</v>
      </c>
      <c r="R8" s="1256"/>
      <c r="S8" s="217" t="s">
        <v>108</v>
      </c>
      <c r="T8" s="217" t="s">
        <v>97</v>
      </c>
      <c r="U8" s="217" t="s">
        <v>96</v>
      </c>
      <c r="V8" s="138" t="s">
        <v>98</v>
      </c>
      <c r="W8" s="1229"/>
      <c r="X8" s="1229"/>
      <c r="Y8" s="1245"/>
      <c r="Z8" s="1247"/>
      <c r="AA8" s="6" t="s">
        <v>94</v>
      </c>
    </row>
    <row r="9" spans="1:34" s="256" customFormat="1" ht="16.5" customHeight="1" x14ac:dyDescent="0.2">
      <c r="A9" s="285">
        <v>1</v>
      </c>
      <c r="B9" s="245" t="s">
        <v>1948</v>
      </c>
      <c r="C9" s="246">
        <v>2022</v>
      </c>
      <c r="D9" s="264" t="s">
        <v>885</v>
      </c>
      <c r="E9" s="275" t="s">
        <v>781</v>
      </c>
      <c r="F9" s="266">
        <v>7</v>
      </c>
      <c r="G9" s="266">
        <v>7.5</v>
      </c>
      <c r="H9" s="266">
        <v>7.5</v>
      </c>
      <c r="I9" s="266">
        <v>6.5</v>
      </c>
      <c r="J9" s="616">
        <v>7</v>
      </c>
      <c r="K9" s="266">
        <v>7.5</v>
      </c>
      <c r="L9" s="266">
        <v>8</v>
      </c>
      <c r="M9" s="266">
        <v>7</v>
      </c>
      <c r="N9" s="266">
        <v>6</v>
      </c>
      <c r="O9" s="266">
        <v>6.5</v>
      </c>
      <c r="P9" s="266">
        <v>8</v>
      </c>
      <c r="Q9" s="266">
        <v>7</v>
      </c>
      <c r="R9" s="286">
        <f>SUM(F9:Q9)/12</f>
        <v>7.125</v>
      </c>
      <c r="S9" s="268"/>
      <c r="T9" s="268"/>
      <c r="U9" s="268"/>
      <c r="V9" s="243">
        <f>SUM(S9:U9)/3</f>
        <v>0</v>
      </c>
      <c r="W9" s="243">
        <f>SUM(R9+V9)/2</f>
        <v>3.5625</v>
      </c>
      <c r="X9" s="257" t="s">
        <v>101</v>
      </c>
      <c r="Y9" s="271"/>
      <c r="Z9" s="259" t="s">
        <v>926</v>
      </c>
      <c r="AA9" s="255"/>
      <c r="AB9" s="357">
        <f t="shared" ref="AB9:AB34" si="0">AVERAGE(F9:Q9)</f>
        <v>7.125</v>
      </c>
    </row>
    <row r="10" spans="1:34" s="256" customFormat="1" ht="16.5" customHeight="1" x14ac:dyDescent="0.2">
      <c r="A10" s="287">
        <v>2</v>
      </c>
      <c r="B10" s="245" t="s">
        <v>1949</v>
      </c>
      <c r="C10" s="246">
        <v>2022</v>
      </c>
      <c r="D10" s="276" t="s">
        <v>886</v>
      </c>
      <c r="E10" s="270" t="s">
        <v>887</v>
      </c>
      <c r="F10" s="242">
        <v>6.5</v>
      </c>
      <c r="G10" s="242">
        <v>7.5</v>
      </c>
      <c r="H10" s="242">
        <v>7.5</v>
      </c>
      <c r="I10" s="242">
        <v>8</v>
      </c>
      <c r="J10" s="242">
        <v>7</v>
      </c>
      <c r="K10" s="242">
        <v>7.5</v>
      </c>
      <c r="L10" s="242">
        <v>8</v>
      </c>
      <c r="M10" s="242">
        <v>7</v>
      </c>
      <c r="N10" s="242">
        <v>7</v>
      </c>
      <c r="O10" s="242">
        <v>7</v>
      </c>
      <c r="P10" s="242">
        <v>6.5</v>
      </c>
      <c r="Q10" s="268">
        <v>7</v>
      </c>
      <c r="R10" s="243">
        <f>SUM(F10:Q10)/12</f>
        <v>7.208333333333333</v>
      </c>
      <c r="S10" s="242"/>
      <c r="T10" s="242"/>
      <c r="U10" s="242"/>
      <c r="V10" s="277">
        <f t="shared" ref="V10:V18" si="1">SUM(S10:U10)/3</f>
        <v>0</v>
      </c>
      <c r="W10" s="277">
        <f t="shared" ref="W10:W18" si="2">SUM(R10+V10)/2</f>
        <v>3.6041666666666665</v>
      </c>
      <c r="X10" s="252" t="s">
        <v>101</v>
      </c>
      <c r="Y10" s="273"/>
      <c r="Z10" s="263" t="s">
        <v>190</v>
      </c>
      <c r="AA10" s="255"/>
      <c r="AB10" s="357">
        <f t="shared" si="0"/>
        <v>7.208333333333333</v>
      </c>
    </row>
    <row r="11" spans="1:34" s="256" customFormat="1" ht="16.5" customHeight="1" x14ac:dyDescent="0.2">
      <c r="A11" s="287">
        <v>3</v>
      </c>
      <c r="B11" s="245" t="s">
        <v>1950</v>
      </c>
      <c r="C11" s="246">
        <v>2022</v>
      </c>
      <c r="D11" s="269" t="s">
        <v>888</v>
      </c>
      <c r="E11" s="270" t="s">
        <v>889</v>
      </c>
      <c r="F11" s="242">
        <v>7</v>
      </c>
      <c r="G11" s="242">
        <v>7</v>
      </c>
      <c r="H11" s="242">
        <v>7.5</v>
      </c>
      <c r="I11" s="242">
        <v>8</v>
      </c>
      <c r="J11" s="242">
        <v>7.5</v>
      </c>
      <c r="K11" s="242">
        <v>7.5</v>
      </c>
      <c r="L11" s="242">
        <v>7.5</v>
      </c>
      <c r="M11" s="242">
        <v>7</v>
      </c>
      <c r="N11" s="242">
        <v>6</v>
      </c>
      <c r="O11" s="242">
        <v>6</v>
      </c>
      <c r="P11" s="242">
        <v>7.5</v>
      </c>
      <c r="Q11" s="242">
        <v>6</v>
      </c>
      <c r="R11" s="243">
        <f t="shared" ref="R11:R34" si="3">SUM(F11:Q11)/12</f>
        <v>7.041666666666667</v>
      </c>
      <c r="S11" s="242"/>
      <c r="T11" s="242"/>
      <c r="U11" s="242"/>
      <c r="V11" s="277">
        <f t="shared" si="1"/>
        <v>0</v>
      </c>
      <c r="W11" s="277">
        <f t="shared" si="2"/>
        <v>3.5208333333333335</v>
      </c>
      <c r="X11" s="252" t="s">
        <v>101</v>
      </c>
      <c r="Y11" s="273"/>
      <c r="Z11" s="263" t="s">
        <v>187</v>
      </c>
      <c r="AA11" s="255"/>
      <c r="AB11" s="357">
        <f t="shared" si="0"/>
        <v>7.041666666666667</v>
      </c>
    </row>
    <row r="12" spans="1:34" s="256" customFormat="1" ht="16.5" customHeight="1" x14ac:dyDescent="0.2">
      <c r="A12" s="287">
        <v>4</v>
      </c>
      <c r="B12" s="245" t="s">
        <v>1951</v>
      </c>
      <c r="C12" s="246">
        <v>2022</v>
      </c>
      <c r="D12" s="269" t="s">
        <v>890</v>
      </c>
      <c r="E12" s="270" t="s">
        <v>780</v>
      </c>
      <c r="F12" s="242">
        <v>7</v>
      </c>
      <c r="G12" s="242">
        <v>7</v>
      </c>
      <c r="H12" s="242">
        <v>7.5</v>
      </c>
      <c r="I12" s="242">
        <v>7</v>
      </c>
      <c r="J12" s="242">
        <v>8</v>
      </c>
      <c r="K12" s="242">
        <v>7</v>
      </c>
      <c r="L12" s="242">
        <v>7.5</v>
      </c>
      <c r="M12" s="242">
        <v>8</v>
      </c>
      <c r="N12" s="242">
        <v>6.5</v>
      </c>
      <c r="O12" s="242">
        <v>7</v>
      </c>
      <c r="P12" s="242">
        <v>8</v>
      </c>
      <c r="Q12" s="242">
        <v>7</v>
      </c>
      <c r="R12" s="243">
        <f t="shared" si="3"/>
        <v>7.291666666666667</v>
      </c>
      <c r="S12" s="242"/>
      <c r="T12" s="242"/>
      <c r="U12" s="242"/>
      <c r="V12" s="277">
        <f t="shared" si="1"/>
        <v>0</v>
      </c>
      <c r="W12" s="277">
        <f t="shared" si="2"/>
        <v>3.6458333333333335</v>
      </c>
      <c r="X12" s="252" t="s">
        <v>101</v>
      </c>
      <c r="Y12" s="273"/>
      <c r="Z12" s="263" t="s">
        <v>927</v>
      </c>
      <c r="AA12" s="255"/>
      <c r="AB12" s="357">
        <f t="shared" si="0"/>
        <v>7.291666666666667</v>
      </c>
    </row>
    <row r="13" spans="1:34" s="256" customFormat="1" ht="16.5" customHeight="1" x14ac:dyDescent="0.2">
      <c r="A13" s="287">
        <v>5</v>
      </c>
      <c r="B13" s="245" t="s">
        <v>1952</v>
      </c>
      <c r="C13" s="246">
        <v>2022</v>
      </c>
      <c r="D13" s="269" t="s">
        <v>891</v>
      </c>
      <c r="E13" s="270" t="s">
        <v>892</v>
      </c>
      <c r="F13" s="242">
        <v>7</v>
      </c>
      <c r="G13" s="242">
        <v>7</v>
      </c>
      <c r="H13" s="242">
        <v>7</v>
      </c>
      <c r="I13" s="242">
        <v>7.5</v>
      </c>
      <c r="J13" s="242">
        <v>7</v>
      </c>
      <c r="K13" s="242">
        <v>7.5</v>
      </c>
      <c r="L13" s="242">
        <v>6.5</v>
      </c>
      <c r="M13" s="242">
        <v>7</v>
      </c>
      <c r="N13" s="242">
        <v>7</v>
      </c>
      <c r="O13" s="242">
        <v>7</v>
      </c>
      <c r="P13" s="242">
        <v>7.5</v>
      </c>
      <c r="Q13" s="242">
        <v>7</v>
      </c>
      <c r="R13" s="243">
        <f t="shared" si="3"/>
        <v>7.083333333333333</v>
      </c>
      <c r="S13" s="242"/>
      <c r="T13" s="242"/>
      <c r="U13" s="242"/>
      <c r="V13" s="277">
        <f t="shared" si="1"/>
        <v>0</v>
      </c>
      <c r="W13" s="277">
        <f t="shared" si="2"/>
        <v>3.5416666666666665</v>
      </c>
      <c r="X13" s="252" t="s">
        <v>101</v>
      </c>
      <c r="Y13" s="273"/>
      <c r="Z13" s="263" t="s">
        <v>182</v>
      </c>
      <c r="AA13" s="255"/>
      <c r="AB13" s="357">
        <f t="shared" si="0"/>
        <v>7.083333333333333</v>
      </c>
    </row>
    <row r="14" spans="1:34" s="256" customFormat="1" ht="16.5" customHeight="1" x14ac:dyDescent="0.2">
      <c r="A14" s="287">
        <v>6</v>
      </c>
      <c r="B14" s="245" t="s">
        <v>1953</v>
      </c>
      <c r="C14" s="246">
        <v>2022</v>
      </c>
      <c r="D14" s="269" t="s">
        <v>893</v>
      </c>
      <c r="E14" s="270" t="s">
        <v>720</v>
      </c>
      <c r="F14" s="242">
        <v>7</v>
      </c>
      <c r="G14" s="242">
        <v>7</v>
      </c>
      <c r="H14" s="242">
        <v>6.5</v>
      </c>
      <c r="I14" s="242">
        <v>7</v>
      </c>
      <c r="J14" s="242">
        <v>7</v>
      </c>
      <c r="K14" s="242">
        <v>7.5</v>
      </c>
      <c r="L14" s="242">
        <v>7</v>
      </c>
      <c r="M14" s="242">
        <v>7</v>
      </c>
      <c r="N14" s="242">
        <v>7</v>
      </c>
      <c r="O14" s="242">
        <v>7</v>
      </c>
      <c r="P14" s="242">
        <v>8</v>
      </c>
      <c r="Q14" s="242">
        <v>6.5</v>
      </c>
      <c r="R14" s="243">
        <f t="shared" si="3"/>
        <v>7.041666666666667</v>
      </c>
      <c r="S14" s="242"/>
      <c r="T14" s="242"/>
      <c r="U14" s="242"/>
      <c r="V14" s="277">
        <f t="shared" si="1"/>
        <v>0</v>
      </c>
      <c r="W14" s="277">
        <f t="shared" si="2"/>
        <v>3.5208333333333335</v>
      </c>
      <c r="X14" s="252" t="s">
        <v>101</v>
      </c>
      <c r="Y14" s="273"/>
      <c r="Z14" s="263" t="s">
        <v>18</v>
      </c>
      <c r="AA14" s="255"/>
      <c r="AB14" s="357">
        <f t="shared" si="0"/>
        <v>7.041666666666667</v>
      </c>
    </row>
    <row r="15" spans="1:34" s="256" customFormat="1" ht="16.5" customHeight="1" x14ac:dyDescent="0.2">
      <c r="A15" s="287">
        <v>7</v>
      </c>
      <c r="B15" s="245" t="s">
        <v>1954</v>
      </c>
      <c r="C15" s="246">
        <v>2022</v>
      </c>
      <c r="D15" s="269" t="s">
        <v>894</v>
      </c>
      <c r="E15" s="611" t="s">
        <v>1974</v>
      </c>
      <c r="F15" s="242">
        <v>6.5</v>
      </c>
      <c r="G15" s="242">
        <v>6.5</v>
      </c>
      <c r="H15" s="242">
        <v>7</v>
      </c>
      <c r="I15" s="242">
        <v>7.5</v>
      </c>
      <c r="J15" s="242">
        <v>7.5</v>
      </c>
      <c r="K15" s="242">
        <v>7.5</v>
      </c>
      <c r="L15" s="242">
        <v>6.5</v>
      </c>
      <c r="M15" s="242">
        <v>7</v>
      </c>
      <c r="N15" s="242">
        <v>7</v>
      </c>
      <c r="O15" s="242">
        <v>6</v>
      </c>
      <c r="P15" s="242">
        <v>6</v>
      </c>
      <c r="Q15" s="242">
        <v>6.5</v>
      </c>
      <c r="R15" s="243">
        <f t="shared" si="3"/>
        <v>6.791666666666667</v>
      </c>
      <c r="S15" s="242"/>
      <c r="T15" s="242"/>
      <c r="U15" s="242"/>
      <c r="V15" s="277">
        <f t="shared" si="1"/>
        <v>0</v>
      </c>
      <c r="W15" s="277">
        <f t="shared" si="2"/>
        <v>3.3958333333333335</v>
      </c>
      <c r="X15" s="252" t="s">
        <v>101</v>
      </c>
      <c r="Y15" s="273"/>
      <c r="Z15" s="263" t="s">
        <v>17</v>
      </c>
      <c r="AA15" s="255"/>
      <c r="AB15" s="628">
        <f t="shared" si="0"/>
        <v>6.791666666666667</v>
      </c>
    </row>
    <row r="16" spans="1:34" s="256" customFormat="1" ht="16.5" customHeight="1" x14ac:dyDescent="0.2">
      <c r="A16" s="287">
        <v>8</v>
      </c>
      <c r="B16" s="245" t="s">
        <v>1955</v>
      </c>
      <c r="C16" s="246">
        <v>2022</v>
      </c>
      <c r="D16" s="269" t="s">
        <v>895</v>
      </c>
      <c r="E16" s="611" t="s">
        <v>1975</v>
      </c>
      <c r="F16" s="242">
        <v>7</v>
      </c>
      <c r="G16" s="242">
        <v>7.5</v>
      </c>
      <c r="H16" s="242">
        <v>6.5</v>
      </c>
      <c r="I16" s="242">
        <v>7.5</v>
      </c>
      <c r="J16" s="242">
        <v>7</v>
      </c>
      <c r="K16" s="242">
        <v>6.5</v>
      </c>
      <c r="L16" s="242">
        <v>7</v>
      </c>
      <c r="M16" s="242">
        <v>7</v>
      </c>
      <c r="N16" s="242">
        <v>8</v>
      </c>
      <c r="O16" s="242">
        <v>6</v>
      </c>
      <c r="P16" s="242">
        <v>6</v>
      </c>
      <c r="Q16" s="242">
        <v>6</v>
      </c>
      <c r="R16" s="243">
        <f t="shared" si="3"/>
        <v>6.833333333333333</v>
      </c>
      <c r="S16" s="242"/>
      <c r="T16" s="242"/>
      <c r="U16" s="242"/>
      <c r="V16" s="277">
        <f t="shared" si="1"/>
        <v>0</v>
      </c>
      <c r="W16" s="277">
        <f t="shared" si="2"/>
        <v>3.4166666666666665</v>
      </c>
      <c r="X16" s="252" t="s">
        <v>101</v>
      </c>
      <c r="Y16" s="273"/>
      <c r="Z16" s="263" t="s">
        <v>177</v>
      </c>
      <c r="AA16" s="255"/>
      <c r="AB16" s="628">
        <f t="shared" si="0"/>
        <v>6.833333333333333</v>
      </c>
    </row>
    <row r="17" spans="1:28" s="256" customFormat="1" ht="16.5" customHeight="1" x14ac:dyDescent="0.2">
      <c r="A17" s="287">
        <v>9</v>
      </c>
      <c r="B17" s="245" t="s">
        <v>1956</v>
      </c>
      <c r="C17" s="246">
        <v>2022</v>
      </c>
      <c r="D17" s="269" t="s">
        <v>896</v>
      </c>
      <c r="E17" s="270" t="s">
        <v>897</v>
      </c>
      <c r="F17" s="242">
        <v>7</v>
      </c>
      <c r="G17" s="242">
        <v>7.5</v>
      </c>
      <c r="H17" s="242">
        <v>7</v>
      </c>
      <c r="I17" s="242">
        <v>8</v>
      </c>
      <c r="J17" s="242">
        <v>7.5</v>
      </c>
      <c r="K17" s="242">
        <v>7.5</v>
      </c>
      <c r="L17" s="242">
        <v>8</v>
      </c>
      <c r="M17" s="242">
        <v>7</v>
      </c>
      <c r="N17" s="242">
        <v>7</v>
      </c>
      <c r="O17" s="242">
        <v>7</v>
      </c>
      <c r="P17" s="242">
        <v>7.5</v>
      </c>
      <c r="Q17" s="242">
        <v>6</v>
      </c>
      <c r="R17" s="243">
        <f t="shared" si="3"/>
        <v>7.25</v>
      </c>
      <c r="S17" s="242"/>
      <c r="T17" s="242"/>
      <c r="U17" s="242"/>
      <c r="V17" s="277">
        <f t="shared" si="1"/>
        <v>0</v>
      </c>
      <c r="W17" s="277">
        <f t="shared" si="2"/>
        <v>3.625</v>
      </c>
      <c r="X17" s="252" t="s">
        <v>101</v>
      </c>
      <c r="Y17" s="273"/>
      <c r="Z17" s="263" t="s">
        <v>207</v>
      </c>
      <c r="AA17" s="255"/>
      <c r="AB17" s="357">
        <f t="shared" si="0"/>
        <v>7.25</v>
      </c>
    </row>
    <row r="18" spans="1:28" s="256" customFormat="1" ht="16.5" customHeight="1" x14ac:dyDescent="0.2">
      <c r="A18" s="287">
        <v>10</v>
      </c>
      <c r="B18" s="245" t="s">
        <v>1957</v>
      </c>
      <c r="C18" s="246">
        <v>2022</v>
      </c>
      <c r="D18" s="269" t="s">
        <v>276</v>
      </c>
      <c r="E18" s="270" t="s">
        <v>898</v>
      </c>
      <c r="F18" s="242">
        <v>7</v>
      </c>
      <c r="G18" s="242">
        <v>7</v>
      </c>
      <c r="H18" s="242">
        <v>7.5</v>
      </c>
      <c r="I18" s="242">
        <v>7.5</v>
      </c>
      <c r="J18" s="242">
        <v>8</v>
      </c>
      <c r="K18" s="242">
        <v>8</v>
      </c>
      <c r="L18" s="242">
        <v>7</v>
      </c>
      <c r="M18" s="242">
        <v>7</v>
      </c>
      <c r="N18" s="242">
        <v>7</v>
      </c>
      <c r="O18" s="242">
        <v>7.5</v>
      </c>
      <c r="P18" s="242">
        <v>7.5</v>
      </c>
      <c r="Q18" s="242">
        <v>8</v>
      </c>
      <c r="R18" s="243">
        <f t="shared" si="3"/>
        <v>7.416666666666667</v>
      </c>
      <c r="S18" s="242"/>
      <c r="T18" s="242"/>
      <c r="U18" s="242"/>
      <c r="V18" s="277">
        <f t="shared" si="1"/>
        <v>0</v>
      </c>
      <c r="W18" s="277">
        <f t="shared" si="2"/>
        <v>3.7083333333333335</v>
      </c>
      <c r="X18" s="252" t="s">
        <v>101</v>
      </c>
      <c r="Y18" s="273"/>
      <c r="Z18" s="263" t="s">
        <v>221</v>
      </c>
      <c r="AA18" s="255"/>
      <c r="AB18" s="357">
        <f t="shared" si="0"/>
        <v>7.416666666666667</v>
      </c>
    </row>
    <row r="19" spans="1:28" s="256" customFormat="1" ht="16.5" customHeight="1" x14ac:dyDescent="0.2">
      <c r="A19" s="287">
        <v>11</v>
      </c>
      <c r="B19" s="245" t="s">
        <v>1958</v>
      </c>
      <c r="C19" s="246">
        <v>2022</v>
      </c>
      <c r="D19" s="276" t="s">
        <v>899</v>
      </c>
      <c r="E19" s="270" t="s">
        <v>900</v>
      </c>
      <c r="F19" s="242">
        <v>7.5</v>
      </c>
      <c r="G19" s="242">
        <v>7</v>
      </c>
      <c r="H19" s="242">
        <v>7</v>
      </c>
      <c r="I19" s="242">
        <v>8</v>
      </c>
      <c r="J19" s="242">
        <v>8</v>
      </c>
      <c r="K19" s="623">
        <v>7</v>
      </c>
      <c r="L19" s="242">
        <v>8</v>
      </c>
      <c r="M19" s="242">
        <v>7</v>
      </c>
      <c r="N19" s="242">
        <v>7</v>
      </c>
      <c r="O19" s="242">
        <v>7</v>
      </c>
      <c r="P19" s="242">
        <v>6.5</v>
      </c>
      <c r="Q19" s="626">
        <v>7</v>
      </c>
      <c r="R19" s="243">
        <f t="shared" si="3"/>
        <v>7.25</v>
      </c>
      <c r="S19" s="242"/>
      <c r="T19" s="242"/>
      <c r="U19" s="242"/>
      <c r="V19" s="277">
        <f>SUM(S19:U19)/3</f>
        <v>0</v>
      </c>
      <c r="W19" s="277">
        <f>SUM(R19+V19)/2</f>
        <v>3.625</v>
      </c>
      <c r="X19" s="252" t="s">
        <v>101</v>
      </c>
      <c r="Y19" s="273"/>
      <c r="Z19" s="263" t="s">
        <v>186</v>
      </c>
      <c r="AA19" s="255"/>
      <c r="AB19" s="357">
        <f t="shared" si="0"/>
        <v>7.25</v>
      </c>
    </row>
    <row r="20" spans="1:28" s="256" customFormat="1" ht="16.5" customHeight="1" x14ac:dyDescent="0.2">
      <c r="A20" s="287">
        <v>12</v>
      </c>
      <c r="B20" s="245" t="s">
        <v>1959</v>
      </c>
      <c r="C20" s="246">
        <v>2022</v>
      </c>
      <c r="D20" s="269" t="s">
        <v>901</v>
      </c>
      <c r="E20" s="270" t="s">
        <v>902</v>
      </c>
      <c r="F20" s="242">
        <v>6</v>
      </c>
      <c r="G20" s="242">
        <v>6.5</v>
      </c>
      <c r="H20" s="242">
        <v>7</v>
      </c>
      <c r="I20" s="242">
        <v>6.5</v>
      </c>
      <c r="J20" s="242">
        <v>6.5</v>
      </c>
      <c r="K20" s="242">
        <v>6.5</v>
      </c>
      <c r="L20" s="242">
        <v>8</v>
      </c>
      <c r="M20" s="242">
        <v>7</v>
      </c>
      <c r="N20" s="242">
        <v>7</v>
      </c>
      <c r="O20" s="242">
        <v>5</v>
      </c>
      <c r="P20" s="242">
        <v>6.5</v>
      </c>
      <c r="Q20" s="242">
        <v>5.5</v>
      </c>
      <c r="R20" s="243">
        <f t="shared" si="3"/>
        <v>6.5</v>
      </c>
      <c r="S20" s="242"/>
      <c r="T20" s="242"/>
      <c r="U20" s="242"/>
      <c r="V20" s="277">
        <f>SUM(S20:U20)/3</f>
        <v>0</v>
      </c>
      <c r="W20" s="277">
        <f>SUM(R20+V20)/2</f>
        <v>3.25</v>
      </c>
      <c r="X20" s="252" t="s">
        <v>95</v>
      </c>
      <c r="Y20" s="273"/>
      <c r="Z20" s="263" t="s">
        <v>178</v>
      </c>
      <c r="AA20" s="255"/>
      <c r="AB20" s="628">
        <f t="shared" si="0"/>
        <v>6.5</v>
      </c>
    </row>
    <row r="21" spans="1:28" s="256" customFormat="1" ht="16.5" customHeight="1" x14ac:dyDescent="0.2">
      <c r="A21" s="287">
        <v>13</v>
      </c>
      <c r="B21" s="245" t="s">
        <v>1960</v>
      </c>
      <c r="C21" s="246">
        <v>2022</v>
      </c>
      <c r="D21" s="269" t="s">
        <v>903</v>
      </c>
      <c r="E21" s="270" t="s">
        <v>904</v>
      </c>
      <c r="F21" s="242">
        <v>7.5</v>
      </c>
      <c r="G21" s="242">
        <v>8</v>
      </c>
      <c r="H21" s="242">
        <v>8</v>
      </c>
      <c r="I21" s="242">
        <v>8</v>
      </c>
      <c r="J21" s="242">
        <v>8</v>
      </c>
      <c r="K21" s="242">
        <v>8</v>
      </c>
      <c r="L21" s="242">
        <v>8</v>
      </c>
      <c r="M21" s="242">
        <v>8</v>
      </c>
      <c r="N21" s="242">
        <v>8</v>
      </c>
      <c r="O21" s="242">
        <v>7</v>
      </c>
      <c r="P21" s="242">
        <v>7.5</v>
      </c>
      <c r="Q21" s="242">
        <v>8</v>
      </c>
      <c r="R21" s="243">
        <f t="shared" si="3"/>
        <v>7.833333333333333</v>
      </c>
      <c r="S21" s="242"/>
      <c r="T21" s="242"/>
      <c r="U21" s="242"/>
      <c r="V21" s="277">
        <f>SUM(S21:U21)/3</f>
        <v>0</v>
      </c>
      <c r="W21" s="277">
        <f>SUM(R21+V21)/2</f>
        <v>3.9166666666666665</v>
      </c>
      <c r="X21" s="252" t="s">
        <v>101</v>
      </c>
      <c r="Y21" s="273"/>
      <c r="Z21" s="263" t="s">
        <v>928</v>
      </c>
      <c r="AA21" s="255"/>
      <c r="AB21" s="357">
        <f t="shared" si="0"/>
        <v>7.833333333333333</v>
      </c>
    </row>
    <row r="22" spans="1:28" s="256" customFormat="1" ht="16.5" customHeight="1" x14ac:dyDescent="0.2">
      <c r="A22" s="287">
        <v>14</v>
      </c>
      <c r="B22" s="245" t="s">
        <v>1961</v>
      </c>
      <c r="C22" s="246">
        <v>2022</v>
      </c>
      <c r="D22" s="269" t="s">
        <v>905</v>
      </c>
      <c r="E22" s="270" t="s">
        <v>534</v>
      </c>
      <c r="F22" s="242">
        <v>8</v>
      </c>
      <c r="G22" s="242">
        <v>8</v>
      </c>
      <c r="H22" s="242">
        <v>8</v>
      </c>
      <c r="I22" s="242">
        <v>8</v>
      </c>
      <c r="J22" s="242">
        <v>8</v>
      </c>
      <c r="K22" s="242">
        <v>8</v>
      </c>
      <c r="L22" s="242">
        <v>8</v>
      </c>
      <c r="M22" s="242">
        <v>8</v>
      </c>
      <c r="N22" s="242">
        <v>8.4</v>
      </c>
      <c r="O22" s="242">
        <v>8</v>
      </c>
      <c r="P22" s="242">
        <v>8</v>
      </c>
      <c r="Q22" s="242">
        <v>8</v>
      </c>
      <c r="R22" s="243">
        <f t="shared" si="3"/>
        <v>8.0333333333333332</v>
      </c>
      <c r="S22" s="242"/>
      <c r="T22" s="242"/>
      <c r="U22" s="242"/>
      <c r="V22" s="277"/>
      <c r="W22" s="277"/>
      <c r="X22" s="252" t="s">
        <v>101</v>
      </c>
      <c r="Y22" s="273"/>
      <c r="Z22" s="263" t="s">
        <v>18</v>
      </c>
      <c r="AA22" s="255"/>
      <c r="AB22" s="613">
        <f t="shared" si="0"/>
        <v>8.0333333333333332</v>
      </c>
    </row>
    <row r="23" spans="1:28" s="256" customFormat="1" ht="16.5" customHeight="1" x14ac:dyDescent="0.2">
      <c r="A23" s="287">
        <v>15</v>
      </c>
      <c r="B23" s="245" t="s">
        <v>1962</v>
      </c>
      <c r="C23" s="246">
        <v>2022</v>
      </c>
      <c r="D23" s="269" t="s">
        <v>906</v>
      </c>
      <c r="E23" s="270" t="s">
        <v>907</v>
      </c>
      <c r="F23" s="242">
        <v>7</v>
      </c>
      <c r="G23" s="242">
        <v>7.5</v>
      </c>
      <c r="H23" s="242">
        <v>6.5</v>
      </c>
      <c r="I23" s="242">
        <v>7.5</v>
      </c>
      <c r="J23" s="242">
        <v>7.5</v>
      </c>
      <c r="K23" s="242">
        <v>7.5</v>
      </c>
      <c r="L23" s="242">
        <v>7.5</v>
      </c>
      <c r="M23" s="242">
        <v>7</v>
      </c>
      <c r="N23" s="242">
        <v>7</v>
      </c>
      <c r="O23" s="242">
        <v>7</v>
      </c>
      <c r="P23" s="242">
        <v>7.5</v>
      </c>
      <c r="Q23" s="242">
        <v>6.5</v>
      </c>
      <c r="R23" s="243">
        <f t="shared" si="3"/>
        <v>7.166666666666667</v>
      </c>
      <c r="S23" s="242"/>
      <c r="T23" s="242"/>
      <c r="U23" s="242"/>
      <c r="V23" s="277"/>
      <c r="W23" s="277"/>
      <c r="X23" s="252" t="s">
        <v>101</v>
      </c>
      <c r="Y23" s="273"/>
      <c r="Z23" s="263" t="s">
        <v>193</v>
      </c>
      <c r="AA23" s="255"/>
      <c r="AB23" s="357">
        <f t="shared" si="0"/>
        <v>7.166666666666667</v>
      </c>
    </row>
    <row r="24" spans="1:28" s="256" customFormat="1" ht="16.5" customHeight="1" x14ac:dyDescent="0.2">
      <c r="A24" s="287">
        <v>16</v>
      </c>
      <c r="B24" s="245" t="s">
        <v>1963</v>
      </c>
      <c r="C24" s="246">
        <v>2022</v>
      </c>
      <c r="D24" s="269" t="s">
        <v>908</v>
      </c>
      <c r="E24" s="270" t="s">
        <v>909</v>
      </c>
      <c r="F24" s="242">
        <v>7.5</v>
      </c>
      <c r="G24" s="242">
        <v>7.5</v>
      </c>
      <c r="H24" s="242">
        <v>7.5</v>
      </c>
      <c r="I24" s="242">
        <v>8</v>
      </c>
      <c r="J24" s="242">
        <v>8</v>
      </c>
      <c r="K24" s="242">
        <v>7</v>
      </c>
      <c r="L24" s="242">
        <v>8</v>
      </c>
      <c r="M24" s="242">
        <v>7</v>
      </c>
      <c r="N24" s="242">
        <v>8</v>
      </c>
      <c r="O24" s="242">
        <v>7.5</v>
      </c>
      <c r="P24" s="242">
        <v>8</v>
      </c>
      <c r="Q24" s="242">
        <v>7</v>
      </c>
      <c r="R24" s="243">
        <f t="shared" si="3"/>
        <v>7.583333333333333</v>
      </c>
      <c r="S24" s="242"/>
      <c r="T24" s="242"/>
      <c r="U24" s="242"/>
      <c r="V24" s="277"/>
      <c r="W24" s="277"/>
      <c r="X24" s="252" t="s">
        <v>101</v>
      </c>
      <c r="Y24" s="273"/>
      <c r="Z24" s="263" t="s">
        <v>183</v>
      </c>
      <c r="AA24" s="255"/>
      <c r="AB24" s="357">
        <f t="shared" si="0"/>
        <v>7.583333333333333</v>
      </c>
    </row>
    <row r="25" spans="1:28" s="256" customFormat="1" ht="16.5" customHeight="1" x14ac:dyDescent="0.2">
      <c r="A25" s="287">
        <v>17</v>
      </c>
      <c r="B25" s="245" t="s">
        <v>1964</v>
      </c>
      <c r="C25" s="246">
        <v>2022</v>
      </c>
      <c r="D25" s="269" t="s">
        <v>910</v>
      </c>
      <c r="E25" s="270" t="s">
        <v>911</v>
      </c>
      <c r="F25" s="242">
        <v>7</v>
      </c>
      <c r="G25" s="242">
        <v>7</v>
      </c>
      <c r="H25" s="242">
        <v>7</v>
      </c>
      <c r="I25" s="242">
        <v>7</v>
      </c>
      <c r="J25" s="242">
        <v>7</v>
      </c>
      <c r="K25" s="242">
        <v>7</v>
      </c>
      <c r="L25" s="242">
        <v>7.5</v>
      </c>
      <c r="M25" s="242">
        <v>7</v>
      </c>
      <c r="N25" s="242">
        <v>8</v>
      </c>
      <c r="O25" s="242">
        <v>6</v>
      </c>
      <c r="P25" s="242">
        <v>7.5</v>
      </c>
      <c r="Q25" s="242">
        <v>6.5</v>
      </c>
      <c r="R25" s="243">
        <f t="shared" si="3"/>
        <v>7.041666666666667</v>
      </c>
      <c r="S25" s="242"/>
      <c r="T25" s="242"/>
      <c r="U25" s="242"/>
      <c r="V25" s="277"/>
      <c r="W25" s="277"/>
      <c r="X25" s="252" t="s">
        <v>101</v>
      </c>
      <c r="Y25" s="273"/>
      <c r="Z25" s="263" t="s">
        <v>187</v>
      </c>
      <c r="AA25" s="255"/>
      <c r="AB25" s="357">
        <f t="shared" si="0"/>
        <v>7.041666666666667</v>
      </c>
    </row>
    <row r="26" spans="1:28" s="256" customFormat="1" ht="16.5" customHeight="1" x14ac:dyDescent="0.2">
      <c r="A26" s="287">
        <v>18</v>
      </c>
      <c r="B26" s="245" t="s">
        <v>1965</v>
      </c>
      <c r="C26" s="246">
        <v>2022</v>
      </c>
      <c r="D26" s="269" t="s">
        <v>912</v>
      </c>
      <c r="E26" s="270" t="s">
        <v>913</v>
      </c>
      <c r="F26" s="242">
        <v>6.5</v>
      </c>
      <c r="G26" s="242">
        <v>7</v>
      </c>
      <c r="H26" s="242">
        <v>7.5</v>
      </c>
      <c r="I26" s="242">
        <v>8</v>
      </c>
      <c r="J26" s="242">
        <v>8</v>
      </c>
      <c r="K26" s="242">
        <v>7</v>
      </c>
      <c r="L26" s="242">
        <v>8</v>
      </c>
      <c r="M26" s="242">
        <v>7</v>
      </c>
      <c r="N26" s="242">
        <v>7.2</v>
      </c>
      <c r="O26" s="242">
        <v>7.5</v>
      </c>
      <c r="P26" s="242">
        <v>7.5</v>
      </c>
      <c r="Q26" s="242">
        <v>7</v>
      </c>
      <c r="R26" s="243">
        <f t="shared" si="3"/>
        <v>7.3500000000000005</v>
      </c>
      <c r="S26" s="242"/>
      <c r="T26" s="242"/>
      <c r="U26" s="242"/>
      <c r="V26" s="277"/>
      <c r="W26" s="277"/>
      <c r="X26" s="252" t="s">
        <v>101</v>
      </c>
      <c r="Y26" s="273"/>
      <c r="Z26" s="263" t="s">
        <v>190</v>
      </c>
      <c r="AA26" s="255"/>
      <c r="AB26" s="357">
        <f t="shared" si="0"/>
        <v>7.3500000000000005</v>
      </c>
    </row>
    <row r="27" spans="1:28" s="256" customFormat="1" ht="16.5" customHeight="1" x14ac:dyDescent="0.2">
      <c r="A27" s="287">
        <v>19</v>
      </c>
      <c r="B27" s="245" t="s">
        <v>1966</v>
      </c>
      <c r="C27" s="246">
        <v>2022</v>
      </c>
      <c r="D27" s="269" t="s">
        <v>914</v>
      </c>
      <c r="E27" s="270" t="s">
        <v>284</v>
      </c>
      <c r="F27" s="242">
        <v>7</v>
      </c>
      <c r="G27" s="242">
        <v>7.5</v>
      </c>
      <c r="H27" s="242">
        <v>7</v>
      </c>
      <c r="I27" s="242">
        <v>8</v>
      </c>
      <c r="J27" s="242">
        <v>7.5</v>
      </c>
      <c r="K27" s="242">
        <v>7</v>
      </c>
      <c r="L27" s="242">
        <v>7.5</v>
      </c>
      <c r="M27" s="242">
        <v>7</v>
      </c>
      <c r="N27" s="242">
        <v>7</v>
      </c>
      <c r="O27" s="242">
        <v>7</v>
      </c>
      <c r="P27" s="242">
        <v>7</v>
      </c>
      <c r="Q27" s="242">
        <v>6.5</v>
      </c>
      <c r="R27" s="243">
        <f t="shared" si="3"/>
        <v>7.166666666666667</v>
      </c>
      <c r="S27" s="242"/>
      <c r="T27" s="242"/>
      <c r="U27" s="242"/>
      <c r="V27" s="277"/>
      <c r="W27" s="277"/>
      <c r="X27" s="252" t="s">
        <v>101</v>
      </c>
      <c r="Y27" s="273"/>
      <c r="Z27" s="263" t="s">
        <v>182</v>
      </c>
      <c r="AA27" s="255"/>
      <c r="AB27" s="357">
        <f t="shared" si="0"/>
        <v>7.166666666666667</v>
      </c>
    </row>
    <row r="28" spans="1:28" s="256" customFormat="1" ht="16.5" customHeight="1" x14ac:dyDescent="0.2">
      <c r="A28" s="287">
        <v>20</v>
      </c>
      <c r="B28" s="245" t="s">
        <v>1967</v>
      </c>
      <c r="C28" s="246">
        <v>2022</v>
      </c>
      <c r="D28" s="269" t="s">
        <v>915</v>
      </c>
      <c r="E28" s="270" t="s">
        <v>524</v>
      </c>
      <c r="F28" s="242">
        <v>7</v>
      </c>
      <c r="G28" s="242">
        <v>7.5</v>
      </c>
      <c r="H28" s="242">
        <v>6.5</v>
      </c>
      <c r="I28" s="242">
        <v>7</v>
      </c>
      <c r="J28" s="242">
        <v>6.5</v>
      </c>
      <c r="K28" s="242">
        <v>7</v>
      </c>
      <c r="L28" s="242">
        <v>7</v>
      </c>
      <c r="M28" s="242">
        <v>6</v>
      </c>
      <c r="N28" s="242">
        <v>6.5</v>
      </c>
      <c r="O28" s="242">
        <v>7.5</v>
      </c>
      <c r="P28" s="242">
        <v>6</v>
      </c>
      <c r="Q28" s="242">
        <v>7</v>
      </c>
      <c r="R28" s="243">
        <f t="shared" si="3"/>
        <v>6.791666666666667</v>
      </c>
      <c r="S28" s="242"/>
      <c r="T28" s="242"/>
      <c r="U28" s="242"/>
      <c r="V28" s="277"/>
      <c r="W28" s="277"/>
      <c r="X28" s="252" t="s">
        <v>101</v>
      </c>
      <c r="Y28" s="273"/>
      <c r="Z28" s="263" t="s">
        <v>169</v>
      </c>
      <c r="AA28" s="255"/>
      <c r="AB28" s="628">
        <f t="shared" si="0"/>
        <v>6.791666666666667</v>
      </c>
    </row>
    <row r="29" spans="1:28" s="256" customFormat="1" ht="16.5" customHeight="1" x14ac:dyDescent="0.2">
      <c r="A29" s="287">
        <v>21</v>
      </c>
      <c r="B29" s="245" t="s">
        <v>1968</v>
      </c>
      <c r="C29" s="246">
        <v>2022</v>
      </c>
      <c r="D29" s="269" t="s">
        <v>916</v>
      </c>
      <c r="E29" s="270" t="s">
        <v>917</v>
      </c>
      <c r="F29" s="242">
        <v>7</v>
      </c>
      <c r="G29" s="242">
        <v>6.5</v>
      </c>
      <c r="H29" s="242">
        <v>7.5</v>
      </c>
      <c r="I29" s="242">
        <v>8</v>
      </c>
      <c r="J29" s="242">
        <v>7.5</v>
      </c>
      <c r="K29" s="242">
        <v>7.5</v>
      </c>
      <c r="L29" s="242">
        <v>7</v>
      </c>
      <c r="M29" s="242">
        <v>7</v>
      </c>
      <c r="N29" s="242">
        <v>6.5</v>
      </c>
      <c r="O29" s="242">
        <v>7</v>
      </c>
      <c r="P29" s="242">
        <v>7</v>
      </c>
      <c r="Q29" s="242">
        <v>6</v>
      </c>
      <c r="R29" s="243">
        <f t="shared" si="3"/>
        <v>7.041666666666667</v>
      </c>
      <c r="S29" s="242"/>
      <c r="T29" s="242"/>
      <c r="U29" s="242"/>
      <c r="V29" s="277"/>
      <c r="W29" s="277"/>
      <c r="X29" s="252" t="s">
        <v>101</v>
      </c>
      <c r="Y29" s="273"/>
      <c r="Z29" s="263" t="s">
        <v>226</v>
      </c>
      <c r="AA29" s="255"/>
      <c r="AB29" s="357">
        <f t="shared" si="0"/>
        <v>7.041666666666667</v>
      </c>
    </row>
    <row r="30" spans="1:28" s="256" customFormat="1" ht="16.5" customHeight="1" x14ac:dyDescent="0.2">
      <c r="A30" s="287">
        <v>22</v>
      </c>
      <c r="B30" s="245" t="s">
        <v>1969</v>
      </c>
      <c r="C30" s="246">
        <v>2022</v>
      </c>
      <c r="D30" s="269" t="s">
        <v>918</v>
      </c>
      <c r="E30" s="270" t="s">
        <v>919</v>
      </c>
      <c r="F30" s="242">
        <v>6.5</v>
      </c>
      <c r="G30" s="242">
        <v>6.5</v>
      </c>
      <c r="H30" s="242">
        <v>7.5</v>
      </c>
      <c r="I30" s="242">
        <v>6.5</v>
      </c>
      <c r="J30" s="242">
        <v>6.5</v>
      </c>
      <c r="K30" s="623">
        <v>7</v>
      </c>
      <c r="L30" s="242">
        <v>6.5</v>
      </c>
      <c r="M30" s="242">
        <v>6</v>
      </c>
      <c r="N30" s="242">
        <v>7</v>
      </c>
      <c r="O30" s="242">
        <v>7</v>
      </c>
      <c r="P30" s="242">
        <v>6.5</v>
      </c>
      <c r="Q30" s="625">
        <v>7</v>
      </c>
      <c r="R30" s="243">
        <f t="shared" si="3"/>
        <v>6.708333333333333</v>
      </c>
      <c r="S30" s="242"/>
      <c r="T30" s="242"/>
      <c r="U30" s="242"/>
      <c r="V30" s="277"/>
      <c r="W30" s="277"/>
      <c r="X30" s="252" t="s">
        <v>101</v>
      </c>
      <c r="Y30" s="273"/>
      <c r="Z30" s="263" t="s">
        <v>226</v>
      </c>
      <c r="AA30" s="255"/>
      <c r="AB30" s="628">
        <f t="shared" si="0"/>
        <v>6.708333333333333</v>
      </c>
    </row>
    <row r="31" spans="1:28" s="256" customFormat="1" ht="16.5" customHeight="1" x14ac:dyDescent="0.2">
      <c r="A31" s="287">
        <v>23</v>
      </c>
      <c r="B31" s="245" t="s">
        <v>1970</v>
      </c>
      <c r="C31" s="246">
        <v>2022</v>
      </c>
      <c r="D31" s="269" t="s">
        <v>920</v>
      </c>
      <c r="E31" s="270" t="s">
        <v>921</v>
      </c>
      <c r="F31" s="242">
        <v>7.5</v>
      </c>
      <c r="G31" s="242">
        <v>7</v>
      </c>
      <c r="H31" s="242">
        <v>7</v>
      </c>
      <c r="I31" s="242">
        <v>7.5</v>
      </c>
      <c r="J31" s="242">
        <v>7</v>
      </c>
      <c r="K31" s="242">
        <v>7.5</v>
      </c>
      <c r="L31" s="242">
        <v>7.5</v>
      </c>
      <c r="M31" s="242">
        <v>8</v>
      </c>
      <c r="N31" s="242">
        <v>7.2</v>
      </c>
      <c r="O31" s="242">
        <v>7</v>
      </c>
      <c r="P31" s="242">
        <v>7.5</v>
      </c>
      <c r="Q31" s="242">
        <v>6.5</v>
      </c>
      <c r="R31" s="243">
        <f t="shared" si="3"/>
        <v>7.2666666666666666</v>
      </c>
      <c r="S31" s="242"/>
      <c r="T31" s="242"/>
      <c r="U31" s="242"/>
      <c r="V31" s="277"/>
      <c r="W31" s="277"/>
      <c r="X31" s="252" t="s">
        <v>101</v>
      </c>
      <c r="Y31" s="273"/>
      <c r="Z31" s="263" t="s">
        <v>199</v>
      </c>
      <c r="AA31" s="255"/>
      <c r="AB31" s="357">
        <f t="shared" si="0"/>
        <v>7.2666666666666666</v>
      </c>
    </row>
    <row r="32" spans="1:28" s="256" customFormat="1" ht="16.5" customHeight="1" x14ac:dyDescent="0.2">
      <c r="A32" s="287">
        <v>24</v>
      </c>
      <c r="B32" s="245" t="s">
        <v>1971</v>
      </c>
      <c r="C32" s="246">
        <v>2022</v>
      </c>
      <c r="D32" s="269" t="s">
        <v>922</v>
      </c>
      <c r="E32" s="611" t="s">
        <v>1976</v>
      </c>
      <c r="F32" s="242">
        <v>7</v>
      </c>
      <c r="G32" s="242">
        <v>7</v>
      </c>
      <c r="H32" s="242">
        <v>7</v>
      </c>
      <c r="I32" s="242">
        <v>8</v>
      </c>
      <c r="J32" s="242">
        <v>7.5</v>
      </c>
      <c r="K32" s="242">
        <v>6.5</v>
      </c>
      <c r="L32" s="242">
        <v>8</v>
      </c>
      <c r="M32" s="242">
        <v>8</v>
      </c>
      <c r="N32" s="242">
        <v>7</v>
      </c>
      <c r="O32" s="242">
        <v>7</v>
      </c>
      <c r="P32" s="242">
        <v>7.5</v>
      </c>
      <c r="Q32" s="242">
        <v>7</v>
      </c>
      <c r="R32" s="243">
        <f t="shared" si="3"/>
        <v>7.291666666666667</v>
      </c>
      <c r="S32" s="242"/>
      <c r="T32" s="242"/>
      <c r="U32" s="242"/>
      <c r="V32" s="277"/>
      <c r="W32" s="277"/>
      <c r="X32" s="252" t="s">
        <v>101</v>
      </c>
      <c r="Y32" s="273"/>
      <c r="Z32" s="263" t="s">
        <v>141</v>
      </c>
      <c r="AA32" s="255"/>
      <c r="AB32" s="357">
        <f t="shared" si="0"/>
        <v>7.291666666666667</v>
      </c>
    </row>
    <row r="33" spans="1:28" s="256" customFormat="1" ht="16.5" customHeight="1" x14ac:dyDescent="0.2">
      <c r="A33" s="287">
        <v>25</v>
      </c>
      <c r="B33" s="245" t="s">
        <v>1972</v>
      </c>
      <c r="C33" s="246">
        <v>2022</v>
      </c>
      <c r="D33" s="269" t="s">
        <v>923</v>
      </c>
      <c r="E33" s="611" t="s">
        <v>1977</v>
      </c>
      <c r="F33" s="242">
        <v>7</v>
      </c>
      <c r="G33" s="242">
        <v>7.5</v>
      </c>
      <c r="H33" s="242">
        <v>7.5</v>
      </c>
      <c r="I33" s="242">
        <v>8</v>
      </c>
      <c r="J33" s="242">
        <v>8</v>
      </c>
      <c r="K33" s="242">
        <v>7.5</v>
      </c>
      <c r="L33" s="242">
        <v>7</v>
      </c>
      <c r="M33" s="242">
        <v>7</v>
      </c>
      <c r="N33" s="242">
        <v>7</v>
      </c>
      <c r="O33" s="242">
        <v>7</v>
      </c>
      <c r="P33" s="242">
        <v>7</v>
      </c>
      <c r="Q33" s="242">
        <v>7.5</v>
      </c>
      <c r="R33" s="243">
        <f t="shared" si="3"/>
        <v>7.333333333333333</v>
      </c>
      <c r="S33" s="242"/>
      <c r="T33" s="242"/>
      <c r="U33" s="242"/>
      <c r="V33" s="277"/>
      <c r="W33" s="277"/>
      <c r="X33" s="252" t="s">
        <v>101</v>
      </c>
      <c r="Y33" s="273"/>
      <c r="Z33" s="263" t="s">
        <v>186</v>
      </c>
      <c r="AA33" s="255"/>
      <c r="AB33" s="357">
        <f t="shared" si="0"/>
        <v>7.333333333333333</v>
      </c>
    </row>
    <row r="34" spans="1:28" s="256" customFormat="1" ht="16.5" customHeight="1" x14ac:dyDescent="0.2">
      <c r="A34" s="287">
        <v>26</v>
      </c>
      <c r="B34" s="245" t="s">
        <v>1973</v>
      </c>
      <c r="C34" s="246">
        <v>2022</v>
      </c>
      <c r="D34" s="269" t="s">
        <v>924</v>
      </c>
      <c r="E34" s="270" t="s">
        <v>925</v>
      </c>
      <c r="F34" s="242">
        <v>8</v>
      </c>
      <c r="G34" s="242">
        <v>8</v>
      </c>
      <c r="H34" s="242">
        <v>8</v>
      </c>
      <c r="I34" s="242">
        <v>8</v>
      </c>
      <c r="J34" s="242">
        <v>8</v>
      </c>
      <c r="K34" s="242">
        <v>8</v>
      </c>
      <c r="L34" s="242">
        <v>8</v>
      </c>
      <c r="M34" s="242">
        <v>8</v>
      </c>
      <c r="N34" s="242">
        <v>7.2</v>
      </c>
      <c r="O34" s="242">
        <v>7</v>
      </c>
      <c r="P34" s="242">
        <v>7.5</v>
      </c>
      <c r="Q34" s="242">
        <v>7.5</v>
      </c>
      <c r="R34" s="243">
        <f t="shared" si="3"/>
        <v>7.7666666666666666</v>
      </c>
      <c r="S34" s="242"/>
      <c r="T34" s="242"/>
      <c r="U34" s="242"/>
      <c r="V34" s="277"/>
      <c r="W34" s="277"/>
      <c r="X34" s="252" t="s">
        <v>101</v>
      </c>
      <c r="Y34" s="273"/>
      <c r="Z34" s="263" t="s">
        <v>17</v>
      </c>
      <c r="AA34" s="255"/>
      <c r="AB34" s="357">
        <f t="shared" si="0"/>
        <v>7.7666666666666666</v>
      </c>
    </row>
    <row r="35" spans="1:28" s="368" customFormat="1" ht="16.5" customHeight="1" thickBot="1" x14ac:dyDescent="0.3">
      <c r="A35" s="534"/>
      <c r="B35" s="535"/>
      <c r="C35" s="536"/>
      <c r="D35" s="537"/>
      <c r="E35" s="538"/>
      <c r="F35" s="538"/>
      <c r="G35" s="538"/>
      <c r="H35" s="538"/>
      <c r="I35" s="538"/>
      <c r="J35" s="538"/>
      <c r="K35" s="538"/>
      <c r="L35" s="538"/>
      <c r="M35" s="538"/>
      <c r="N35" s="538"/>
      <c r="O35" s="538"/>
      <c r="P35" s="538"/>
      <c r="Q35" s="539"/>
      <c r="R35" s="539"/>
      <c r="S35" s="539"/>
      <c r="T35" s="539"/>
      <c r="U35" s="539"/>
      <c r="V35" s="539"/>
      <c r="W35" s="539"/>
      <c r="X35" s="539"/>
      <c r="Y35" s="539"/>
      <c r="Z35" s="540"/>
      <c r="AB35" s="357"/>
    </row>
    <row r="36" spans="1:28" s="368" customFormat="1" ht="19.5" thickTop="1" x14ac:dyDescent="0.3">
      <c r="A36" s="369"/>
      <c r="B36" s="369"/>
      <c r="C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69"/>
      <c r="P36" s="369"/>
      <c r="Q36" s="527"/>
      <c r="R36" s="1065"/>
      <c r="S36" s="1065"/>
      <c r="T36" s="1065"/>
      <c r="U36" s="371"/>
      <c r="V36" s="369"/>
      <c r="W36" s="369"/>
      <c r="X36" s="369"/>
      <c r="Y36" s="372"/>
      <c r="Z36" s="369"/>
      <c r="AB36" s="357"/>
    </row>
    <row r="37" spans="1:28" s="368" customFormat="1" x14ac:dyDescent="0.3">
      <c r="A37" s="369"/>
      <c r="B37" s="369"/>
      <c r="C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69"/>
      <c r="P37" s="369"/>
      <c r="Q37" s="351"/>
      <c r="R37" s="373"/>
      <c r="S37" s="374"/>
      <c r="T37" s="374"/>
      <c r="U37" s="371"/>
      <c r="V37" s="369"/>
      <c r="W37" s="369"/>
      <c r="X37" s="369"/>
      <c r="Y37" s="372"/>
      <c r="Z37" s="369"/>
      <c r="AB37" s="357"/>
    </row>
    <row r="38" spans="1:28" s="368" customFormat="1" x14ac:dyDescent="0.3">
      <c r="A38" s="369"/>
      <c r="B38" s="369"/>
      <c r="C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51"/>
      <c r="R38" s="373"/>
      <c r="S38" s="374"/>
      <c r="T38" s="374"/>
      <c r="U38" s="371"/>
      <c r="V38" s="369"/>
      <c r="W38" s="369"/>
      <c r="X38" s="369"/>
      <c r="Y38" s="372"/>
      <c r="Z38" s="369"/>
      <c r="AB38" s="357"/>
    </row>
    <row r="39" spans="1:28" s="368" customFormat="1" x14ac:dyDescent="0.3">
      <c r="A39" s="369"/>
      <c r="B39" s="369"/>
      <c r="C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9"/>
      <c r="P39" s="369"/>
      <c r="Q39" s="1066"/>
      <c r="R39" s="1066"/>
      <c r="S39" s="1066"/>
      <c r="T39" s="1066"/>
      <c r="U39" s="371"/>
      <c r="V39" s="369"/>
      <c r="W39" s="369"/>
      <c r="X39" s="369"/>
      <c r="Y39" s="372"/>
      <c r="Z39" s="369"/>
      <c r="AB39" s="357"/>
    </row>
    <row r="40" spans="1:28" s="368" customFormat="1" ht="18" x14ac:dyDescent="0.25">
      <c r="A40" s="369"/>
      <c r="B40" s="369"/>
      <c r="C40" s="369"/>
      <c r="E40" s="369"/>
      <c r="F40" s="369"/>
      <c r="G40" s="369"/>
      <c r="H40" s="369"/>
      <c r="I40" s="369"/>
      <c r="J40" s="369"/>
      <c r="K40" s="369"/>
      <c r="L40" s="369"/>
      <c r="M40" s="369"/>
      <c r="N40" s="369"/>
      <c r="O40" s="369"/>
      <c r="P40" s="369"/>
      <c r="Q40" s="1064"/>
      <c r="R40" s="1064"/>
      <c r="S40" s="1064"/>
      <c r="T40" s="1064"/>
      <c r="U40" s="1064"/>
      <c r="V40" s="1064"/>
      <c r="W40" s="1064"/>
      <c r="X40" s="1064"/>
      <c r="Y40" s="1064"/>
      <c r="Z40" s="1064"/>
      <c r="AB40" s="357"/>
    </row>
    <row r="41" spans="1:28" s="368" customFormat="1" x14ac:dyDescent="0.3">
      <c r="A41" s="369"/>
      <c r="B41" s="369"/>
      <c r="C41" s="369"/>
      <c r="E41" s="369"/>
      <c r="F41" s="369"/>
      <c r="G41" s="369"/>
      <c r="H41" s="369"/>
      <c r="I41" s="369"/>
      <c r="J41" s="369"/>
      <c r="K41" s="369"/>
      <c r="L41" s="369"/>
      <c r="M41" s="369"/>
      <c r="N41" s="369"/>
      <c r="O41" s="369"/>
      <c r="P41" s="369"/>
      <c r="Q41" s="369"/>
      <c r="R41" s="370"/>
      <c r="S41" s="371"/>
      <c r="T41" s="371"/>
      <c r="U41" s="371"/>
      <c r="V41" s="369"/>
      <c r="W41" s="369"/>
      <c r="X41" s="369"/>
      <c r="Y41" s="372"/>
      <c r="Z41" s="369"/>
      <c r="AB41" s="357"/>
    </row>
    <row r="42" spans="1:28" s="368" customFormat="1" x14ac:dyDescent="0.3">
      <c r="A42" s="369"/>
      <c r="B42" s="369"/>
      <c r="C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369"/>
      <c r="Q42" s="369"/>
      <c r="R42" s="370"/>
      <c r="S42" s="371"/>
      <c r="T42" s="371"/>
      <c r="U42" s="371"/>
      <c r="V42" s="369"/>
      <c r="W42" s="369"/>
      <c r="X42" s="369"/>
      <c r="Y42" s="372"/>
      <c r="Z42" s="369"/>
      <c r="AB42" s="357"/>
    </row>
    <row r="43" spans="1:28" s="368" customFormat="1" x14ac:dyDescent="0.3">
      <c r="A43" s="369"/>
      <c r="B43" s="369"/>
      <c r="C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69"/>
      <c r="P43" s="369"/>
      <c r="Q43" s="369"/>
      <c r="R43" s="370"/>
      <c r="S43" s="371"/>
      <c r="T43" s="371"/>
      <c r="U43" s="371"/>
      <c r="V43" s="369"/>
      <c r="W43" s="369"/>
      <c r="X43" s="369"/>
      <c r="Y43" s="372"/>
      <c r="Z43" s="369"/>
      <c r="AB43" s="357"/>
    </row>
    <row r="44" spans="1:28" x14ac:dyDescent="0.3">
      <c r="A44" s="236"/>
      <c r="B44" s="236"/>
      <c r="C44" s="236"/>
      <c r="D44" s="3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S44" s="20"/>
      <c r="T44" s="20"/>
      <c r="U44" s="20"/>
      <c r="V44" s="236"/>
      <c r="W44" s="236"/>
      <c r="X44" s="236"/>
      <c r="Y44" s="14"/>
      <c r="Z44" s="236"/>
      <c r="AB44" s="219"/>
    </row>
    <row r="45" spans="1:28" x14ac:dyDescent="0.3">
      <c r="A45" s="236"/>
      <c r="B45" s="236"/>
      <c r="C45" s="236"/>
      <c r="D45" s="3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S45" s="20"/>
      <c r="T45" s="20"/>
      <c r="U45" s="20"/>
      <c r="V45" s="236"/>
      <c r="W45" s="236"/>
      <c r="X45" s="236"/>
      <c r="Y45" s="14"/>
      <c r="Z45" s="236"/>
      <c r="AB45" s="219"/>
    </row>
    <row r="46" spans="1:28" x14ac:dyDescent="0.3">
      <c r="AB46" s="219"/>
    </row>
    <row r="47" spans="1:28" x14ac:dyDescent="0.3">
      <c r="AB47" s="219"/>
    </row>
    <row r="48" spans="1:28" x14ac:dyDescent="0.3">
      <c r="AB48" s="219"/>
    </row>
    <row r="49" spans="28:28" x14ac:dyDescent="0.3">
      <c r="AB49" s="219"/>
    </row>
    <row r="50" spans="28:28" x14ac:dyDescent="0.3">
      <c r="AB50" s="219"/>
    </row>
    <row r="51" spans="28:28" x14ac:dyDescent="0.3">
      <c r="AB51" s="219"/>
    </row>
    <row r="52" spans="28:28" x14ac:dyDescent="0.3">
      <c r="AB52" s="219"/>
    </row>
    <row r="53" spans="28:28" x14ac:dyDescent="0.3">
      <c r="AB53" s="219"/>
    </row>
    <row r="54" spans="28:28" x14ac:dyDescent="0.3">
      <c r="AB54" s="219"/>
    </row>
    <row r="55" spans="28:28" x14ac:dyDescent="0.3">
      <c r="AB55" s="219"/>
    </row>
    <row r="56" spans="28:28" x14ac:dyDescent="0.3">
      <c r="AB56" s="219"/>
    </row>
    <row r="57" spans="28:28" x14ac:dyDescent="0.3">
      <c r="AB57" s="219"/>
    </row>
    <row r="58" spans="28:28" x14ac:dyDescent="0.3">
      <c r="AB58" s="219"/>
    </row>
    <row r="59" spans="28:28" x14ac:dyDescent="0.3">
      <c r="AB59" s="219"/>
    </row>
  </sheetData>
  <autoFilter ref="R7:AA34">
    <filterColumn colId="1" showButton="0"/>
    <filterColumn colId="2" showButton="0"/>
    <filterColumn colId="3" showButton="0"/>
  </autoFilter>
  <mergeCells count="18">
    <mergeCell ref="E2:Z2"/>
    <mergeCell ref="E3:Z3"/>
    <mergeCell ref="E4:Z4"/>
    <mergeCell ref="E5:AH5"/>
    <mergeCell ref="A7:A8"/>
    <mergeCell ref="B7:C8"/>
    <mergeCell ref="D7:D8"/>
    <mergeCell ref="E7:E8"/>
    <mergeCell ref="F7:P7"/>
    <mergeCell ref="R7:R8"/>
    <mergeCell ref="Q39:T39"/>
    <mergeCell ref="Q40:Z40"/>
    <mergeCell ref="S7:V7"/>
    <mergeCell ref="W7:W8"/>
    <mergeCell ref="X7:X8"/>
    <mergeCell ref="Y7:Y8"/>
    <mergeCell ref="Z7:Z8"/>
    <mergeCell ref="R36:T36"/>
  </mergeCells>
  <printOptions horizontalCentered="1"/>
  <pageMargins left="0.89" right="0.16" top="0.27" bottom="0.31" header="0.26" footer="0.27"/>
  <pageSetup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2:AF66"/>
  <sheetViews>
    <sheetView topLeftCell="A53" zoomScale="120" zoomScaleNormal="120" workbookViewId="0">
      <selection activeCell="K17" sqref="K17"/>
    </sheetView>
  </sheetViews>
  <sheetFormatPr defaultRowHeight="18.75" x14ac:dyDescent="0.3"/>
  <cols>
    <col min="1" max="1" width="3" style="1" customWidth="1"/>
    <col min="2" max="3" width="3.8984375" style="1" customWidth="1"/>
    <col min="4" max="4" width="16.796875" customWidth="1"/>
    <col min="5" max="5" width="7.69921875" style="1" customWidth="1"/>
    <col min="6" max="18" width="2.59765625" style="1" customWidth="1"/>
    <col min="19" max="19" width="4.09765625" style="25" customWidth="1"/>
    <col min="20" max="22" width="2.19921875" style="22" hidden="1" customWidth="1"/>
    <col min="23" max="24" width="3.3984375" style="1" hidden="1" customWidth="1"/>
    <col min="25" max="25" width="4.296875" style="1" customWidth="1"/>
    <col min="26" max="26" width="4.3984375" style="15" hidden="1" customWidth="1"/>
    <col min="27" max="27" width="25.796875" style="1" customWidth="1"/>
    <col min="28" max="28" width="1.19921875" customWidth="1"/>
    <col min="29" max="29" width="5.69921875" style="461" customWidth="1"/>
  </cols>
  <sheetData>
    <row r="2" spans="1:32" s="6" customFormat="1" ht="17.25" x14ac:dyDescent="0.3">
      <c r="B2" s="8"/>
      <c r="C2" s="8"/>
      <c r="D2" s="8"/>
      <c r="E2" s="1199" t="s">
        <v>29</v>
      </c>
      <c r="F2" s="1199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9"/>
      <c r="W2" s="1199"/>
      <c r="X2" s="1199"/>
      <c r="Y2" s="1199"/>
      <c r="Z2" s="1199"/>
      <c r="AA2" s="1199"/>
    </row>
    <row r="3" spans="1:32" s="6" customFormat="1" ht="15.75" x14ac:dyDescent="0.25">
      <c r="B3" s="10"/>
      <c r="C3" s="10"/>
      <c r="D3" s="10"/>
      <c r="E3" s="1200" t="s">
        <v>462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0"/>
      <c r="R3" s="1200"/>
      <c r="S3" s="1200"/>
      <c r="T3" s="1200"/>
      <c r="U3" s="1200"/>
      <c r="V3" s="1200"/>
      <c r="W3" s="1200"/>
      <c r="X3" s="1200"/>
      <c r="Y3" s="1200"/>
      <c r="Z3" s="1200"/>
      <c r="AA3" s="1200"/>
    </row>
    <row r="4" spans="1:32" s="6" customFormat="1" ht="15.75" hidden="1" x14ac:dyDescent="0.25">
      <c r="B4" s="11"/>
      <c r="C4" s="11"/>
      <c r="D4" s="11"/>
      <c r="E4" s="1201" t="s">
        <v>34</v>
      </c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1"/>
      <c r="U4" s="1201"/>
      <c r="V4" s="1201"/>
      <c r="W4" s="1201"/>
      <c r="X4" s="1201"/>
      <c r="Y4" s="1201"/>
      <c r="Z4" s="1201"/>
      <c r="AA4" s="1201"/>
    </row>
    <row r="5" spans="1:32" s="6" customFormat="1" ht="15.75" customHeight="1" x14ac:dyDescent="0.25">
      <c r="B5" s="10"/>
      <c r="C5" s="10"/>
      <c r="D5" s="10"/>
      <c r="E5" s="1202" t="s">
        <v>463</v>
      </c>
      <c r="F5" s="1202"/>
      <c r="G5" s="1202"/>
      <c r="H5" s="1202"/>
      <c r="I5" s="1202"/>
      <c r="J5" s="1202"/>
      <c r="K5" s="1202"/>
      <c r="L5" s="1202"/>
      <c r="M5" s="1202"/>
      <c r="N5" s="1202"/>
      <c r="O5" s="1202"/>
      <c r="P5" s="1202"/>
      <c r="Q5" s="1202"/>
      <c r="R5" s="1202"/>
      <c r="S5" s="1202"/>
      <c r="T5" s="1202"/>
      <c r="U5" s="1202"/>
      <c r="V5" s="1202"/>
      <c r="W5" s="1202"/>
      <c r="X5" s="1202"/>
      <c r="Y5" s="1202"/>
      <c r="Z5" s="1202"/>
      <c r="AA5" s="1202"/>
      <c r="AB5" s="1202"/>
      <c r="AC5" s="1202"/>
      <c r="AD5" s="1202"/>
      <c r="AE5" s="1202"/>
      <c r="AF5" s="1202"/>
    </row>
    <row r="6" spans="1:32" thickBot="1" x14ac:dyDescent="0.3">
      <c r="A6" s="2"/>
      <c r="B6" s="2"/>
      <c r="C6" s="2"/>
      <c r="D6" s="2"/>
      <c r="E6" s="2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234"/>
      <c r="T6" s="19"/>
      <c r="U6" s="19"/>
      <c r="V6" s="19"/>
      <c r="W6" s="2"/>
      <c r="X6" s="2"/>
      <c r="Y6" s="2"/>
      <c r="Z6" s="2"/>
      <c r="AA6" s="2"/>
    </row>
    <row r="7" spans="1:32" s="6" customFormat="1" ht="23.25" customHeight="1" thickTop="1" x14ac:dyDescent="0.2">
      <c r="A7" s="1203" t="s">
        <v>91</v>
      </c>
      <c r="B7" s="1205" t="s">
        <v>106</v>
      </c>
      <c r="C7" s="1206"/>
      <c r="D7" s="1209" t="s">
        <v>92</v>
      </c>
      <c r="E7" s="1206" t="s">
        <v>93</v>
      </c>
      <c r="F7" s="1241" t="s">
        <v>1799</v>
      </c>
      <c r="G7" s="1242"/>
      <c r="H7" s="1242"/>
      <c r="I7" s="1242"/>
      <c r="J7" s="1242"/>
      <c r="K7" s="1242"/>
      <c r="L7" s="1242"/>
      <c r="M7" s="1242"/>
      <c r="N7" s="1242"/>
      <c r="O7" s="1259"/>
      <c r="P7" s="669"/>
      <c r="Q7" s="669"/>
      <c r="R7" s="669"/>
      <c r="S7" s="1213" t="s">
        <v>102</v>
      </c>
      <c r="T7" s="1175" t="s">
        <v>104</v>
      </c>
      <c r="U7" s="1176"/>
      <c r="V7" s="1176"/>
      <c r="W7" s="1178"/>
      <c r="X7" s="1215" t="s">
        <v>99</v>
      </c>
      <c r="Y7" s="1215" t="s">
        <v>100</v>
      </c>
      <c r="Z7" s="1217" t="s">
        <v>103</v>
      </c>
      <c r="AA7" s="1219" t="s">
        <v>90</v>
      </c>
    </row>
    <row r="8" spans="1:32" s="6" customFormat="1" ht="134.25" customHeight="1" x14ac:dyDescent="0.2">
      <c r="A8" s="1204"/>
      <c r="B8" s="1235"/>
      <c r="C8" s="1236"/>
      <c r="D8" s="1210"/>
      <c r="E8" s="1258"/>
      <c r="F8" s="37" t="s">
        <v>330</v>
      </c>
      <c r="G8" s="232" t="s">
        <v>107</v>
      </c>
      <c r="H8" s="232" t="s">
        <v>295</v>
      </c>
      <c r="I8" s="232" t="s">
        <v>297</v>
      </c>
      <c r="J8" s="232" t="s">
        <v>38</v>
      </c>
      <c r="K8" s="232" t="s">
        <v>296</v>
      </c>
      <c r="L8" s="232" t="s">
        <v>298</v>
      </c>
      <c r="M8" s="16" t="s">
        <v>96</v>
      </c>
      <c r="N8" s="229" t="s">
        <v>458</v>
      </c>
      <c r="O8" s="620" t="s">
        <v>1791</v>
      </c>
      <c r="P8" s="620" t="s">
        <v>1798</v>
      </c>
      <c r="Q8" s="232" t="s">
        <v>299</v>
      </c>
      <c r="R8" s="230" t="s">
        <v>464</v>
      </c>
      <c r="S8" s="1260"/>
      <c r="T8" s="228" t="s">
        <v>108</v>
      </c>
      <c r="U8" s="228" t="s">
        <v>97</v>
      </c>
      <c r="V8" s="228" t="s">
        <v>96</v>
      </c>
      <c r="W8" s="135" t="s">
        <v>98</v>
      </c>
      <c r="X8" s="1227"/>
      <c r="Y8" s="1227"/>
      <c r="Z8" s="1257"/>
      <c r="AA8" s="1232"/>
      <c r="AB8" s="48" t="s">
        <v>94</v>
      </c>
    </row>
    <row r="9" spans="1:32" s="256" customFormat="1" ht="18" customHeight="1" x14ac:dyDescent="0.2">
      <c r="A9" s="285">
        <v>1</v>
      </c>
      <c r="B9" s="245" t="s">
        <v>1978</v>
      </c>
      <c r="C9" s="246">
        <v>2022</v>
      </c>
      <c r="D9" s="264" t="s">
        <v>929</v>
      </c>
      <c r="E9" s="653" t="s">
        <v>2025</v>
      </c>
      <c r="F9" s="266">
        <v>7.5</v>
      </c>
      <c r="G9" s="266">
        <v>6</v>
      </c>
      <c r="H9" s="266">
        <v>7.5</v>
      </c>
      <c r="I9" s="266">
        <v>7.5</v>
      </c>
      <c r="J9" s="266">
        <v>7</v>
      </c>
      <c r="K9" s="266">
        <v>7</v>
      </c>
      <c r="L9" s="266">
        <v>7.5</v>
      </c>
      <c r="M9" s="266">
        <v>7.5</v>
      </c>
      <c r="N9" s="266">
        <v>7</v>
      </c>
      <c r="O9" s="266">
        <v>7.5</v>
      </c>
      <c r="P9" s="266">
        <v>7.5</v>
      </c>
      <c r="Q9" s="266">
        <v>7.5</v>
      </c>
      <c r="R9" s="266">
        <v>6.5</v>
      </c>
      <c r="S9" s="243">
        <f>SUM(F9:R9)/13</f>
        <v>7.1923076923076925</v>
      </c>
      <c r="T9" s="268"/>
      <c r="U9" s="268"/>
      <c r="V9" s="268"/>
      <c r="W9" s="243">
        <f>SUM(T9:V9)/3</f>
        <v>0</v>
      </c>
      <c r="X9" s="243">
        <f>SUM(S9+W9)/2</f>
        <v>3.5961538461538463</v>
      </c>
      <c r="Y9" s="252" t="s">
        <v>101</v>
      </c>
      <c r="Z9" s="271"/>
      <c r="AA9" s="272" t="s">
        <v>171</v>
      </c>
      <c r="AB9" s="541"/>
      <c r="AC9" s="357">
        <f t="shared" ref="AC9:AC55" si="0">AVERAGE(F9:R9)</f>
        <v>7.1923076923076925</v>
      </c>
    </row>
    <row r="10" spans="1:32" s="256" customFormat="1" ht="18" customHeight="1" x14ac:dyDescent="0.2">
      <c r="A10" s="287">
        <v>2</v>
      </c>
      <c r="B10" s="245" t="s">
        <v>1979</v>
      </c>
      <c r="C10" s="246">
        <v>2022</v>
      </c>
      <c r="D10" s="269" t="s">
        <v>495</v>
      </c>
      <c r="E10" s="270" t="s">
        <v>238</v>
      </c>
      <c r="F10" s="242">
        <v>7.5</v>
      </c>
      <c r="G10" s="242">
        <v>7</v>
      </c>
      <c r="H10" s="242">
        <v>7</v>
      </c>
      <c r="I10" s="242">
        <v>7</v>
      </c>
      <c r="J10" s="242">
        <v>8</v>
      </c>
      <c r="K10" s="242">
        <v>6.5</v>
      </c>
      <c r="L10" s="242">
        <v>7</v>
      </c>
      <c r="M10" s="242">
        <v>6.5</v>
      </c>
      <c r="N10" s="242">
        <v>6.5</v>
      </c>
      <c r="O10" s="242">
        <v>6</v>
      </c>
      <c r="P10" s="242">
        <v>6</v>
      </c>
      <c r="Q10" s="242">
        <v>7</v>
      </c>
      <c r="R10" s="242">
        <v>7</v>
      </c>
      <c r="S10" s="243">
        <f>SUM(F10:R10)/13</f>
        <v>6.8461538461538458</v>
      </c>
      <c r="T10" s="242"/>
      <c r="U10" s="242"/>
      <c r="V10" s="242"/>
      <c r="W10" s="277">
        <f t="shared" ref="W10:W27" si="1">SUM(T10:V10)/3</f>
        <v>0</v>
      </c>
      <c r="X10" s="277">
        <f t="shared" ref="X10:X27" si="2">SUM(S10+W10)/2</f>
        <v>3.4230769230769229</v>
      </c>
      <c r="Y10" s="252" t="s">
        <v>101</v>
      </c>
      <c r="Z10" s="273"/>
      <c r="AA10" s="274" t="s">
        <v>216</v>
      </c>
      <c r="AB10" s="541"/>
      <c r="AC10" s="628">
        <f t="shared" si="0"/>
        <v>6.8461538461538458</v>
      </c>
    </row>
    <row r="11" spans="1:32" s="256" customFormat="1" ht="18" customHeight="1" x14ac:dyDescent="0.2">
      <c r="A11" s="287">
        <v>3</v>
      </c>
      <c r="B11" s="245" t="s">
        <v>1980</v>
      </c>
      <c r="C11" s="246">
        <v>2022</v>
      </c>
      <c r="D11" s="269" t="s">
        <v>930</v>
      </c>
      <c r="E11" s="270" t="s">
        <v>630</v>
      </c>
      <c r="F11" s="242">
        <v>7</v>
      </c>
      <c r="G11" s="242">
        <v>6</v>
      </c>
      <c r="H11" s="242">
        <v>7.5</v>
      </c>
      <c r="I11" s="242">
        <v>7.5</v>
      </c>
      <c r="J11" s="242">
        <v>7.4</v>
      </c>
      <c r="K11" s="242">
        <v>7</v>
      </c>
      <c r="L11" s="242">
        <v>7.5</v>
      </c>
      <c r="M11" s="242">
        <v>7.5</v>
      </c>
      <c r="N11" s="242">
        <v>7</v>
      </c>
      <c r="O11" s="242">
        <v>7</v>
      </c>
      <c r="P11" s="242">
        <v>6.5</v>
      </c>
      <c r="Q11" s="242">
        <v>6.5</v>
      </c>
      <c r="R11" s="242">
        <v>7.5</v>
      </c>
      <c r="S11" s="243">
        <f t="shared" ref="S11:S55" si="3">SUM(F11:R11)/13</f>
        <v>7.0692307692307699</v>
      </c>
      <c r="T11" s="242"/>
      <c r="U11" s="242"/>
      <c r="V11" s="242"/>
      <c r="W11" s="277">
        <f t="shared" si="1"/>
        <v>0</v>
      </c>
      <c r="X11" s="277">
        <f t="shared" si="2"/>
        <v>3.5346153846153849</v>
      </c>
      <c r="Y11" s="252" t="s">
        <v>101</v>
      </c>
      <c r="Z11" s="273"/>
      <c r="AA11" s="274" t="s">
        <v>667</v>
      </c>
      <c r="AB11" s="541"/>
      <c r="AC11" s="357">
        <f t="shared" si="0"/>
        <v>7.0692307692307699</v>
      </c>
    </row>
    <row r="12" spans="1:32" s="256" customFormat="1" ht="18" customHeight="1" x14ac:dyDescent="0.2">
      <c r="A12" s="287">
        <v>4</v>
      </c>
      <c r="B12" s="245" t="s">
        <v>1981</v>
      </c>
      <c r="C12" s="246">
        <v>2022</v>
      </c>
      <c r="D12" s="269" t="s">
        <v>931</v>
      </c>
      <c r="E12" s="270" t="s">
        <v>932</v>
      </c>
      <c r="F12" s="242">
        <v>8</v>
      </c>
      <c r="G12" s="242">
        <v>8</v>
      </c>
      <c r="H12" s="242">
        <v>8</v>
      </c>
      <c r="I12" s="242">
        <v>8</v>
      </c>
      <c r="J12" s="242">
        <v>8.4</v>
      </c>
      <c r="K12" s="242">
        <v>8.5</v>
      </c>
      <c r="L12" s="242">
        <v>8</v>
      </c>
      <c r="M12" s="242">
        <v>8</v>
      </c>
      <c r="N12" s="242">
        <v>7.5</v>
      </c>
      <c r="O12" s="242">
        <v>8</v>
      </c>
      <c r="P12" s="242">
        <v>8</v>
      </c>
      <c r="Q12" s="242">
        <v>8</v>
      </c>
      <c r="R12" s="242">
        <v>7</v>
      </c>
      <c r="S12" s="243">
        <f t="shared" si="3"/>
        <v>7.953846153846154</v>
      </c>
      <c r="T12" s="242"/>
      <c r="U12" s="242"/>
      <c r="V12" s="242"/>
      <c r="W12" s="277">
        <f t="shared" si="1"/>
        <v>0</v>
      </c>
      <c r="X12" s="277">
        <f t="shared" si="2"/>
        <v>3.976923076923077</v>
      </c>
      <c r="Y12" s="252" t="s">
        <v>101</v>
      </c>
      <c r="Z12" s="273"/>
      <c r="AA12" s="274" t="s">
        <v>171</v>
      </c>
      <c r="AB12" s="541"/>
      <c r="AC12" s="357">
        <f t="shared" si="0"/>
        <v>7.953846153846154</v>
      </c>
    </row>
    <row r="13" spans="1:32" s="256" customFormat="1" ht="18" customHeight="1" x14ac:dyDescent="0.2">
      <c r="A13" s="287">
        <v>5</v>
      </c>
      <c r="B13" s="245" t="s">
        <v>1982</v>
      </c>
      <c r="C13" s="246">
        <v>2022</v>
      </c>
      <c r="D13" s="269" t="s">
        <v>933</v>
      </c>
      <c r="E13" s="270" t="s">
        <v>934</v>
      </c>
      <c r="F13" s="242">
        <v>7</v>
      </c>
      <c r="G13" s="242">
        <v>7</v>
      </c>
      <c r="H13" s="242">
        <v>7.5</v>
      </c>
      <c r="I13" s="242">
        <v>7</v>
      </c>
      <c r="J13" s="242">
        <v>7.4</v>
      </c>
      <c r="K13" s="242">
        <v>6</v>
      </c>
      <c r="L13" s="242">
        <v>7.5</v>
      </c>
      <c r="M13" s="242">
        <v>7</v>
      </c>
      <c r="N13" s="242">
        <v>7.5</v>
      </c>
      <c r="O13" s="242">
        <v>7.5</v>
      </c>
      <c r="P13" s="242">
        <v>7.5</v>
      </c>
      <c r="Q13" s="242">
        <v>7.5</v>
      </c>
      <c r="R13" s="242">
        <v>7</v>
      </c>
      <c r="S13" s="243">
        <f t="shared" si="3"/>
        <v>7.1846153846153848</v>
      </c>
      <c r="T13" s="242"/>
      <c r="U13" s="242"/>
      <c r="V13" s="242"/>
      <c r="W13" s="277">
        <f t="shared" si="1"/>
        <v>0</v>
      </c>
      <c r="X13" s="277">
        <f t="shared" si="2"/>
        <v>3.5923076923076924</v>
      </c>
      <c r="Y13" s="252" t="s">
        <v>101</v>
      </c>
      <c r="Z13" s="273"/>
      <c r="AA13" s="274" t="s">
        <v>216</v>
      </c>
      <c r="AB13" s="541"/>
      <c r="AC13" s="357">
        <f t="shared" si="0"/>
        <v>7.1846153846153848</v>
      </c>
    </row>
    <row r="14" spans="1:32" s="256" customFormat="1" ht="18" customHeight="1" x14ac:dyDescent="0.2">
      <c r="A14" s="287">
        <v>6</v>
      </c>
      <c r="B14" s="245" t="s">
        <v>1983</v>
      </c>
      <c r="C14" s="246">
        <v>2022</v>
      </c>
      <c r="D14" s="269" t="s">
        <v>935</v>
      </c>
      <c r="E14" s="270" t="s">
        <v>936</v>
      </c>
      <c r="F14" s="242">
        <v>7.5</v>
      </c>
      <c r="G14" s="242">
        <v>7</v>
      </c>
      <c r="H14" s="242">
        <v>6.5</v>
      </c>
      <c r="I14" s="242">
        <v>7.5</v>
      </c>
      <c r="J14" s="242">
        <v>8.8000000000000007</v>
      </c>
      <c r="K14" s="242">
        <v>7</v>
      </c>
      <c r="L14" s="242">
        <v>7</v>
      </c>
      <c r="M14" s="242">
        <v>7.5</v>
      </c>
      <c r="N14" s="242">
        <v>7</v>
      </c>
      <c r="O14" s="242">
        <v>7</v>
      </c>
      <c r="P14" s="242">
        <v>7.5</v>
      </c>
      <c r="Q14" s="242">
        <v>7</v>
      </c>
      <c r="R14" s="242">
        <v>7</v>
      </c>
      <c r="S14" s="243">
        <f t="shared" si="3"/>
        <v>7.2538461538461538</v>
      </c>
      <c r="T14" s="242"/>
      <c r="U14" s="242"/>
      <c r="V14" s="242"/>
      <c r="W14" s="277">
        <f t="shared" si="1"/>
        <v>0</v>
      </c>
      <c r="X14" s="277">
        <f t="shared" si="2"/>
        <v>3.6269230769230769</v>
      </c>
      <c r="Y14" s="252" t="s">
        <v>101</v>
      </c>
      <c r="Z14" s="273"/>
      <c r="AA14" s="274" t="s">
        <v>202</v>
      </c>
      <c r="AB14" s="541"/>
      <c r="AC14" s="357">
        <f t="shared" si="0"/>
        <v>7.2538461538461538</v>
      </c>
    </row>
    <row r="15" spans="1:32" s="256" customFormat="1" ht="18" customHeight="1" x14ac:dyDescent="0.2">
      <c r="A15" s="287">
        <v>7</v>
      </c>
      <c r="B15" s="245" t="s">
        <v>1984</v>
      </c>
      <c r="C15" s="246">
        <v>2022</v>
      </c>
      <c r="D15" s="269" t="s">
        <v>937</v>
      </c>
      <c r="E15" s="270" t="s">
        <v>788</v>
      </c>
      <c r="F15" s="242">
        <v>7</v>
      </c>
      <c r="G15" s="242">
        <v>6</v>
      </c>
      <c r="H15" s="242">
        <v>7</v>
      </c>
      <c r="I15" s="242">
        <v>7.5</v>
      </c>
      <c r="J15" s="242">
        <v>7</v>
      </c>
      <c r="K15" s="242">
        <v>7.5</v>
      </c>
      <c r="L15" s="242">
        <v>7.5</v>
      </c>
      <c r="M15" s="242">
        <v>7</v>
      </c>
      <c r="N15" s="242">
        <v>7</v>
      </c>
      <c r="O15" s="242">
        <v>7</v>
      </c>
      <c r="P15" s="242">
        <v>6.5</v>
      </c>
      <c r="Q15" s="242">
        <v>7.58</v>
      </c>
      <c r="R15" s="242">
        <v>7</v>
      </c>
      <c r="S15" s="243">
        <f t="shared" si="3"/>
        <v>7.0446153846153843</v>
      </c>
      <c r="T15" s="242"/>
      <c r="U15" s="242"/>
      <c r="V15" s="242"/>
      <c r="W15" s="277">
        <f t="shared" si="1"/>
        <v>0</v>
      </c>
      <c r="X15" s="277">
        <f t="shared" si="2"/>
        <v>3.5223076923076921</v>
      </c>
      <c r="Y15" s="252" t="s">
        <v>101</v>
      </c>
      <c r="Z15" s="273"/>
      <c r="AA15" s="274" t="s">
        <v>198</v>
      </c>
      <c r="AB15" s="541"/>
      <c r="AC15" s="357">
        <f t="shared" si="0"/>
        <v>7.0446153846153843</v>
      </c>
    </row>
    <row r="16" spans="1:32" s="256" customFormat="1" ht="18" customHeight="1" x14ac:dyDescent="0.2">
      <c r="A16" s="287">
        <v>8</v>
      </c>
      <c r="B16" s="245" t="s">
        <v>1985</v>
      </c>
      <c r="C16" s="246">
        <v>2022</v>
      </c>
      <c r="D16" s="269" t="s">
        <v>938</v>
      </c>
      <c r="E16" s="270" t="s">
        <v>231</v>
      </c>
      <c r="F16" s="623">
        <v>7</v>
      </c>
      <c r="G16" s="242">
        <v>7</v>
      </c>
      <c r="H16" s="242">
        <v>6.5</v>
      </c>
      <c r="I16" s="242">
        <v>7</v>
      </c>
      <c r="J16" s="242">
        <v>8</v>
      </c>
      <c r="K16" s="242">
        <v>6</v>
      </c>
      <c r="L16" s="242">
        <v>7</v>
      </c>
      <c r="M16" s="242">
        <v>7</v>
      </c>
      <c r="N16" s="242">
        <v>7</v>
      </c>
      <c r="O16" s="242">
        <v>7</v>
      </c>
      <c r="P16" s="242">
        <v>6.5</v>
      </c>
      <c r="Q16" s="242">
        <v>7</v>
      </c>
      <c r="R16" s="625">
        <v>7</v>
      </c>
      <c r="S16" s="243">
        <f t="shared" si="3"/>
        <v>6.9230769230769234</v>
      </c>
      <c r="T16" s="242"/>
      <c r="U16" s="242"/>
      <c r="V16" s="242"/>
      <c r="W16" s="277">
        <f t="shared" si="1"/>
        <v>0</v>
      </c>
      <c r="X16" s="277">
        <f t="shared" si="2"/>
        <v>3.4615384615384617</v>
      </c>
      <c r="Y16" s="252" t="s">
        <v>101</v>
      </c>
      <c r="Z16" s="273"/>
      <c r="AA16" s="274" t="s">
        <v>218</v>
      </c>
      <c r="AB16" s="541"/>
      <c r="AC16" s="628">
        <f t="shared" si="0"/>
        <v>6.9230769230769234</v>
      </c>
    </row>
    <row r="17" spans="1:29" s="256" customFormat="1" ht="18" customHeight="1" x14ac:dyDescent="0.2">
      <c r="A17" s="287">
        <v>9</v>
      </c>
      <c r="B17" s="245" t="s">
        <v>1986</v>
      </c>
      <c r="C17" s="246">
        <v>2022</v>
      </c>
      <c r="D17" s="269" t="s">
        <v>939</v>
      </c>
      <c r="E17" s="270" t="s">
        <v>940</v>
      </c>
      <c r="F17" s="242">
        <v>8</v>
      </c>
      <c r="G17" s="242">
        <v>8</v>
      </c>
      <c r="H17" s="242">
        <v>8</v>
      </c>
      <c r="I17" s="242">
        <v>8.5</v>
      </c>
      <c r="J17" s="242">
        <v>8</v>
      </c>
      <c r="K17" s="242">
        <v>8.5</v>
      </c>
      <c r="L17" s="242">
        <v>8</v>
      </c>
      <c r="M17" s="242">
        <v>8</v>
      </c>
      <c r="N17" s="242">
        <v>8</v>
      </c>
      <c r="O17" s="242">
        <v>8</v>
      </c>
      <c r="P17" s="242">
        <v>8</v>
      </c>
      <c r="Q17" s="242">
        <v>8</v>
      </c>
      <c r="R17" s="242">
        <v>7</v>
      </c>
      <c r="S17" s="243">
        <f t="shared" si="3"/>
        <v>8</v>
      </c>
      <c r="T17" s="242"/>
      <c r="U17" s="242"/>
      <c r="V17" s="242"/>
      <c r="W17" s="277">
        <f t="shared" si="1"/>
        <v>0</v>
      </c>
      <c r="X17" s="277">
        <f t="shared" si="2"/>
        <v>4</v>
      </c>
      <c r="Y17" s="252" t="s">
        <v>101</v>
      </c>
      <c r="Z17" s="273"/>
      <c r="AA17" s="274" t="s">
        <v>186</v>
      </c>
      <c r="AB17" s="541"/>
      <c r="AC17" s="613">
        <f t="shared" si="0"/>
        <v>8</v>
      </c>
    </row>
    <row r="18" spans="1:29" s="256" customFormat="1" ht="18" customHeight="1" x14ac:dyDescent="0.2">
      <c r="A18" s="287">
        <v>10</v>
      </c>
      <c r="B18" s="245" t="s">
        <v>1987</v>
      </c>
      <c r="C18" s="246">
        <v>2022</v>
      </c>
      <c r="D18" s="269" t="s">
        <v>941</v>
      </c>
      <c r="E18" s="270" t="s">
        <v>942</v>
      </c>
      <c r="F18" s="242">
        <v>7</v>
      </c>
      <c r="G18" s="242">
        <v>7</v>
      </c>
      <c r="H18" s="242">
        <v>7</v>
      </c>
      <c r="I18" s="242">
        <v>7</v>
      </c>
      <c r="J18" s="242">
        <v>7.4</v>
      </c>
      <c r="K18" s="242">
        <v>7</v>
      </c>
      <c r="L18" s="242">
        <v>7</v>
      </c>
      <c r="M18" s="242">
        <v>7</v>
      </c>
      <c r="N18" s="242">
        <v>7</v>
      </c>
      <c r="O18" s="242">
        <v>7.5</v>
      </c>
      <c r="P18" s="242">
        <v>7.5</v>
      </c>
      <c r="Q18" s="242">
        <v>7.5</v>
      </c>
      <c r="R18" s="242">
        <v>7.5</v>
      </c>
      <c r="S18" s="243">
        <f t="shared" si="3"/>
        <v>7.1846153846153848</v>
      </c>
      <c r="T18" s="242"/>
      <c r="U18" s="242"/>
      <c r="V18" s="242"/>
      <c r="W18" s="277">
        <f t="shared" si="1"/>
        <v>0</v>
      </c>
      <c r="X18" s="277">
        <f t="shared" si="2"/>
        <v>3.5923076923076924</v>
      </c>
      <c r="Y18" s="252" t="s">
        <v>101</v>
      </c>
      <c r="Z18" s="273"/>
      <c r="AA18" s="274" t="s">
        <v>194</v>
      </c>
      <c r="AB18" s="541"/>
      <c r="AC18" s="357">
        <f t="shared" si="0"/>
        <v>7.1846153846153848</v>
      </c>
    </row>
    <row r="19" spans="1:29" s="256" customFormat="1" ht="18" customHeight="1" x14ac:dyDescent="0.2">
      <c r="A19" s="287">
        <v>11</v>
      </c>
      <c r="B19" s="245" t="s">
        <v>1988</v>
      </c>
      <c r="C19" s="246">
        <v>2022</v>
      </c>
      <c r="D19" s="269" t="s">
        <v>943</v>
      </c>
      <c r="E19" s="270" t="s">
        <v>944</v>
      </c>
      <c r="F19" s="242">
        <v>7</v>
      </c>
      <c r="G19" s="242">
        <v>5</v>
      </c>
      <c r="H19" s="242">
        <v>7.5</v>
      </c>
      <c r="I19" s="242">
        <v>8</v>
      </c>
      <c r="J19" s="242">
        <v>7.4</v>
      </c>
      <c r="K19" s="242">
        <v>6</v>
      </c>
      <c r="L19" s="242">
        <v>7.5</v>
      </c>
      <c r="M19" s="242">
        <v>7.5</v>
      </c>
      <c r="N19" s="242">
        <v>5</v>
      </c>
      <c r="O19" s="242">
        <v>6</v>
      </c>
      <c r="P19" s="242">
        <v>7</v>
      </c>
      <c r="Q19" s="242">
        <v>7.5</v>
      </c>
      <c r="R19" s="242">
        <v>7</v>
      </c>
      <c r="S19" s="243">
        <f t="shared" si="3"/>
        <v>6.8000000000000007</v>
      </c>
      <c r="T19" s="242"/>
      <c r="U19" s="242"/>
      <c r="V19" s="242"/>
      <c r="W19" s="277">
        <f t="shared" si="1"/>
        <v>0</v>
      </c>
      <c r="X19" s="277">
        <f t="shared" si="2"/>
        <v>3.4000000000000004</v>
      </c>
      <c r="Y19" s="252" t="s">
        <v>101</v>
      </c>
      <c r="Z19" s="273"/>
      <c r="AA19" s="274" t="s">
        <v>218</v>
      </c>
      <c r="AB19" s="541"/>
      <c r="AC19" s="628">
        <f t="shared" si="0"/>
        <v>6.8000000000000007</v>
      </c>
    </row>
    <row r="20" spans="1:29" s="256" customFormat="1" ht="18" customHeight="1" x14ac:dyDescent="0.2">
      <c r="A20" s="287">
        <v>12</v>
      </c>
      <c r="B20" s="245" t="s">
        <v>1989</v>
      </c>
      <c r="C20" s="246">
        <v>2022</v>
      </c>
      <c r="D20" s="269" t="s">
        <v>545</v>
      </c>
      <c r="E20" s="270" t="s">
        <v>945</v>
      </c>
      <c r="F20" s="242">
        <v>7.5</v>
      </c>
      <c r="G20" s="242">
        <v>7</v>
      </c>
      <c r="H20" s="242">
        <v>7.5</v>
      </c>
      <c r="I20" s="242">
        <v>7.5</v>
      </c>
      <c r="J20" s="242">
        <v>6.6</v>
      </c>
      <c r="K20" s="242">
        <v>6</v>
      </c>
      <c r="L20" s="242">
        <v>7.5</v>
      </c>
      <c r="M20" s="242">
        <v>7</v>
      </c>
      <c r="N20" s="242">
        <v>7.5</v>
      </c>
      <c r="O20" s="242">
        <v>7</v>
      </c>
      <c r="P20" s="242">
        <v>7</v>
      </c>
      <c r="Q20" s="242">
        <v>6.5</v>
      </c>
      <c r="R20" s="242">
        <v>7</v>
      </c>
      <c r="S20" s="243">
        <f t="shared" si="3"/>
        <v>7.046153846153846</v>
      </c>
      <c r="T20" s="242"/>
      <c r="U20" s="242"/>
      <c r="V20" s="242"/>
      <c r="W20" s="277">
        <f t="shared" si="1"/>
        <v>0</v>
      </c>
      <c r="X20" s="277">
        <f t="shared" si="2"/>
        <v>3.523076923076923</v>
      </c>
      <c r="Y20" s="252" t="s">
        <v>101</v>
      </c>
      <c r="Z20" s="273"/>
      <c r="AA20" s="274" t="s">
        <v>198</v>
      </c>
      <c r="AB20" s="541"/>
      <c r="AC20" s="357">
        <f t="shared" si="0"/>
        <v>7.046153846153846</v>
      </c>
    </row>
    <row r="21" spans="1:29" s="256" customFormat="1" ht="18" customHeight="1" x14ac:dyDescent="0.2">
      <c r="A21" s="287">
        <v>13</v>
      </c>
      <c r="B21" s="245" t="s">
        <v>1990</v>
      </c>
      <c r="C21" s="246">
        <v>2022</v>
      </c>
      <c r="D21" s="269" t="s">
        <v>946</v>
      </c>
      <c r="E21" s="270" t="s">
        <v>947</v>
      </c>
      <c r="F21" s="242">
        <v>7.5</v>
      </c>
      <c r="G21" s="242">
        <v>7</v>
      </c>
      <c r="H21" s="242">
        <v>7</v>
      </c>
      <c r="I21" s="242">
        <v>7</v>
      </c>
      <c r="J21" s="242">
        <v>7</v>
      </c>
      <c r="K21" s="242">
        <v>6</v>
      </c>
      <c r="L21" s="242">
        <v>7</v>
      </c>
      <c r="M21" s="242">
        <v>7.5</v>
      </c>
      <c r="N21" s="242">
        <v>7</v>
      </c>
      <c r="O21" s="242">
        <v>7.5</v>
      </c>
      <c r="P21" s="242">
        <v>7.5</v>
      </c>
      <c r="Q21" s="242">
        <v>7</v>
      </c>
      <c r="R21" s="242">
        <v>7</v>
      </c>
      <c r="S21" s="243">
        <f t="shared" si="3"/>
        <v>7.0769230769230766</v>
      </c>
      <c r="T21" s="242"/>
      <c r="U21" s="242"/>
      <c r="V21" s="242"/>
      <c r="W21" s="277">
        <f t="shared" si="1"/>
        <v>0</v>
      </c>
      <c r="X21" s="277">
        <f t="shared" si="2"/>
        <v>3.5384615384615383</v>
      </c>
      <c r="Y21" s="252" t="s">
        <v>101</v>
      </c>
      <c r="Z21" s="273"/>
      <c r="AA21" s="274" t="s">
        <v>215</v>
      </c>
      <c r="AB21" s="541"/>
      <c r="AC21" s="357">
        <f t="shared" si="0"/>
        <v>7.0769230769230766</v>
      </c>
    </row>
    <row r="22" spans="1:29" s="256" customFormat="1" ht="18" customHeight="1" x14ac:dyDescent="0.2">
      <c r="A22" s="287">
        <v>14</v>
      </c>
      <c r="B22" s="245" t="s">
        <v>1991</v>
      </c>
      <c r="C22" s="246">
        <v>2022</v>
      </c>
      <c r="D22" s="621" t="s">
        <v>948</v>
      </c>
      <c r="E22" s="270" t="s">
        <v>949</v>
      </c>
      <c r="F22" s="242">
        <v>7</v>
      </c>
      <c r="G22" s="242">
        <v>7</v>
      </c>
      <c r="H22" s="242">
        <v>7.5</v>
      </c>
      <c r="I22" s="242">
        <v>7</v>
      </c>
      <c r="J22" s="242">
        <v>5.8</v>
      </c>
      <c r="K22" s="242">
        <v>7</v>
      </c>
      <c r="L22" s="242">
        <v>7</v>
      </c>
      <c r="M22" s="242">
        <v>7</v>
      </c>
      <c r="N22" s="242">
        <v>7</v>
      </c>
      <c r="O22" s="242">
        <v>7</v>
      </c>
      <c r="P22" s="242">
        <v>7</v>
      </c>
      <c r="Q22" s="242">
        <v>7</v>
      </c>
      <c r="R22" s="242">
        <v>7</v>
      </c>
      <c r="S22" s="243">
        <f t="shared" si="3"/>
        <v>6.9461538461538463</v>
      </c>
      <c r="T22" s="242"/>
      <c r="U22" s="242"/>
      <c r="V22" s="242"/>
      <c r="W22" s="277">
        <f t="shared" si="1"/>
        <v>0</v>
      </c>
      <c r="X22" s="277">
        <f t="shared" si="2"/>
        <v>3.4730769230769232</v>
      </c>
      <c r="Y22" s="252" t="s">
        <v>101</v>
      </c>
      <c r="Z22" s="273"/>
      <c r="AA22" s="274" t="s">
        <v>18</v>
      </c>
      <c r="AB22" s="541"/>
      <c r="AC22" s="628">
        <f t="shared" si="0"/>
        <v>6.9461538461538463</v>
      </c>
    </row>
    <row r="23" spans="1:29" s="256" customFormat="1" ht="18" customHeight="1" x14ac:dyDescent="0.2">
      <c r="A23" s="287">
        <v>15</v>
      </c>
      <c r="B23" s="245" t="s">
        <v>1992</v>
      </c>
      <c r="C23" s="246">
        <v>2022</v>
      </c>
      <c r="D23" s="269" t="s">
        <v>950</v>
      </c>
      <c r="E23" s="270" t="s">
        <v>252</v>
      </c>
      <c r="F23" s="242">
        <v>7.5</v>
      </c>
      <c r="G23" s="242">
        <v>7</v>
      </c>
      <c r="H23" s="242">
        <v>6.5</v>
      </c>
      <c r="I23" s="242">
        <v>7.5</v>
      </c>
      <c r="J23" s="242">
        <v>6.6</v>
      </c>
      <c r="K23" s="242">
        <v>7</v>
      </c>
      <c r="L23" s="242">
        <v>8</v>
      </c>
      <c r="M23" s="242">
        <v>7</v>
      </c>
      <c r="N23" s="242">
        <v>6.5</v>
      </c>
      <c r="O23" s="242">
        <v>7.5</v>
      </c>
      <c r="P23" s="242">
        <v>6</v>
      </c>
      <c r="Q23" s="242">
        <v>7.5</v>
      </c>
      <c r="R23" s="242">
        <v>6.5</v>
      </c>
      <c r="S23" s="243">
        <f t="shared" si="3"/>
        <v>7.0076923076923077</v>
      </c>
      <c r="T23" s="242"/>
      <c r="U23" s="242"/>
      <c r="V23" s="242"/>
      <c r="W23" s="277">
        <f t="shared" si="1"/>
        <v>0</v>
      </c>
      <c r="X23" s="277">
        <f t="shared" si="2"/>
        <v>3.5038461538461538</v>
      </c>
      <c r="Y23" s="252" t="s">
        <v>101</v>
      </c>
      <c r="Z23" s="273"/>
      <c r="AA23" s="274" t="s">
        <v>196</v>
      </c>
      <c r="AB23" s="541"/>
      <c r="AC23" s="357">
        <f t="shared" si="0"/>
        <v>7.0076923076923077</v>
      </c>
    </row>
    <row r="24" spans="1:29" s="256" customFormat="1" ht="18" customHeight="1" x14ac:dyDescent="0.2">
      <c r="A24" s="287">
        <v>16</v>
      </c>
      <c r="B24" s="245" t="s">
        <v>1993</v>
      </c>
      <c r="C24" s="246">
        <v>2022</v>
      </c>
      <c r="D24" s="269" t="s">
        <v>951</v>
      </c>
      <c r="E24" s="270" t="s">
        <v>952</v>
      </c>
      <c r="F24" s="242">
        <v>8</v>
      </c>
      <c r="G24" s="242">
        <v>7</v>
      </c>
      <c r="H24" s="242">
        <v>7.5</v>
      </c>
      <c r="I24" s="242">
        <v>7.5</v>
      </c>
      <c r="J24" s="242">
        <v>5.8</v>
      </c>
      <c r="K24" s="242">
        <v>7.5</v>
      </c>
      <c r="L24" s="242">
        <v>7.5</v>
      </c>
      <c r="M24" s="242">
        <v>7</v>
      </c>
      <c r="N24" s="242">
        <v>7</v>
      </c>
      <c r="O24" s="242">
        <v>8</v>
      </c>
      <c r="P24" s="242">
        <v>7</v>
      </c>
      <c r="Q24" s="242">
        <v>7.5</v>
      </c>
      <c r="R24" s="242">
        <v>7</v>
      </c>
      <c r="S24" s="243">
        <f t="shared" si="3"/>
        <v>7.2538461538461538</v>
      </c>
      <c r="T24" s="242"/>
      <c r="U24" s="242"/>
      <c r="V24" s="242"/>
      <c r="W24" s="277">
        <f t="shared" si="1"/>
        <v>0</v>
      </c>
      <c r="X24" s="277">
        <f t="shared" si="2"/>
        <v>3.6269230769230769</v>
      </c>
      <c r="Y24" s="252" t="s">
        <v>101</v>
      </c>
      <c r="Z24" s="273"/>
      <c r="AA24" s="274" t="s">
        <v>882</v>
      </c>
      <c r="AB24" s="541"/>
      <c r="AC24" s="357">
        <f t="shared" si="0"/>
        <v>7.2538461538461538</v>
      </c>
    </row>
    <row r="25" spans="1:29" s="256" customFormat="1" ht="18" customHeight="1" x14ac:dyDescent="0.2">
      <c r="A25" s="287">
        <v>17</v>
      </c>
      <c r="B25" s="245" t="s">
        <v>1994</v>
      </c>
      <c r="C25" s="246">
        <v>2022</v>
      </c>
      <c r="D25" s="269" t="s">
        <v>953</v>
      </c>
      <c r="E25" s="270" t="s">
        <v>954</v>
      </c>
      <c r="F25" s="242">
        <v>7</v>
      </c>
      <c r="G25" s="242">
        <v>7</v>
      </c>
      <c r="H25" s="242">
        <v>7.5</v>
      </c>
      <c r="I25" s="242">
        <v>7</v>
      </c>
      <c r="J25" s="242">
        <v>7</v>
      </c>
      <c r="K25" s="242">
        <v>6</v>
      </c>
      <c r="L25" s="242">
        <v>7</v>
      </c>
      <c r="M25" s="242">
        <v>7.5</v>
      </c>
      <c r="N25" s="242">
        <v>7</v>
      </c>
      <c r="O25" s="242">
        <v>7.5</v>
      </c>
      <c r="P25" s="242">
        <v>7</v>
      </c>
      <c r="Q25" s="242">
        <v>7.5</v>
      </c>
      <c r="R25" s="242">
        <v>7</v>
      </c>
      <c r="S25" s="243">
        <f t="shared" si="3"/>
        <v>7.0769230769230766</v>
      </c>
      <c r="T25" s="242"/>
      <c r="U25" s="242"/>
      <c r="V25" s="242"/>
      <c r="W25" s="277">
        <f t="shared" si="1"/>
        <v>0</v>
      </c>
      <c r="X25" s="277">
        <f t="shared" si="2"/>
        <v>3.5384615384615383</v>
      </c>
      <c r="Y25" s="252" t="s">
        <v>101</v>
      </c>
      <c r="Z25" s="273"/>
      <c r="AA25" s="274" t="s">
        <v>190</v>
      </c>
      <c r="AB25" s="541"/>
      <c r="AC25" s="357">
        <f t="shared" si="0"/>
        <v>7.0769230769230766</v>
      </c>
    </row>
    <row r="26" spans="1:29" s="256" customFormat="1" ht="18" customHeight="1" x14ac:dyDescent="0.2">
      <c r="A26" s="287">
        <v>18</v>
      </c>
      <c r="B26" s="245" t="s">
        <v>1995</v>
      </c>
      <c r="C26" s="246">
        <v>2022</v>
      </c>
      <c r="D26" s="269" t="s">
        <v>955</v>
      </c>
      <c r="E26" s="270" t="s">
        <v>763</v>
      </c>
      <c r="F26" s="242">
        <v>7.5</v>
      </c>
      <c r="G26" s="242">
        <v>7</v>
      </c>
      <c r="H26" s="242">
        <v>7</v>
      </c>
      <c r="I26" s="242">
        <v>7.5</v>
      </c>
      <c r="J26" s="242">
        <v>7</v>
      </c>
      <c r="K26" s="242">
        <v>8</v>
      </c>
      <c r="L26" s="242">
        <v>7</v>
      </c>
      <c r="M26" s="242">
        <v>7.5</v>
      </c>
      <c r="N26" s="242">
        <v>5</v>
      </c>
      <c r="O26" s="242">
        <v>7</v>
      </c>
      <c r="P26" s="242">
        <v>7</v>
      </c>
      <c r="Q26" s="242">
        <v>7</v>
      </c>
      <c r="R26" s="242">
        <v>7</v>
      </c>
      <c r="S26" s="243">
        <f t="shared" si="3"/>
        <v>7.0384615384615383</v>
      </c>
      <c r="T26" s="242"/>
      <c r="U26" s="242"/>
      <c r="V26" s="242"/>
      <c r="W26" s="277">
        <f t="shared" si="1"/>
        <v>0</v>
      </c>
      <c r="X26" s="277">
        <f t="shared" si="2"/>
        <v>3.5192307692307692</v>
      </c>
      <c r="Y26" s="252" t="s">
        <v>101</v>
      </c>
      <c r="Z26" s="273"/>
      <c r="AA26" s="274" t="s">
        <v>193</v>
      </c>
      <c r="AB26" s="541"/>
      <c r="AC26" s="357">
        <f t="shared" si="0"/>
        <v>7.0384615384615383</v>
      </c>
    </row>
    <row r="27" spans="1:29" s="256" customFormat="1" ht="18" customHeight="1" x14ac:dyDescent="0.2">
      <c r="A27" s="287">
        <v>19</v>
      </c>
      <c r="B27" s="245" t="s">
        <v>1996</v>
      </c>
      <c r="C27" s="246">
        <v>2022</v>
      </c>
      <c r="D27" s="269" t="s">
        <v>956</v>
      </c>
      <c r="E27" s="270" t="s">
        <v>763</v>
      </c>
      <c r="F27" s="242">
        <v>6.5</v>
      </c>
      <c r="G27" s="242">
        <v>5</v>
      </c>
      <c r="H27" s="458">
        <v>7.5</v>
      </c>
      <c r="I27" s="242">
        <v>6.5</v>
      </c>
      <c r="J27" s="242">
        <v>6.2</v>
      </c>
      <c r="K27" s="242">
        <v>7.5</v>
      </c>
      <c r="L27" s="242">
        <v>6.5</v>
      </c>
      <c r="M27" s="242">
        <v>6.5</v>
      </c>
      <c r="N27" s="242">
        <v>5.5</v>
      </c>
      <c r="O27" s="242">
        <v>7</v>
      </c>
      <c r="P27" s="242">
        <v>7</v>
      </c>
      <c r="Q27" s="242">
        <v>7</v>
      </c>
      <c r="R27" s="242">
        <v>6.5</v>
      </c>
      <c r="S27" s="243">
        <f t="shared" si="3"/>
        <v>6.5538461538461537</v>
      </c>
      <c r="T27" s="242"/>
      <c r="U27" s="242"/>
      <c r="V27" s="242"/>
      <c r="W27" s="277">
        <f t="shared" si="1"/>
        <v>0</v>
      </c>
      <c r="X27" s="277">
        <f t="shared" si="2"/>
        <v>3.2769230769230768</v>
      </c>
      <c r="Y27" s="252" t="s">
        <v>95</v>
      </c>
      <c r="Z27" s="273"/>
      <c r="AA27" s="274" t="s">
        <v>190</v>
      </c>
      <c r="AB27" s="541"/>
      <c r="AC27" s="628">
        <f t="shared" si="0"/>
        <v>6.5538461538461537</v>
      </c>
    </row>
    <row r="28" spans="1:29" s="256" customFormat="1" ht="18" customHeight="1" x14ac:dyDescent="0.2">
      <c r="A28" s="287">
        <v>20</v>
      </c>
      <c r="B28" s="245" t="s">
        <v>1997</v>
      </c>
      <c r="C28" s="246">
        <v>2022</v>
      </c>
      <c r="D28" s="269" t="s">
        <v>957</v>
      </c>
      <c r="E28" s="270" t="s">
        <v>612</v>
      </c>
      <c r="F28" s="242">
        <v>7.5</v>
      </c>
      <c r="G28" s="242">
        <v>7</v>
      </c>
      <c r="H28" s="242">
        <v>8</v>
      </c>
      <c r="I28" s="242">
        <v>7.5</v>
      </c>
      <c r="J28" s="242">
        <v>6.2</v>
      </c>
      <c r="K28" s="242">
        <v>7.5</v>
      </c>
      <c r="L28" s="242">
        <v>7.5</v>
      </c>
      <c r="M28" s="242">
        <v>7</v>
      </c>
      <c r="N28" s="242">
        <v>7.5</v>
      </c>
      <c r="O28" s="242">
        <v>7.5</v>
      </c>
      <c r="P28" s="242">
        <v>7</v>
      </c>
      <c r="Q28" s="242">
        <v>7.5</v>
      </c>
      <c r="R28" s="242">
        <v>7</v>
      </c>
      <c r="S28" s="243">
        <f t="shared" si="3"/>
        <v>7.2846153846153845</v>
      </c>
      <c r="T28" s="242"/>
      <c r="U28" s="242"/>
      <c r="V28" s="242"/>
      <c r="W28" s="277">
        <f>SUM(T28:V28)/3</f>
        <v>0</v>
      </c>
      <c r="X28" s="277">
        <f>SUM(S28+W28)/2</f>
        <v>3.6423076923076922</v>
      </c>
      <c r="Y28" s="252" t="s">
        <v>101</v>
      </c>
      <c r="Z28" s="273"/>
      <c r="AA28" s="274" t="s">
        <v>215</v>
      </c>
      <c r="AB28" s="541"/>
      <c r="AC28" s="357">
        <f t="shared" si="0"/>
        <v>7.2846153846153845</v>
      </c>
    </row>
    <row r="29" spans="1:29" s="256" customFormat="1" ht="18" customHeight="1" x14ac:dyDescent="0.2">
      <c r="A29" s="287">
        <v>21</v>
      </c>
      <c r="B29" s="245" t="s">
        <v>1998</v>
      </c>
      <c r="C29" s="246">
        <v>2022</v>
      </c>
      <c r="D29" s="269" t="s">
        <v>276</v>
      </c>
      <c r="E29" s="270" t="s">
        <v>212</v>
      </c>
      <c r="F29" s="242">
        <v>8</v>
      </c>
      <c r="G29" s="242">
        <v>8</v>
      </c>
      <c r="H29" s="242">
        <v>8</v>
      </c>
      <c r="I29" s="242">
        <v>8</v>
      </c>
      <c r="J29" s="242">
        <v>8.4</v>
      </c>
      <c r="K29" s="242">
        <v>8.5</v>
      </c>
      <c r="L29" s="242">
        <v>8</v>
      </c>
      <c r="M29" s="242">
        <v>8</v>
      </c>
      <c r="N29" s="242">
        <v>7</v>
      </c>
      <c r="O29" s="242">
        <v>8</v>
      </c>
      <c r="P29" s="242">
        <v>5</v>
      </c>
      <c r="Q29" s="242">
        <v>8</v>
      </c>
      <c r="R29" s="242">
        <v>7</v>
      </c>
      <c r="S29" s="243">
        <f t="shared" si="3"/>
        <v>7.6846153846153848</v>
      </c>
      <c r="T29" s="242"/>
      <c r="U29" s="242"/>
      <c r="V29" s="242"/>
      <c r="W29" s="277">
        <f>SUM(T29:V29)/3</f>
        <v>0</v>
      </c>
      <c r="X29" s="277">
        <f>SUM(S29+W29)/2</f>
        <v>3.8423076923076924</v>
      </c>
      <c r="Y29" s="252" t="s">
        <v>101</v>
      </c>
      <c r="Z29" s="273"/>
      <c r="AA29" s="274" t="s">
        <v>180</v>
      </c>
      <c r="AB29" s="541"/>
      <c r="AC29" s="357">
        <f t="shared" si="0"/>
        <v>7.6846153846153848</v>
      </c>
    </row>
    <row r="30" spans="1:29" s="256" customFormat="1" ht="18" customHeight="1" x14ac:dyDescent="0.2">
      <c r="A30" s="287">
        <v>22</v>
      </c>
      <c r="B30" s="245" t="s">
        <v>1999</v>
      </c>
      <c r="C30" s="246">
        <v>2022</v>
      </c>
      <c r="D30" s="269" t="s">
        <v>958</v>
      </c>
      <c r="E30" s="270" t="s">
        <v>660</v>
      </c>
      <c r="F30" s="242">
        <v>7</v>
      </c>
      <c r="G30" s="242">
        <v>6</v>
      </c>
      <c r="H30" s="242">
        <v>7</v>
      </c>
      <c r="I30" s="242">
        <v>7</v>
      </c>
      <c r="J30" s="242">
        <v>8.8000000000000007</v>
      </c>
      <c r="K30" s="242">
        <v>7</v>
      </c>
      <c r="L30" s="242">
        <v>7.5</v>
      </c>
      <c r="M30" s="242">
        <v>7</v>
      </c>
      <c r="N30" s="242">
        <v>8</v>
      </c>
      <c r="O30" s="242">
        <v>7</v>
      </c>
      <c r="P30" s="242">
        <v>7.5</v>
      </c>
      <c r="Q30" s="242">
        <v>7.5</v>
      </c>
      <c r="R30" s="242">
        <v>7</v>
      </c>
      <c r="S30" s="243">
        <f t="shared" si="3"/>
        <v>7.2538461538461538</v>
      </c>
      <c r="T30" s="242"/>
      <c r="U30" s="242"/>
      <c r="V30" s="242"/>
      <c r="W30" s="277">
        <f t="shared" ref="W30:W55" si="4">SUM(T30:V30)/3</f>
        <v>0</v>
      </c>
      <c r="X30" s="277">
        <f t="shared" ref="X30:X55" si="5">SUM(S30+W30)/2</f>
        <v>3.6269230769230769</v>
      </c>
      <c r="Y30" s="252" t="s">
        <v>101</v>
      </c>
      <c r="Z30" s="273"/>
      <c r="AA30" s="274" t="s">
        <v>218</v>
      </c>
      <c r="AB30" s="541"/>
      <c r="AC30" s="357">
        <f t="shared" si="0"/>
        <v>7.2538461538461538</v>
      </c>
    </row>
    <row r="31" spans="1:29" s="256" customFormat="1" ht="18" customHeight="1" x14ac:dyDescent="0.2">
      <c r="A31" s="287">
        <v>23</v>
      </c>
      <c r="B31" s="245" t="s">
        <v>2000</v>
      </c>
      <c r="C31" s="246">
        <v>2022</v>
      </c>
      <c r="D31" s="269" t="s">
        <v>959</v>
      </c>
      <c r="E31" s="270" t="s">
        <v>960</v>
      </c>
      <c r="F31" s="242">
        <v>7.5</v>
      </c>
      <c r="G31" s="242">
        <v>7</v>
      </c>
      <c r="H31" s="242">
        <v>7</v>
      </c>
      <c r="I31" s="242">
        <v>7.5</v>
      </c>
      <c r="J31" s="242">
        <v>8</v>
      </c>
      <c r="K31" s="242">
        <v>7</v>
      </c>
      <c r="L31" s="242">
        <v>7</v>
      </c>
      <c r="M31" s="242">
        <v>7</v>
      </c>
      <c r="N31" s="242">
        <v>6.5</v>
      </c>
      <c r="O31" s="242">
        <v>7</v>
      </c>
      <c r="P31" s="242">
        <v>7</v>
      </c>
      <c r="Q31" s="242">
        <v>6.5</v>
      </c>
      <c r="R31" s="242">
        <v>7</v>
      </c>
      <c r="S31" s="243">
        <f t="shared" si="3"/>
        <v>7.0769230769230766</v>
      </c>
      <c r="T31" s="242"/>
      <c r="U31" s="242"/>
      <c r="V31" s="242"/>
      <c r="W31" s="277">
        <f t="shared" si="4"/>
        <v>0</v>
      </c>
      <c r="X31" s="277">
        <f t="shared" si="5"/>
        <v>3.5384615384615383</v>
      </c>
      <c r="Y31" s="252" t="s">
        <v>101</v>
      </c>
      <c r="Z31" s="273"/>
      <c r="AA31" s="274" t="s">
        <v>218</v>
      </c>
      <c r="AB31" s="541"/>
      <c r="AC31" s="357">
        <f t="shared" si="0"/>
        <v>7.0769230769230766</v>
      </c>
    </row>
    <row r="32" spans="1:29" s="256" customFormat="1" ht="18" customHeight="1" x14ac:dyDescent="0.2">
      <c r="A32" s="287">
        <v>24</v>
      </c>
      <c r="B32" s="245" t="s">
        <v>2001</v>
      </c>
      <c r="C32" s="246">
        <v>2022</v>
      </c>
      <c r="D32" s="269" t="s">
        <v>961</v>
      </c>
      <c r="E32" s="270" t="s">
        <v>949</v>
      </c>
      <c r="F32" s="242">
        <v>7</v>
      </c>
      <c r="G32" s="242">
        <v>6</v>
      </c>
      <c r="H32" s="242">
        <v>7</v>
      </c>
      <c r="I32" s="242">
        <v>7</v>
      </c>
      <c r="J32" s="242">
        <v>6.6</v>
      </c>
      <c r="K32" s="242">
        <v>7</v>
      </c>
      <c r="L32" s="242">
        <v>7</v>
      </c>
      <c r="M32" s="242">
        <v>7</v>
      </c>
      <c r="N32" s="242">
        <v>6</v>
      </c>
      <c r="O32" s="242">
        <v>7</v>
      </c>
      <c r="P32" s="242">
        <v>7</v>
      </c>
      <c r="Q32" s="242">
        <v>7</v>
      </c>
      <c r="R32" s="242">
        <v>7</v>
      </c>
      <c r="S32" s="243">
        <f t="shared" si="3"/>
        <v>6.8153846153846152</v>
      </c>
      <c r="T32" s="242"/>
      <c r="U32" s="242"/>
      <c r="V32" s="242"/>
      <c r="W32" s="277">
        <f t="shared" si="4"/>
        <v>0</v>
      </c>
      <c r="X32" s="277">
        <f t="shared" si="5"/>
        <v>3.4076923076923076</v>
      </c>
      <c r="Y32" s="252" t="s">
        <v>101</v>
      </c>
      <c r="Z32" s="273"/>
      <c r="AA32" s="274" t="s">
        <v>141</v>
      </c>
      <c r="AB32" s="541"/>
      <c r="AC32" s="628">
        <f t="shared" si="0"/>
        <v>6.8153846153846152</v>
      </c>
    </row>
    <row r="33" spans="1:29" s="256" customFormat="1" ht="18" customHeight="1" x14ac:dyDescent="0.2">
      <c r="A33" s="287">
        <v>25</v>
      </c>
      <c r="B33" s="245" t="s">
        <v>2002</v>
      </c>
      <c r="C33" s="246">
        <v>2022</v>
      </c>
      <c r="D33" s="269" t="s">
        <v>962</v>
      </c>
      <c r="E33" s="270" t="s">
        <v>963</v>
      </c>
      <c r="F33" s="242">
        <v>6.5</v>
      </c>
      <c r="G33" s="242">
        <v>6</v>
      </c>
      <c r="H33" s="242">
        <v>7.5</v>
      </c>
      <c r="I33" s="242">
        <v>6.5</v>
      </c>
      <c r="J33" s="242">
        <v>7</v>
      </c>
      <c r="K33" s="242">
        <v>7</v>
      </c>
      <c r="L33" s="242">
        <v>6.5</v>
      </c>
      <c r="M33" s="242">
        <v>6.5</v>
      </c>
      <c r="N33" s="242">
        <v>7.5</v>
      </c>
      <c r="O33" s="242">
        <v>7</v>
      </c>
      <c r="P33" s="242">
        <v>6</v>
      </c>
      <c r="Q33" s="242">
        <v>6.5</v>
      </c>
      <c r="R33" s="242">
        <v>7</v>
      </c>
      <c r="S33" s="243">
        <f t="shared" si="3"/>
        <v>6.7307692307692308</v>
      </c>
      <c r="T33" s="242"/>
      <c r="U33" s="242"/>
      <c r="V33" s="242"/>
      <c r="W33" s="277">
        <f t="shared" si="4"/>
        <v>0</v>
      </c>
      <c r="X33" s="277">
        <f t="shared" si="5"/>
        <v>3.3653846153846154</v>
      </c>
      <c r="Y33" s="252" t="s">
        <v>95</v>
      </c>
      <c r="Z33" s="273"/>
      <c r="AA33" s="274" t="s">
        <v>141</v>
      </c>
      <c r="AB33" s="541"/>
      <c r="AC33" s="628">
        <f t="shared" si="0"/>
        <v>6.7307692307692308</v>
      </c>
    </row>
    <row r="34" spans="1:29" s="256" customFormat="1" ht="18" customHeight="1" x14ac:dyDescent="0.2">
      <c r="A34" s="287">
        <v>26</v>
      </c>
      <c r="B34" s="245" t="s">
        <v>2003</v>
      </c>
      <c r="C34" s="246">
        <v>2022</v>
      </c>
      <c r="D34" s="269" t="s">
        <v>964</v>
      </c>
      <c r="E34" s="270" t="s">
        <v>965</v>
      </c>
      <c r="F34" s="242">
        <v>8</v>
      </c>
      <c r="G34" s="242">
        <v>8</v>
      </c>
      <c r="H34" s="242">
        <v>8</v>
      </c>
      <c r="I34" s="242">
        <v>8.5</v>
      </c>
      <c r="J34" s="242">
        <v>8</v>
      </c>
      <c r="K34" s="242">
        <v>8.5</v>
      </c>
      <c r="L34" s="242">
        <v>8</v>
      </c>
      <c r="M34" s="242">
        <v>8</v>
      </c>
      <c r="N34" s="242">
        <v>7.5</v>
      </c>
      <c r="O34" s="242">
        <v>8.5</v>
      </c>
      <c r="P34" s="242">
        <v>8</v>
      </c>
      <c r="Q34" s="242">
        <v>8</v>
      </c>
      <c r="R34" s="242">
        <v>7.5</v>
      </c>
      <c r="S34" s="243">
        <f t="shared" si="3"/>
        <v>8.0384615384615383</v>
      </c>
      <c r="T34" s="242"/>
      <c r="U34" s="242"/>
      <c r="V34" s="242"/>
      <c r="W34" s="277">
        <f t="shared" si="4"/>
        <v>0</v>
      </c>
      <c r="X34" s="277">
        <f t="shared" si="5"/>
        <v>4.0192307692307692</v>
      </c>
      <c r="Y34" s="252" t="s">
        <v>101</v>
      </c>
      <c r="Z34" s="273"/>
      <c r="AA34" s="274" t="s">
        <v>182</v>
      </c>
      <c r="AB34" s="541"/>
      <c r="AC34" s="613">
        <f t="shared" si="0"/>
        <v>8.0384615384615383</v>
      </c>
    </row>
    <row r="35" spans="1:29" s="256" customFormat="1" ht="18" customHeight="1" x14ac:dyDescent="0.2">
      <c r="A35" s="287">
        <v>27</v>
      </c>
      <c r="B35" s="245" t="s">
        <v>2004</v>
      </c>
      <c r="C35" s="246">
        <v>2022</v>
      </c>
      <c r="D35" s="269" t="s">
        <v>966</v>
      </c>
      <c r="E35" s="270" t="s">
        <v>967</v>
      </c>
      <c r="F35" s="242">
        <v>6.5</v>
      </c>
      <c r="G35" s="242">
        <v>6</v>
      </c>
      <c r="H35" s="242">
        <v>6.5</v>
      </c>
      <c r="I35" s="242">
        <v>6.5</v>
      </c>
      <c r="J35" s="242">
        <v>8</v>
      </c>
      <c r="K35" s="242">
        <v>6</v>
      </c>
      <c r="L35" s="242">
        <v>6.5</v>
      </c>
      <c r="M35" s="242">
        <v>7</v>
      </c>
      <c r="N35" s="242">
        <v>7</v>
      </c>
      <c r="O35" s="242">
        <v>6.5</v>
      </c>
      <c r="P35" s="242">
        <v>7</v>
      </c>
      <c r="Q35" s="242">
        <v>6.5</v>
      </c>
      <c r="R35" s="242">
        <v>7</v>
      </c>
      <c r="S35" s="243">
        <f t="shared" si="3"/>
        <v>6.6923076923076925</v>
      </c>
      <c r="T35" s="242"/>
      <c r="U35" s="242"/>
      <c r="V35" s="242"/>
      <c r="W35" s="277">
        <f t="shared" si="4"/>
        <v>0</v>
      </c>
      <c r="X35" s="277">
        <f t="shared" si="5"/>
        <v>3.3461538461538463</v>
      </c>
      <c r="Y35" s="252" t="s">
        <v>101</v>
      </c>
      <c r="Z35" s="273"/>
      <c r="AA35" s="274" t="s">
        <v>193</v>
      </c>
      <c r="AB35" s="541"/>
      <c r="AC35" s="628">
        <f t="shared" si="0"/>
        <v>6.6923076923076925</v>
      </c>
    </row>
    <row r="36" spans="1:29" s="256" customFormat="1" ht="18" customHeight="1" x14ac:dyDescent="0.2">
      <c r="A36" s="287">
        <v>28</v>
      </c>
      <c r="B36" s="245" t="s">
        <v>2005</v>
      </c>
      <c r="C36" s="246">
        <v>2022</v>
      </c>
      <c r="D36" s="269" t="s">
        <v>968</v>
      </c>
      <c r="E36" s="654" t="s">
        <v>2026</v>
      </c>
      <c r="F36" s="242">
        <v>7</v>
      </c>
      <c r="G36" s="242">
        <v>6</v>
      </c>
      <c r="H36" s="242">
        <v>7.5</v>
      </c>
      <c r="I36" s="242">
        <v>7.5</v>
      </c>
      <c r="J36" s="242">
        <v>6.2</v>
      </c>
      <c r="K36" s="242">
        <v>6</v>
      </c>
      <c r="L36" s="242">
        <v>7.5</v>
      </c>
      <c r="M36" s="242">
        <v>7.5</v>
      </c>
      <c r="N36" s="242">
        <v>6</v>
      </c>
      <c r="O36" s="242">
        <v>7</v>
      </c>
      <c r="P36" s="242">
        <v>7</v>
      </c>
      <c r="Q36" s="242">
        <v>7.5</v>
      </c>
      <c r="R36" s="242">
        <v>7</v>
      </c>
      <c r="S36" s="243">
        <f t="shared" si="3"/>
        <v>6.9</v>
      </c>
      <c r="T36" s="242"/>
      <c r="U36" s="242"/>
      <c r="V36" s="242"/>
      <c r="W36" s="277">
        <f t="shared" si="4"/>
        <v>0</v>
      </c>
      <c r="X36" s="277">
        <f t="shared" si="5"/>
        <v>3.45</v>
      </c>
      <c r="Y36" s="252" t="s">
        <v>101</v>
      </c>
      <c r="Z36" s="273"/>
      <c r="AA36" s="274" t="s">
        <v>186</v>
      </c>
      <c r="AB36" s="541"/>
      <c r="AC36" s="628">
        <f t="shared" si="0"/>
        <v>6.9</v>
      </c>
    </row>
    <row r="37" spans="1:29" s="256" customFormat="1" ht="18" customHeight="1" x14ac:dyDescent="0.2">
      <c r="A37" s="287">
        <v>29</v>
      </c>
      <c r="B37" s="245" t="s">
        <v>2006</v>
      </c>
      <c r="C37" s="246">
        <v>2022</v>
      </c>
      <c r="D37" s="269" t="s">
        <v>969</v>
      </c>
      <c r="E37" s="270" t="s">
        <v>970</v>
      </c>
      <c r="F37" s="242">
        <v>7.5</v>
      </c>
      <c r="G37" s="242">
        <v>5</v>
      </c>
      <c r="H37" s="242">
        <v>6.5</v>
      </c>
      <c r="I37" s="242">
        <v>7.5</v>
      </c>
      <c r="J37" s="242">
        <v>5.8</v>
      </c>
      <c r="K37" s="242">
        <v>7.5</v>
      </c>
      <c r="L37" s="242">
        <v>7</v>
      </c>
      <c r="M37" s="242">
        <v>7</v>
      </c>
      <c r="N37" s="242">
        <v>7.5</v>
      </c>
      <c r="O37" s="242">
        <v>7.5</v>
      </c>
      <c r="P37" s="242">
        <v>5</v>
      </c>
      <c r="Q37" s="242">
        <v>7</v>
      </c>
      <c r="R37" s="242">
        <v>7</v>
      </c>
      <c r="S37" s="243">
        <f t="shared" si="3"/>
        <v>6.7538461538461538</v>
      </c>
      <c r="T37" s="242"/>
      <c r="U37" s="242"/>
      <c r="V37" s="242"/>
      <c r="W37" s="277">
        <f t="shared" si="4"/>
        <v>0</v>
      </c>
      <c r="X37" s="277">
        <f t="shared" si="5"/>
        <v>3.3769230769230769</v>
      </c>
      <c r="Y37" s="252" t="s">
        <v>101</v>
      </c>
      <c r="Z37" s="273"/>
      <c r="AA37" s="274" t="s">
        <v>171</v>
      </c>
      <c r="AB37" s="541"/>
      <c r="AC37" s="628">
        <f t="shared" si="0"/>
        <v>6.7538461538461538</v>
      </c>
    </row>
    <row r="38" spans="1:29" s="256" customFormat="1" ht="18" customHeight="1" x14ac:dyDescent="0.2">
      <c r="A38" s="287">
        <v>30</v>
      </c>
      <c r="B38" s="245" t="s">
        <v>2007</v>
      </c>
      <c r="C38" s="246">
        <v>2022</v>
      </c>
      <c r="D38" s="269" t="s">
        <v>971</v>
      </c>
      <c r="E38" s="270" t="s">
        <v>902</v>
      </c>
      <c r="F38" s="242">
        <v>7.5</v>
      </c>
      <c r="G38" s="242">
        <v>7</v>
      </c>
      <c r="H38" s="242">
        <v>7</v>
      </c>
      <c r="I38" s="242">
        <v>7</v>
      </c>
      <c r="J38" s="242">
        <v>7</v>
      </c>
      <c r="K38" s="242">
        <v>7</v>
      </c>
      <c r="L38" s="242">
        <v>7</v>
      </c>
      <c r="M38" s="242">
        <v>7.5</v>
      </c>
      <c r="N38" s="242">
        <v>7</v>
      </c>
      <c r="O38" s="242">
        <v>7</v>
      </c>
      <c r="P38" s="242">
        <v>7.5</v>
      </c>
      <c r="Q38" s="242">
        <v>7</v>
      </c>
      <c r="R38" s="242">
        <v>6.5</v>
      </c>
      <c r="S38" s="243">
        <f t="shared" si="3"/>
        <v>7.0769230769230766</v>
      </c>
      <c r="T38" s="242"/>
      <c r="U38" s="242"/>
      <c r="V38" s="242"/>
      <c r="W38" s="277">
        <f t="shared" si="4"/>
        <v>0</v>
      </c>
      <c r="X38" s="277">
        <f t="shared" si="5"/>
        <v>3.5384615384615383</v>
      </c>
      <c r="Y38" s="252" t="s">
        <v>101</v>
      </c>
      <c r="Z38" s="273"/>
      <c r="AA38" s="274" t="s">
        <v>195</v>
      </c>
      <c r="AB38" s="541"/>
      <c r="AC38" s="357">
        <f t="shared" si="0"/>
        <v>7.0769230769230766</v>
      </c>
    </row>
    <row r="39" spans="1:29" s="256" customFormat="1" ht="18" customHeight="1" x14ac:dyDescent="0.3">
      <c r="A39" s="287">
        <v>31</v>
      </c>
      <c r="B39" s="245" t="s">
        <v>2008</v>
      </c>
      <c r="C39" s="246">
        <v>2022</v>
      </c>
      <c r="D39" s="269" t="s">
        <v>972</v>
      </c>
      <c r="E39" s="270" t="s">
        <v>973</v>
      </c>
      <c r="F39" s="242">
        <v>8</v>
      </c>
      <c r="G39" s="242">
        <v>7</v>
      </c>
      <c r="H39" s="242">
        <v>8</v>
      </c>
      <c r="I39" s="242">
        <v>7.5</v>
      </c>
      <c r="J39" s="242">
        <v>8</v>
      </c>
      <c r="K39" s="242">
        <v>6.5</v>
      </c>
      <c r="L39" s="242">
        <v>7</v>
      </c>
      <c r="M39" s="242">
        <v>7</v>
      </c>
      <c r="N39" s="242">
        <v>7</v>
      </c>
      <c r="O39" s="242">
        <v>6.5</v>
      </c>
      <c r="P39" s="242">
        <v>7</v>
      </c>
      <c r="Q39" s="242">
        <v>7.5</v>
      </c>
      <c r="R39" s="242">
        <v>7</v>
      </c>
      <c r="S39" s="243">
        <f t="shared" si="3"/>
        <v>7.2307692307692308</v>
      </c>
      <c r="T39" s="242"/>
      <c r="U39" s="242"/>
      <c r="V39" s="242"/>
      <c r="W39" s="277">
        <f t="shared" si="4"/>
        <v>0</v>
      </c>
      <c r="X39" s="277">
        <f t="shared" si="5"/>
        <v>3.6153846153846154</v>
      </c>
      <c r="Y39" s="252" t="s">
        <v>101</v>
      </c>
      <c r="Z39" s="273"/>
      <c r="AA39" s="274" t="s">
        <v>258</v>
      </c>
      <c r="AB39" s="541"/>
      <c r="AC39" s="357">
        <f t="shared" si="0"/>
        <v>7.2307692307692308</v>
      </c>
    </row>
    <row r="40" spans="1:29" s="256" customFormat="1" ht="18" customHeight="1" x14ac:dyDescent="0.2">
      <c r="A40" s="287">
        <v>32</v>
      </c>
      <c r="B40" s="245" t="s">
        <v>2009</v>
      </c>
      <c r="C40" s="246">
        <v>2022</v>
      </c>
      <c r="D40" s="269" t="s">
        <v>974</v>
      </c>
      <c r="E40" s="270" t="s">
        <v>975</v>
      </c>
      <c r="F40" s="242">
        <v>7.5</v>
      </c>
      <c r="G40" s="242">
        <v>6</v>
      </c>
      <c r="H40" s="242">
        <v>7</v>
      </c>
      <c r="I40" s="242">
        <v>6.5</v>
      </c>
      <c r="J40" s="242">
        <v>7</v>
      </c>
      <c r="K40" s="242">
        <v>7</v>
      </c>
      <c r="L40" s="242">
        <v>6.5</v>
      </c>
      <c r="M40" s="242">
        <v>6.5</v>
      </c>
      <c r="N40" s="242">
        <v>7</v>
      </c>
      <c r="O40" s="242">
        <v>7</v>
      </c>
      <c r="P40" s="242">
        <v>7</v>
      </c>
      <c r="Q40" s="242">
        <v>6.5</v>
      </c>
      <c r="R40" s="242">
        <v>7</v>
      </c>
      <c r="S40" s="243">
        <f t="shared" si="3"/>
        <v>6.8076923076923075</v>
      </c>
      <c r="T40" s="242"/>
      <c r="U40" s="242"/>
      <c r="V40" s="242"/>
      <c r="W40" s="277">
        <f t="shared" si="4"/>
        <v>0</v>
      </c>
      <c r="X40" s="277">
        <f t="shared" si="5"/>
        <v>3.4038461538461537</v>
      </c>
      <c r="Y40" s="252" t="s">
        <v>95</v>
      </c>
      <c r="Z40" s="273"/>
      <c r="AA40" s="274" t="s">
        <v>179</v>
      </c>
      <c r="AB40" s="541"/>
      <c r="AC40" s="628">
        <f t="shared" si="0"/>
        <v>6.8076923076923075</v>
      </c>
    </row>
    <row r="41" spans="1:29" s="256" customFormat="1" ht="18" customHeight="1" x14ac:dyDescent="0.2">
      <c r="A41" s="287">
        <v>33</v>
      </c>
      <c r="B41" s="245" t="s">
        <v>2010</v>
      </c>
      <c r="C41" s="246">
        <v>2022</v>
      </c>
      <c r="D41" s="269" t="s">
        <v>976</v>
      </c>
      <c r="E41" s="270" t="s">
        <v>742</v>
      </c>
      <c r="F41" s="242">
        <v>7</v>
      </c>
      <c r="G41" s="242">
        <v>6</v>
      </c>
      <c r="H41" s="242">
        <v>7</v>
      </c>
      <c r="I41" s="242">
        <v>7.5</v>
      </c>
      <c r="J41" s="242">
        <v>7</v>
      </c>
      <c r="K41" s="242">
        <v>7</v>
      </c>
      <c r="L41" s="242">
        <v>7.5</v>
      </c>
      <c r="M41" s="242">
        <v>7</v>
      </c>
      <c r="N41" s="242">
        <v>7</v>
      </c>
      <c r="O41" s="242">
        <v>6</v>
      </c>
      <c r="P41" s="242">
        <v>6.5</v>
      </c>
      <c r="Q41" s="242">
        <v>7.5</v>
      </c>
      <c r="R41" s="242">
        <v>6.5</v>
      </c>
      <c r="S41" s="243">
        <f t="shared" si="3"/>
        <v>6.884615384615385</v>
      </c>
      <c r="T41" s="242"/>
      <c r="U41" s="242"/>
      <c r="V41" s="242"/>
      <c r="W41" s="277">
        <f t="shared" si="4"/>
        <v>0</v>
      </c>
      <c r="X41" s="277">
        <f t="shared" si="5"/>
        <v>3.4423076923076925</v>
      </c>
      <c r="Y41" s="252" t="s">
        <v>95</v>
      </c>
      <c r="Z41" s="273"/>
      <c r="AA41" s="274" t="s">
        <v>214</v>
      </c>
      <c r="AB41" s="541"/>
      <c r="AC41" s="628">
        <f t="shared" si="0"/>
        <v>6.884615384615385</v>
      </c>
    </row>
    <row r="42" spans="1:29" s="256" customFormat="1" ht="18" customHeight="1" x14ac:dyDescent="0.2">
      <c r="A42" s="287">
        <v>34</v>
      </c>
      <c r="B42" s="245" t="s">
        <v>2011</v>
      </c>
      <c r="C42" s="246">
        <v>2022</v>
      </c>
      <c r="D42" s="269" t="s">
        <v>977</v>
      </c>
      <c r="E42" s="270" t="s">
        <v>255</v>
      </c>
      <c r="F42" s="242">
        <v>7</v>
      </c>
      <c r="G42" s="242">
        <v>7</v>
      </c>
      <c r="H42" s="242">
        <v>6.5</v>
      </c>
      <c r="I42" s="242">
        <v>7</v>
      </c>
      <c r="J42" s="242">
        <v>7</v>
      </c>
      <c r="K42" s="242">
        <v>7</v>
      </c>
      <c r="L42" s="242">
        <v>7.5</v>
      </c>
      <c r="M42" s="242">
        <v>7</v>
      </c>
      <c r="N42" s="242">
        <v>7</v>
      </c>
      <c r="O42" s="242">
        <v>7</v>
      </c>
      <c r="P42" s="242">
        <v>7.5</v>
      </c>
      <c r="Q42" s="242">
        <v>7.5</v>
      </c>
      <c r="R42" s="242">
        <v>7</v>
      </c>
      <c r="S42" s="243">
        <f t="shared" si="3"/>
        <v>7.0769230769230766</v>
      </c>
      <c r="T42" s="242"/>
      <c r="U42" s="242"/>
      <c r="V42" s="242"/>
      <c r="W42" s="277">
        <f t="shared" si="4"/>
        <v>0</v>
      </c>
      <c r="X42" s="277">
        <f t="shared" si="5"/>
        <v>3.5384615384615383</v>
      </c>
      <c r="Y42" s="252" t="s">
        <v>101</v>
      </c>
      <c r="Z42" s="273"/>
      <c r="AA42" s="274" t="s">
        <v>156</v>
      </c>
      <c r="AB42" s="541"/>
      <c r="AC42" s="357">
        <f t="shared" si="0"/>
        <v>7.0769230769230766</v>
      </c>
    </row>
    <row r="43" spans="1:29" s="256" customFormat="1" ht="18" customHeight="1" x14ac:dyDescent="0.2">
      <c r="A43" s="287">
        <v>35</v>
      </c>
      <c r="B43" s="245" t="s">
        <v>2012</v>
      </c>
      <c r="C43" s="246">
        <v>2022</v>
      </c>
      <c r="D43" s="269" t="s">
        <v>136</v>
      </c>
      <c r="E43" s="270" t="s">
        <v>978</v>
      </c>
      <c r="F43" s="242">
        <v>6.5</v>
      </c>
      <c r="G43" s="242">
        <v>7</v>
      </c>
      <c r="H43" s="242">
        <v>7</v>
      </c>
      <c r="I43" s="242">
        <v>7</v>
      </c>
      <c r="J43" s="242">
        <v>7</v>
      </c>
      <c r="K43" s="242">
        <v>7</v>
      </c>
      <c r="L43" s="242">
        <v>7</v>
      </c>
      <c r="M43" s="242">
        <v>6.5</v>
      </c>
      <c r="N43" s="242">
        <v>6</v>
      </c>
      <c r="O43" s="242">
        <v>7.5</v>
      </c>
      <c r="P43" s="242">
        <v>7</v>
      </c>
      <c r="Q43" s="242">
        <v>7</v>
      </c>
      <c r="R43" s="242">
        <v>7</v>
      </c>
      <c r="S43" s="243">
        <f t="shared" si="3"/>
        <v>6.884615384615385</v>
      </c>
      <c r="T43" s="242"/>
      <c r="U43" s="242"/>
      <c r="V43" s="242"/>
      <c r="W43" s="277">
        <f t="shared" si="4"/>
        <v>0</v>
      </c>
      <c r="X43" s="277">
        <f t="shared" si="5"/>
        <v>3.4423076923076925</v>
      </c>
      <c r="Y43" s="252" t="s">
        <v>95</v>
      </c>
      <c r="Z43" s="273"/>
      <c r="AA43" s="274" t="s">
        <v>182</v>
      </c>
      <c r="AB43" s="541"/>
      <c r="AC43" s="628">
        <f t="shared" si="0"/>
        <v>6.884615384615385</v>
      </c>
    </row>
    <row r="44" spans="1:29" s="256" customFormat="1" ht="18" customHeight="1" x14ac:dyDescent="0.2">
      <c r="A44" s="287">
        <v>36</v>
      </c>
      <c r="B44" s="245" t="s">
        <v>2013</v>
      </c>
      <c r="C44" s="246">
        <v>2022</v>
      </c>
      <c r="D44" s="269" t="s">
        <v>979</v>
      </c>
      <c r="E44" s="270" t="s">
        <v>980</v>
      </c>
      <c r="F44" s="242">
        <v>7.5</v>
      </c>
      <c r="G44" s="242">
        <v>7</v>
      </c>
      <c r="H44" s="242">
        <v>7</v>
      </c>
      <c r="I44" s="242">
        <v>6.5</v>
      </c>
      <c r="J44" s="242">
        <v>7</v>
      </c>
      <c r="K44" s="242">
        <v>8</v>
      </c>
      <c r="L44" s="242">
        <v>6.5</v>
      </c>
      <c r="M44" s="242">
        <v>6.5</v>
      </c>
      <c r="N44" s="242">
        <v>7</v>
      </c>
      <c r="O44" s="242">
        <v>6.5</v>
      </c>
      <c r="P44" s="242">
        <v>7</v>
      </c>
      <c r="Q44" s="242">
        <v>6.5</v>
      </c>
      <c r="R44" s="242">
        <v>6</v>
      </c>
      <c r="S44" s="243">
        <f t="shared" si="3"/>
        <v>6.8461538461538458</v>
      </c>
      <c r="T44" s="242"/>
      <c r="U44" s="242"/>
      <c r="V44" s="242"/>
      <c r="W44" s="277">
        <f t="shared" si="4"/>
        <v>0</v>
      </c>
      <c r="X44" s="277">
        <f t="shared" si="5"/>
        <v>3.4230769230769229</v>
      </c>
      <c r="Y44" s="252" t="s">
        <v>95</v>
      </c>
      <c r="Z44" s="273"/>
      <c r="AA44" s="274" t="s">
        <v>169</v>
      </c>
      <c r="AB44" s="541"/>
      <c r="AC44" s="628">
        <f t="shared" si="0"/>
        <v>6.8461538461538458</v>
      </c>
    </row>
    <row r="45" spans="1:29" s="256" customFormat="1" ht="18" customHeight="1" x14ac:dyDescent="0.2">
      <c r="A45" s="287">
        <v>37</v>
      </c>
      <c r="B45" s="245" t="s">
        <v>2014</v>
      </c>
      <c r="C45" s="246">
        <v>2022</v>
      </c>
      <c r="D45" s="269" t="s">
        <v>981</v>
      </c>
      <c r="E45" s="270" t="s">
        <v>982</v>
      </c>
      <c r="F45" s="623">
        <v>7</v>
      </c>
      <c r="G45" s="242">
        <v>6</v>
      </c>
      <c r="H45" s="242">
        <v>7.5</v>
      </c>
      <c r="I45" s="242">
        <v>7.5</v>
      </c>
      <c r="J45" s="242">
        <v>7</v>
      </c>
      <c r="K45" s="242">
        <v>7.5</v>
      </c>
      <c r="L45" s="242">
        <v>7.5</v>
      </c>
      <c r="M45" s="242">
        <v>7.5</v>
      </c>
      <c r="N45" s="242">
        <v>6.5</v>
      </c>
      <c r="O45" s="242">
        <v>7</v>
      </c>
      <c r="P45" s="242">
        <v>6</v>
      </c>
      <c r="Q45" s="242">
        <v>7</v>
      </c>
      <c r="R45" s="625">
        <v>7</v>
      </c>
      <c r="S45" s="243">
        <f t="shared" si="3"/>
        <v>7</v>
      </c>
      <c r="T45" s="242"/>
      <c r="U45" s="242"/>
      <c r="V45" s="242"/>
      <c r="W45" s="277">
        <f t="shared" si="4"/>
        <v>0</v>
      </c>
      <c r="X45" s="277">
        <f t="shared" si="5"/>
        <v>3.5</v>
      </c>
      <c r="Y45" s="252" t="s">
        <v>101</v>
      </c>
      <c r="Z45" s="273"/>
      <c r="AA45" s="274" t="s">
        <v>206</v>
      </c>
      <c r="AB45" s="541"/>
      <c r="AC45" s="357">
        <f t="shared" si="0"/>
        <v>7</v>
      </c>
    </row>
    <row r="46" spans="1:29" s="652" customFormat="1" ht="18.75" customHeight="1" x14ac:dyDescent="0.2">
      <c r="A46" s="640">
        <v>38</v>
      </c>
      <c r="B46" s="245" t="s">
        <v>2015</v>
      </c>
      <c r="C46" s="641">
        <v>2022</v>
      </c>
      <c r="D46" s="642" t="s">
        <v>983</v>
      </c>
      <c r="E46" s="643" t="s">
        <v>867</v>
      </c>
      <c r="F46" s="644">
        <v>7.5</v>
      </c>
      <c r="G46" s="644">
        <v>7</v>
      </c>
      <c r="H46" s="644">
        <v>7.5</v>
      </c>
      <c r="I46" s="644">
        <v>7</v>
      </c>
      <c r="J46" s="644">
        <v>8.4</v>
      </c>
      <c r="K46" s="644">
        <v>8.5</v>
      </c>
      <c r="L46" s="644">
        <v>7</v>
      </c>
      <c r="M46" s="644">
        <v>7.5</v>
      </c>
      <c r="N46" s="644">
        <v>7</v>
      </c>
      <c r="O46" s="644">
        <v>7</v>
      </c>
      <c r="P46" s="644">
        <v>7</v>
      </c>
      <c r="Q46" s="644">
        <v>7.5</v>
      </c>
      <c r="R46" s="644">
        <v>6.5</v>
      </c>
      <c r="S46" s="645">
        <f t="shared" si="3"/>
        <v>7.338461538461539</v>
      </c>
      <c r="T46" s="644"/>
      <c r="U46" s="644"/>
      <c r="V46" s="644"/>
      <c r="W46" s="646">
        <f t="shared" si="4"/>
        <v>0</v>
      </c>
      <c r="X46" s="646">
        <f t="shared" si="5"/>
        <v>3.6692307692307695</v>
      </c>
      <c r="Y46" s="647" t="s">
        <v>101</v>
      </c>
      <c r="Z46" s="648"/>
      <c r="AA46" s="649" t="s">
        <v>170</v>
      </c>
      <c r="AB46" s="650"/>
      <c r="AC46" s="651">
        <f t="shared" si="0"/>
        <v>7.338461538461539</v>
      </c>
    </row>
    <row r="47" spans="1:29" s="256" customFormat="1" ht="18" customHeight="1" x14ac:dyDescent="0.2">
      <c r="A47" s="287">
        <v>39</v>
      </c>
      <c r="B47" s="245" t="s">
        <v>2016</v>
      </c>
      <c r="C47" s="246">
        <v>2022</v>
      </c>
      <c r="D47" s="269" t="s">
        <v>984</v>
      </c>
      <c r="E47" s="270" t="s">
        <v>985</v>
      </c>
      <c r="F47" s="623">
        <v>6.5</v>
      </c>
      <c r="G47" s="242">
        <v>7</v>
      </c>
      <c r="H47" s="242">
        <v>7.5</v>
      </c>
      <c r="I47" s="242">
        <v>7</v>
      </c>
      <c r="J47" s="242">
        <v>7.4</v>
      </c>
      <c r="K47" s="242">
        <v>7</v>
      </c>
      <c r="L47" s="242">
        <v>7</v>
      </c>
      <c r="M47" s="242">
        <v>7</v>
      </c>
      <c r="N47" s="242">
        <v>7</v>
      </c>
      <c r="O47" s="242">
        <v>7.5</v>
      </c>
      <c r="P47" s="242">
        <v>7.5</v>
      </c>
      <c r="Q47" s="242">
        <v>7</v>
      </c>
      <c r="R47" s="625">
        <v>7.5</v>
      </c>
      <c r="S47" s="243">
        <f t="shared" si="3"/>
        <v>7.1461538461538465</v>
      </c>
      <c r="T47" s="242"/>
      <c r="U47" s="242"/>
      <c r="V47" s="242"/>
      <c r="W47" s="277">
        <f t="shared" si="4"/>
        <v>0</v>
      </c>
      <c r="X47" s="277">
        <f t="shared" si="5"/>
        <v>3.5730769230769233</v>
      </c>
      <c r="Y47" s="252" t="s">
        <v>101</v>
      </c>
      <c r="Z47" s="273"/>
      <c r="AA47" s="274" t="s">
        <v>177</v>
      </c>
      <c r="AB47" s="541"/>
      <c r="AC47" s="357">
        <f t="shared" si="0"/>
        <v>7.1461538461538465</v>
      </c>
    </row>
    <row r="48" spans="1:29" s="256" customFormat="1" ht="18" customHeight="1" x14ac:dyDescent="0.2">
      <c r="A48" s="287">
        <v>40</v>
      </c>
      <c r="B48" s="245" t="s">
        <v>2017</v>
      </c>
      <c r="C48" s="246">
        <v>2022</v>
      </c>
      <c r="D48" s="269" t="s">
        <v>986</v>
      </c>
      <c r="E48" s="270" t="s">
        <v>244</v>
      </c>
      <c r="F48" s="242">
        <v>7.5</v>
      </c>
      <c r="G48" s="242">
        <v>7</v>
      </c>
      <c r="H48" s="242">
        <v>7.5</v>
      </c>
      <c r="I48" s="242">
        <v>7.5</v>
      </c>
      <c r="J48" s="242">
        <v>8.4</v>
      </c>
      <c r="K48" s="242">
        <v>8.5</v>
      </c>
      <c r="L48" s="242">
        <v>7.5</v>
      </c>
      <c r="M48" s="242">
        <v>7</v>
      </c>
      <c r="N48" s="242">
        <v>7</v>
      </c>
      <c r="O48" s="242">
        <v>6.5</v>
      </c>
      <c r="P48" s="242">
        <v>7</v>
      </c>
      <c r="Q48" s="242">
        <v>7.5</v>
      </c>
      <c r="R48" s="242">
        <v>7</v>
      </c>
      <c r="S48" s="243">
        <f t="shared" si="3"/>
        <v>7.3769230769230774</v>
      </c>
      <c r="T48" s="242"/>
      <c r="U48" s="242"/>
      <c r="V48" s="242"/>
      <c r="W48" s="277">
        <f t="shared" si="4"/>
        <v>0</v>
      </c>
      <c r="X48" s="277">
        <f t="shared" si="5"/>
        <v>3.6884615384615387</v>
      </c>
      <c r="Y48" s="252" t="s">
        <v>101</v>
      </c>
      <c r="Z48" s="273"/>
      <c r="AA48" s="274" t="s">
        <v>282</v>
      </c>
      <c r="AB48" s="541"/>
      <c r="AC48" s="357">
        <f t="shared" si="0"/>
        <v>7.3769230769230774</v>
      </c>
    </row>
    <row r="49" spans="1:29" s="256" customFormat="1" ht="18" customHeight="1" x14ac:dyDescent="0.2">
      <c r="A49" s="287">
        <v>41</v>
      </c>
      <c r="B49" s="245" t="s">
        <v>2018</v>
      </c>
      <c r="C49" s="246">
        <v>2022</v>
      </c>
      <c r="D49" s="269" t="s">
        <v>987</v>
      </c>
      <c r="E49" s="270" t="s">
        <v>988</v>
      </c>
      <c r="F49" s="242">
        <v>7</v>
      </c>
      <c r="G49" s="242">
        <v>7</v>
      </c>
      <c r="H49" s="242">
        <v>7.5</v>
      </c>
      <c r="I49" s="242">
        <v>7.5</v>
      </c>
      <c r="J49" s="242">
        <v>7</v>
      </c>
      <c r="K49" s="242">
        <v>6.5</v>
      </c>
      <c r="L49" s="242">
        <v>7.5</v>
      </c>
      <c r="M49" s="242">
        <v>7.5</v>
      </c>
      <c r="N49" s="242">
        <v>7</v>
      </c>
      <c r="O49" s="242">
        <v>8</v>
      </c>
      <c r="P49" s="242">
        <v>7.5</v>
      </c>
      <c r="Q49" s="242">
        <v>7.5</v>
      </c>
      <c r="R49" s="242">
        <v>7</v>
      </c>
      <c r="S49" s="243">
        <f t="shared" si="3"/>
        <v>7.2692307692307692</v>
      </c>
      <c r="T49" s="242"/>
      <c r="U49" s="242"/>
      <c r="V49" s="242"/>
      <c r="W49" s="277">
        <f t="shared" si="4"/>
        <v>0</v>
      </c>
      <c r="X49" s="277">
        <f t="shared" si="5"/>
        <v>3.6346153846153846</v>
      </c>
      <c r="Y49" s="252" t="s">
        <v>101</v>
      </c>
      <c r="Z49" s="273"/>
      <c r="AA49" s="274" t="s">
        <v>198</v>
      </c>
      <c r="AB49" s="541"/>
      <c r="AC49" s="357">
        <f t="shared" si="0"/>
        <v>7.2692307692307692</v>
      </c>
    </row>
    <row r="50" spans="1:29" s="256" customFormat="1" ht="18" customHeight="1" x14ac:dyDescent="0.2">
      <c r="A50" s="287">
        <v>42</v>
      </c>
      <c r="B50" s="245" t="s">
        <v>2019</v>
      </c>
      <c r="C50" s="246">
        <v>2022</v>
      </c>
      <c r="D50" s="269" t="s">
        <v>989</v>
      </c>
      <c r="E50" s="270" t="s">
        <v>990</v>
      </c>
      <c r="F50" s="242">
        <v>7</v>
      </c>
      <c r="G50" s="242">
        <v>6</v>
      </c>
      <c r="H50" s="242">
        <v>7.5</v>
      </c>
      <c r="I50" s="242">
        <v>8</v>
      </c>
      <c r="J50" s="242">
        <v>6.6</v>
      </c>
      <c r="K50" s="242">
        <v>6</v>
      </c>
      <c r="L50" s="242">
        <v>8</v>
      </c>
      <c r="M50" s="242">
        <v>7</v>
      </c>
      <c r="N50" s="242">
        <v>7</v>
      </c>
      <c r="O50" s="242">
        <v>7</v>
      </c>
      <c r="P50" s="242">
        <v>7.5</v>
      </c>
      <c r="Q50" s="242">
        <v>7.5</v>
      </c>
      <c r="R50" s="242">
        <v>7</v>
      </c>
      <c r="S50" s="243">
        <f t="shared" si="3"/>
        <v>7.0846153846153843</v>
      </c>
      <c r="T50" s="242"/>
      <c r="U50" s="242"/>
      <c r="V50" s="242"/>
      <c r="W50" s="277"/>
      <c r="X50" s="277"/>
      <c r="Y50" s="252" t="s">
        <v>101</v>
      </c>
      <c r="Z50" s="273"/>
      <c r="AA50" s="274" t="s">
        <v>170</v>
      </c>
      <c r="AB50" s="541"/>
      <c r="AC50" s="357">
        <f t="shared" si="0"/>
        <v>7.0846153846153843</v>
      </c>
    </row>
    <row r="51" spans="1:29" s="256" customFormat="1" ht="18" customHeight="1" x14ac:dyDescent="0.2">
      <c r="A51" s="287">
        <v>43</v>
      </c>
      <c r="B51" s="245" t="s">
        <v>2020</v>
      </c>
      <c r="C51" s="246">
        <v>2022</v>
      </c>
      <c r="D51" s="269" t="s">
        <v>991</v>
      </c>
      <c r="E51" s="270" t="s">
        <v>992</v>
      </c>
      <c r="F51" s="242">
        <v>6.5</v>
      </c>
      <c r="G51" s="242">
        <v>5</v>
      </c>
      <c r="H51" s="242">
        <v>7.5</v>
      </c>
      <c r="I51" s="242">
        <v>7</v>
      </c>
      <c r="J51" s="242">
        <v>7</v>
      </c>
      <c r="K51" s="242">
        <v>7</v>
      </c>
      <c r="L51" s="242">
        <v>6.5</v>
      </c>
      <c r="M51" s="242">
        <v>7</v>
      </c>
      <c r="N51" s="242">
        <v>6</v>
      </c>
      <c r="O51" s="242">
        <v>7.5</v>
      </c>
      <c r="P51" s="242">
        <v>7.5</v>
      </c>
      <c r="Q51" s="242">
        <v>7.5</v>
      </c>
      <c r="R51" s="242">
        <v>7</v>
      </c>
      <c r="S51" s="243">
        <f t="shared" si="3"/>
        <v>6.8461538461538458</v>
      </c>
      <c r="T51" s="242"/>
      <c r="U51" s="242"/>
      <c r="V51" s="242"/>
      <c r="W51" s="277"/>
      <c r="X51" s="277"/>
      <c r="Y51" s="252" t="s">
        <v>95</v>
      </c>
      <c r="Z51" s="273"/>
      <c r="AA51" s="274" t="s">
        <v>186</v>
      </c>
      <c r="AB51" s="541"/>
      <c r="AC51" s="628">
        <f t="shared" si="0"/>
        <v>6.8461538461538458</v>
      </c>
    </row>
    <row r="52" spans="1:29" s="256" customFormat="1" ht="18" customHeight="1" x14ac:dyDescent="0.2">
      <c r="A52" s="287">
        <v>44</v>
      </c>
      <c r="B52" s="245" t="s">
        <v>2021</v>
      </c>
      <c r="C52" s="246">
        <v>2022</v>
      </c>
      <c r="D52" s="269" t="s">
        <v>993</v>
      </c>
      <c r="E52" s="270" t="s">
        <v>994</v>
      </c>
      <c r="F52" s="242">
        <v>7</v>
      </c>
      <c r="G52" s="242">
        <v>7</v>
      </c>
      <c r="H52" s="242">
        <v>7.5</v>
      </c>
      <c r="I52" s="242">
        <v>7.5</v>
      </c>
      <c r="J52" s="242">
        <v>7.4</v>
      </c>
      <c r="K52" s="242">
        <v>7</v>
      </c>
      <c r="L52" s="242">
        <v>7.5</v>
      </c>
      <c r="M52" s="242">
        <v>7.5</v>
      </c>
      <c r="N52" s="242">
        <v>7.5</v>
      </c>
      <c r="O52" s="242">
        <v>7.5</v>
      </c>
      <c r="P52" s="242">
        <v>7.5</v>
      </c>
      <c r="Q52" s="242">
        <v>7</v>
      </c>
      <c r="R52" s="242">
        <v>7</v>
      </c>
      <c r="S52" s="243">
        <f t="shared" si="3"/>
        <v>7.3000000000000007</v>
      </c>
      <c r="T52" s="242"/>
      <c r="U52" s="242"/>
      <c r="V52" s="242"/>
      <c r="W52" s="277">
        <f t="shared" si="4"/>
        <v>0</v>
      </c>
      <c r="X52" s="277">
        <f t="shared" si="5"/>
        <v>3.6500000000000004</v>
      </c>
      <c r="Y52" s="252" t="s">
        <v>101</v>
      </c>
      <c r="Z52" s="273"/>
      <c r="AA52" s="274" t="s">
        <v>174</v>
      </c>
      <c r="AB52" s="541"/>
      <c r="AC52" s="357">
        <f t="shared" si="0"/>
        <v>7.3000000000000007</v>
      </c>
    </row>
    <row r="53" spans="1:29" s="256" customFormat="1" ht="18" customHeight="1" x14ac:dyDescent="0.2">
      <c r="A53" s="287">
        <v>45</v>
      </c>
      <c r="B53" s="245" t="s">
        <v>2022</v>
      </c>
      <c r="C53" s="246">
        <v>2022</v>
      </c>
      <c r="D53" s="269" t="s">
        <v>995</v>
      </c>
      <c r="E53" s="270" t="s">
        <v>996</v>
      </c>
      <c r="F53" s="242">
        <v>6.5</v>
      </c>
      <c r="G53" s="242">
        <v>6</v>
      </c>
      <c r="H53" s="242">
        <v>7.5</v>
      </c>
      <c r="I53" s="242">
        <v>7</v>
      </c>
      <c r="J53" s="242">
        <v>8</v>
      </c>
      <c r="K53" s="242">
        <v>7</v>
      </c>
      <c r="L53" s="242">
        <v>6.5</v>
      </c>
      <c r="M53" s="242">
        <v>7.5</v>
      </c>
      <c r="N53" s="242">
        <v>6</v>
      </c>
      <c r="O53" s="242">
        <v>7.5</v>
      </c>
      <c r="P53" s="242">
        <v>7</v>
      </c>
      <c r="Q53" s="242">
        <v>7</v>
      </c>
      <c r="R53" s="242">
        <v>7</v>
      </c>
      <c r="S53" s="243">
        <f t="shared" si="3"/>
        <v>6.9615384615384617</v>
      </c>
      <c r="T53" s="242"/>
      <c r="U53" s="242"/>
      <c r="V53" s="242"/>
      <c r="W53" s="277">
        <f t="shared" si="4"/>
        <v>0</v>
      </c>
      <c r="X53" s="277">
        <f t="shared" si="5"/>
        <v>3.4807692307692308</v>
      </c>
      <c r="Y53" s="252" t="s">
        <v>95</v>
      </c>
      <c r="Z53" s="273"/>
      <c r="AA53" s="274" t="s">
        <v>203</v>
      </c>
      <c r="AB53" s="541"/>
      <c r="AC53" s="628">
        <f t="shared" si="0"/>
        <v>6.9615384615384617</v>
      </c>
    </row>
    <row r="54" spans="1:29" s="256" customFormat="1" ht="18" customHeight="1" x14ac:dyDescent="0.2">
      <c r="A54" s="287">
        <v>46</v>
      </c>
      <c r="B54" s="245" t="s">
        <v>2023</v>
      </c>
      <c r="C54" s="246">
        <v>2022</v>
      </c>
      <c r="D54" s="269" t="s">
        <v>997</v>
      </c>
      <c r="E54" s="270" t="s">
        <v>998</v>
      </c>
      <c r="F54" s="623">
        <v>6.5</v>
      </c>
      <c r="G54" s="242">
        <v>6</v>
      </c>
      <c r="H54" s="242">
        <v>7</v>
      </c>
      <c r="I54" s="242">
        <v>7</v>
      </c>
      <c r="J54" s="242">
        <v>7</v>
      </c>
      <c r="K54" s="242">
        <v>6.5</v>
      </c>
      <c r="L54" s="242">
        <v>7</v>
      </c>
      <c r="M54" s="242">
        <v>7</v>
      </c>
      <c r="N54" s="242">
        <v>7</v>
      </c>
      <c r="O54" s="242">
        <v>7.5</v>
      </c>
      <c r="P54" s="242">
        <v>7</v>
      </c>
      <c r="Q54" s="242">
        <v>7.5</v>
      </c>
      <c r="R54" s="623">
        <v>7</v>
      </c>
      <c r="S54" s="243">
        <f t="shared" si="3"/>
        <v>6.9230769230769234</v>
      </c>
      <c r="T54" s="242"/>
      <c r="U54" s="242"/>
      <c r="V54" s="242"/>
      <c r="W54" s="277">
        <f t="shared" si="4"/>
        <v>0</v>
      </c>
      <c r="X54" s="277">
        <f t="shared" si="5"/>
        <v>3.4615384615384617</v>
      </c>
      <c r="Y54" s="252" t="s">
        <v>101</v>
      </c>
      <c r="Z54" s="273"/>
      <c r="AA54" s="274" t="s">
        <v>177</v>
      </c>
      <c r="AB54" s="541"/>
      <c r="AC54" s="628">
        <f t="shared" si="0"/>
        <v>6.9230769230769234</v>
      </c>
    </row>
    <row r="55" spans="1:29" s="256" customFormat="1" ht="18" customHeight="1" x14ac:dyDescent="0.2">
      <c r="A55" s="287">
        <v>47</v>
      </c>
      <c r="B55" s="245" t="s">
        <v>2024</v>
      </c>
      <c r="C55" s="246">
        <v>2022</v>
      </c>
      <c r="D55" s="269" t="s">
        <v>999</v>
      </c>
      <c r="E55" s="270" t="s">
        <v>1000</v>
      </c>
      <c r="F55" s="242">
        <v>7</v>
      </c>
      <c r="G55" s="242">
        <v>6</v>
      </c>
      <c r="H55" s="242">
        <v>7</v>
      </c>
      <c r="I55" s="242">
        <v>6.5</v>
      </c>
      <c r="J55" s="242">
        <v>6.2</v>
      </c>
      <c r="K55" s="242">
        <v>6</v>
      </c>
      <c r="L55" s="242">
        <v>7</v>
      </c>
      <c r="M55" s="242">
        <v>6.5</v>
      </c>
      <c r="N55" s="242">
        <v>7</v>
      </c>
      <c r="O55" s="242">
        <v>7</v>
      </c>
      <c r="P55" s="242">
        <v>6.5</v>
      </c>
      <c r="Q55" s="242">
        <v>7</v>
      </c>
      <c r="R55" s="242">
        <v>6</v>
      </c>
      <c r="S55" s="243">
        <f t="shared" si="3"/>
        <v>6.5923076923076929</v>
      </c>
      <c r="T55" s="242"/>
      <c r="U55" s="242"/>
      <c r="V55" s="242"/>
      <c r="W55" s="277">
        <f t="shared" si="4"/>
        <v>0</v>
      </c>
      <c r="X55" s="277">
        <f t="shared" si="5"/>
        <v>3.2961538461538464</v>
      </c>
      <c r="Y55" s="252" t="s">
        <v>101</v>
      </c>
      <c r="Z55" s="273"/>
      <c r="AA55" s="274" t="s">
        <v>221</v>
      </c>
      <c r="AB55" s="541"/>
      <c r="AC55" s="628">
        <f t="shared" si="0"/>
        <v>6.5923076923076929</v>
      </c>
    </row>
    <row r="56" spans="1:29" s="3" customFormat="1" ht="15.75" customHeight="1" thickBot="1" x14ac:dyDescent="0.3">
      <c r="A56" s="202"/>
      <c r="B56" s="203"/>
      <c r="C56" s="204"/>
      <c r="D56" s="210"/>
      <c r="E56" s="211"/>
      <c r="F56" s="211"/>
      <c r="G56" s="211"/>
      <c r="H56" s="211"/>
      <c r="I56" s="211"/>
      <c r="J56" s="211"/>
      <c r="K56" s="211"/>
      <c r="L56" s="211"/>
      <c r="M56" s="211"/>
      <c r="N56" s="212"/>
      <c r="O56" s="212"/>
      <c r="P56" s="212"/>
      <c r="Q56" s="212"/>
      <c r="R56" s="212"/>
      <c r="S56" s="212"/>
      <c r="T56" s="213"/>
      <c r="U56" s="213"/>
      <c r="V56" s="213"/>
      <c r="W56" s="213"/>
      <c r="X56" s="213"/>
      <c r="Y56" s="214"/>
      <c r="Z56" s="213"/>
      <c r="AA56" s="215"/>
      <c r="AB56" s="24"/>
    </row>
    <row r="57" spans="1:29" s="3" customFormat="1" ht="19.5" thickTop="1" x14ac:dyDescent="0.3">
      <c r="A57" s="236"/>
      <c r="B57" s="236"/>
      <c r="C57" s="236"/>
      <c r="E57" s="236"/>
      <c r="F57" s="236"/>
      <c r="G57" s="236"/>
      <c r="H57" s="236"/>
      <c r="I57" s="236"/>
      <c r="J57" s="236"/>
      <c r="K57" s="236"/>
      <c r="L57" s="236"/>
      <c r="M57" s="236"/>
      <c r="N57" s="12"/>
      <c r="O57" s="12"/>
      <c r="P57" s="12"/>
      <c r="Q57" s="12"/>
      <c r="R57" s="12"/>
      <c r="S57" s="1199"/>
      <c r="T57" s="1199"/>
      <c r="U57" s="1199"/>
      <c r="V57" s="20"/>
      <c r="W57" s="235"/>
      <c r="X57" s="235"/>
      <c r="Y57" s="235"/>
      <c r="Z57" s="14"/>
      <c r="AA57" s="235"/>
      <c r="AB57" s="24"/>
    </row>
    <row r="58" spans="1:29" s="3" customFormat="1" x14ac:dyDescent="0.3">
      <c r="A58" s="236"/>
      <c r="B58" s="236"/>
      <c r="C58" s="236"/>
      <c r="E58" s="236"/>
      <c r="F58" s="236"/>
      <c r="G58" s="236"/>
      <c r="H58" s="236"/>
      <c r="I58" s="236"/>
      <c r="J58" s="236"/>
      <c r="K58" s="236"/>
      <c r="L58" s="236"/>
      <c r="M58" s="236"/>
      <c r="N58" s="6"/>
      <c r="O58" s="6"/>
      <c r="P58" s="6"/>
      <c r="Q58" s="6"/>
      <c r="R58" s="6"/>
      <c r="S58" s="9"/>
      <c r="T58" s="21"/>
      <c r="U58" s="21"/>
      <c r="V58" s="20"/>
      <c r="W58" s="235"/>
      <c r="X58" s="235"/>
      <c r="Y58" s="235"/>
      <c r="Z58" s="14"/>
      <c r="AA58" s="235"/>
      <c r="AB58" s="24"/>
    </row>
    <row r="59" spans="1:29" s="3" customFormat="1" x14ac:dyDescent="0.3">
      <c r="A59" s="236"/>
      <c r="B59" s="236"/>
      <c r="C59" s="236"/>
      <c r="E59" s="236"/>
      <c r="F59" s="236"/>
      <c r="G59" s="236"/>
      <c r="H59" s="236"/>
      <c r="I59" s="236"/>
      <c r="J59" s="236"/>
      <c r="K59" s="236"/>
      <c r="L59" s="236"/>
      <c r="M59" s="236"/>
      <c r="N59" s="6"/>
      <c r="O59" s="6"/>
      <c r="P59" s="6"/>
      <c r="Q59" s="6"/>
      <c r="R59" s="6"/>
      <c r="S59" s="9"/>
      <c r="T59" s="21"/>
      <c r="U59" s="21"/>
      <c r="V59" s="20"/>
      <c r="W59" s="235"/>
      <c r="X59" s="235"/>
      <c r="Y59" s="235"/>
      <c r="Z59" s="14"/>
      <c r="AA59" s="235"/>
    </row>
    <row r="60" spans="1:29" s="3" customFormat="1" x14ac:dyDescent="0.3">
      <c r="A60" s="236"/>
      <c r="B60" s="236"/>
      <c r="C60" s="236"/>
      <c r="E60" s="236"/>
      <c r="F60" s="236"/>
      <c r="G60" s="236"/>
      <c r="H60" s="236"/>
      <c r="I60" s="236"/>
      <c r="J60" s="236"/>
      <c r="K60" s="236"/>
      <c r="L60" s="236"/>
      <c r="M60" s="236"/>
      <c r="N60" s="1221"/>
      <c r="O60" s="1221"/>
      <c r="P60" s="1221"/>
      <c r="Q60" s="1221"/>
      <c r="R60" s="1221"/>
      <c r="S60" s="1221"/>
      <c r="T60" s="1221"/>
      <c r="U60" s="1221"/>
      <c r="V60" s="20"/>
      <c r="W60" s="235"/>
      <c r="X60" s="235"/>
      <c r="Y60" s="235"/>
      <c r="Z60" s="14"/>
      <c r="AA60" s="235"/>
    </row>
    <row r="61" spans="1:29" s="3" customFormat="1" ht="18" x14ac:dyDescent="0.25">
      <c r="A61" s="236"/>
      <c r="B61" s="236"/>
      <c r="C61" s="236"/>
      <c r="E61" s="236"/>
      <c r="F61" s="236"/>
      <c r="G61" s="236"/>
      <c r="H61" s="236"/>
      <c r="I61" s="236"/>
      <c r="J61" s="236"/>
      <c r="K61" s="236"/>
      <c r="L61" s="236"/>
      <c r="M61" s="236"/>
      <c r="N61" s="1200"/>
      <c r="O61" s="1200"/>
      <c r="P61" s="1200"/>
      <c r="Q61" s="1200"/>
      <c r="R61" s="1200"/>
      <c r="S61" s="1200"/>
      <c r="T61" s="1200"/>
      <c r="U61" s="1200"/>
      <c r="V61" s="1200"/>
      <c r="W61" s="1200"/>
      <c r="X61" s="1200"/>
      <c r="Y61" s="1200"/>
      <c r="Z61" s="1200"/>
      <c r="AA61" s="1200"/>
    </row>
    <row r="62" spans="1:29" x14ac:dyDescent="0.3">
      <c r="A62" s="236"/>
      <c r="B62" s="236"/>
      <c r="C62" s="236"/>
      <c r="D62" s="3"/>
      <c r="E62" s="236"/>
      <c r="F62" s="236"/>
      <c r="G62" s="236"/>
      <c r="H62" s="236"/>
      <c r="I62" s="236"/>
      <c r="J62" s="236"/>
      <c r="K62" s="236"/>
      <c r="L62" s="236"/>
      <c r="M62" s="236"/>
      <c r="N62" s="235"/>
      <c r="O62" s="235"/>
      <c r="P62" s="235"/>
      <c r="Q62" s="235"/>
      <c r="R62" s="235"/>
      <c r="T62" s="20"/>
      <c r="U62" s="20"/>
      <c r="V62" s="20"/>
      <c r="W62" s="235"/>
      <c r="X62" s="235"/>
      <c r="Y62" s="235"/>
      <c r="Z62" s="14"/>
      <c r="AA62" s="235"/>
    </row>
    <row r="63" spans="1:29" x14ac:dyDescent="0.3">
      <c r="A63" s="236"/>
      <c r="B63" s="236"/>
      <c r="C63" s="236"/>
      <c r="D63" s="3"/>
      <c r="E63" s="236"/>
      <c r="F63" s="236"/>
      <c r="G63" s="236"/>
      <c r="H63" s="236"/>
      <c r="I63" s="236"/>
      <c r="J63" s="236"/>
      <c r="K63" s="236"/>
      <c r="L63" s="236"/>
      <c r="M63" s="236"/>
      <c r="N63" s="235"/>
      <c r="O63" s="235"/>
      <c r="P63" s="235"/>
      <c r="Q63" s="235"/>
      <c r="R63" s="235"/>
      <c r="T63" s="20"/>
      <c r="U63" s="20"/>
      <c r="V63" s="20"/>
      <c r="W63" s="235"/>
      <c r="X63" s="235"/>
      <c r="Y63" s="235"/>
      <c r="Z63" s="14"/>
      <c r="AA63" s="235"/>
    </row>
    <row r="64" spans="1:29" x14ac:dyDescent="0.3">
      <c r="A64" s="236"/>
      <c r="B64" s="236"/>
      <c r="C64" s="236"/>
      <c r="D64" s="3"/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T64" s="20"/>
      <c r="U64" s="20"/>
      <c r="V64" s="20"/>
      <c r="W64" s="236"/>
      <c r="X64" s="236"/>
      <c r="Y64" s="236"/>
      <c r="Z64" s="14"/>
      <c r="AA64" s="236"/>
    </row>
    <row r="65" spans="1:27" x14ac:dyDescent="0.3">
      <c r="A65" s="236"/>
      <c r="B65" s="236"/>
      <c r="C65" s="236"/>
      <c r="D65" s="3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T65" s="20"/>
      <c r="U65" s="20"/>
      <c r="V65" s="20"/>
      <c r="W65" s="236"/>
      <c r="X65" s="236"/>
      <c r="Y65" s="236"/>
      <c r="Z65" s="14"/>
      <c r="AA65" s="236"/>
    </row>
    <row r="66" spans="1:27" x14ac:dyDescent="0.3">
      <c r="A66" s="236"/>
      <c r="B66" s="236"/>
      <c r="C66" s="236"/>
      <c r="D66" s="3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36"/>
      <c r="R66" s="236"/>
      <c r="T66" s="20"/>
      <c r="U66" s="20"/>
      <c r="V66" s="20"/>
      <c r="W66" s="236"/>
      <c r="X66" s="236"/>
      <c r="Y66" s="236"/>
      <c r="Z66" s="14"/>
      <c r="AA66" s="236"/>
    </row>
  </sheetData>
  <autoFilter ref="S7:AB55">
    <filterColumn colId="1" showButton="0"/>
    <filterColumn colId="2" showButton="0"/>
    <filterColumn colId="3" showButton="0"/>
  </autoFilter>
  <mergeCells count="18">
    <mergeCell ref="E2:AA2"/>
    <mergeCell ref="E3:AA3"/>
    <mergeCell ref="E4:AA4"/>
    <mergeCell ref="E5:AF5"/>
    <mergeCell ref="A7:A8"/>
    <mergeCell ref="B7:C8"/>
    <mergeCell ref="D7:D8"/>
    <mergeCell ref="E7:E8"/>
    <mergeCell ref="F7:O7"/>
    <mergeCell ref="S7:S8"/>
    <mergeCell ref="N60:U60"/>
    <mergeCell ref="N61:AA61"/>
    <mergeCell ref="T7:W7"/>
    <mergeCell ref="X7:X8"/>
    <mergeCell ref="Y7:Y8"/>
    <mergeCell ref="Z7:Z8"/>
    <mergeCell ref="AA7:AA8"/>
    <mergeCell ref="S57:U57"/>
  </mergeCells>
  <printOptions horizontalCentered="1"/>
  <pageMargins left="0.74" right="0.16" top="0.27" bottom="0.31" header="0.23" footer="0.27"/>
  <pageSetup scale="98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C66"/>
  <sheetViews>
    <sheetView topLeftCell="A5" zoomScale="120" zoomScaleNormal="120" workbookViewId="0">
      <selection activeCell="K17" sqref="K17"/>
    </sheetView>
  </sheetViews>
  <sheetFormatPr defaultRowHeight="18.75" x14ac:dyDescent="0.3"/>
  <cols>
    <col min="1" max="1" width="2.796875" style="1" customWidth="1"/>
    <col min="2" max="2" width="4.3984375" style="1" customWidth="1"/>
    <col min="3" max="3" width="4.59765625" style="1" customWidth="1"/>
    <col min="4" max="4" width="14.69921875" customWidth="1"/>
    <col min="5" max="5" width="7.296875" style="1" customWidth="1"/>
    <col min="6" max="18" width="2.69921875" style="1" customWidth="1"/>
    <col min="19" max="19" width="3.8984375" style="25" customWidth="1"/>
    <col min="20" max="22" width="3.8984375" style="20" hidden="1" customWidth="1"/>
    <col min="23" max="23" width="3.8984375" style="235" hidden="1" customWidth="1"/>
    <col min="24" max="24" width="3.8984375" style="235" customWidth="1"/>
    <col min="25" max="25" width="4.3984375" style="14" hidden="1" customWidth="1"/>
    <col min="26" max="26" width="26.5" style="235" customWidth="1"/>
    <col min="27" max="27" width="2.5" customWidth="1"/>
    <col min="28" max="28" width="4" style="461" customWidth="1"/>
  </cols>
  <sheetData>
    <row r="1" spans="1:29" ht="9" customHeight="1" x14ac:dyDescent="0.3">
      <c r="S1" s="5"/>
    </row>
    <row r="2" spans="1:29" s="6" customFormat="1" ht="17.25" x14ac:dyDescent="0.3">
      <c r="B2" s="8"/>
      <c r="C2" s="8"/>
      <c r="D2" s="8"/>
      <c r="E2" s="1199" t="s">
        <v>30</v>
      </c>
      <c r="F2" s="1199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9"/>
      <c r="W2" s="1199"/>
      <c r="X2" s="1199"/>
      <c r="Y2" s="1199"/>
      <c r="Z2" s="1199"/>
    </row>
    <row r="3" spans="1:29" s="6" customFormat="1" ht="15.75" x14ac:dyDescent="0.25">
      <c r="B3" s="10"/>
      <c r="C3" s="10"/>
      <c r="D3" s="10"/>
      <c r="E3" s="1200" t="s">
        <v>465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0"/>
      <c r="R3" s="1200"/>
      <c r="S3" s="1200"/>
      <c r="T3" s="1200"/>
      <c r="U3" s="1200"/>
      <c r="V3" s="1200"/>
      <c r="W3" s="1200"/>
      <c r="X3" s="1200"/>
      <c r="Y3" s="1200"/>
      <c r="Z3" s="1200"/>
    </row>
    <row r="4" spans="1:29" s="6" customFormat="1" ht="15.75" hidden="1" x14ac:dyDescent="0.25">
      <c r="B4" s="11"/>
      <c r="C4" s="11"/>
      <c r="D4" s="11"/>
      <c r="E4" s="1201" t="s">
        <v>34</v>
      </c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1"/>
      <c r="U4" s="1201"/>
      <c r="V4" s="1201"/>
      <c r="W4" s="1201"/>
      <c r="X4" s="1201"/>
      <c r="Y4" s="1201"/>
      <c r="Z4" s="1201"/>
    </row>
    <row r="5" spans="1:29" s="6" customFormat="1" ht="15.75" customHeight="1" x14ac:dyDescent="0.25">
      <c r="B5" s="10"/>
      <c r="C5" s="10"/>
      <c r="D5" s="10"/>
      <c r="E5" s="1202" t="s">
        <v>466</v>
      </c>
      <c r="F5" s="1202"/>
      <c r="G5" s="1202"/>
      <c r="H5" s="1202"/>
      <c r="I5" s="1202"/>
      <c r="J5" s="1202"/>
      <c r="K5" s="1202"/>
      <c r="L5" s="1202"/>
      <c r="M5" s="1202"/>
      <c r="N5" s="1202"/>
      <c r="O5" s="1202"/>
      <c r="P5" s="1202"/>
      <c r="Q5" s="1202"/>
      <c r="R5" s="1202"/>
      <c r="S5" s="1202"/>
      <c r="T5" s="1202"/>
      <c r="U5" s="1202"/>
      <c r="V5" s="1202"/>
      <c r="W5" s="1202"/>
      <c r="X5" s="1202"/>
      <c r="Y5" s="1202"/>
      <c r="Z5" s="1202"/>
      <c r="AA5" s="1202"/>
      <c r="AB5" s="1202"/>
      <c r="AC5" s="1202"/>
    </row>
    <row r="6" spans="1:29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34"/>
      <c r="T6" s="177"/>
      <c r="U6" s="177"/>
      <c r="V6" s="177"/>
      <c r="W6" s="234"/>
      <c r="X6" s="234"/>
      <c r="Y6" s="234"/>
      <c r="Z6" s="234"/>
      <c r="AA6" s="112"/>
    </row>
    <row r="7" spans="1:29" s="6" customFormat="1" ht="18.75" customHeight="1" thickTop="1" x14ac:dyDescent="0.2">
      <c r="A7" s="1268" t="s">
        <v>91</v>
      </c>
      <c r="B7" s="1270" t="s">
        <v>106</v>
      </c>
      <c r="C7" s="1271"/>
      <c r="D7" s="1274" t="s">
        <v>92</v>
      </c>
      <c r="E7" s="1274" t="s">
        <v>93</v>
      </c>
      <c r="F7" s="1261" t="s">
        <v>1802</v>
      </c>
      <c r="G7" s="1262"/>
      <c r="H7" s="1262"/>
      <c r="I7" s="1262"/>
      <c r="J7" s="1262"/>
      <c r="K7" s="1262"/>
      <c r="L7" s="1262"/>
      <c r="M7" s="1262"/>
      <c r="N7" s="1262"/>
      <c r="O7" s="1276"/>
      <c r="P7" s="1276"/>
      <c r="Q7" s="672"/>
      <c r="R7" s="672"/>
      <c r="S7" s="1277" t="s">
        <v>102</v>
      </c>
      <c r="T7" s="1261" t="s">
        <v>104</v>
      </c>
      <c r="U7" s="1262"/>
      <c r="V7" s="1262"/>
      <c r="W7" s="1263"/>
      <c r="X7" s="1264" t="s">
        <v>100</v>
      </c>
      <c r="Y7" s="1050" t="s">
        <v>103</v>
      </c>
      <c r="Z7" s="1266" t="s">
        <v>90</v>
      </c>
      <c r="AA7" s="6">
        <v>18</v>
      </c>
    </row>
    <row r="8" spans="1:29" s="6" customFormat="1" ht="146.25" customHeight="1" x14ac:dyDescent="0.2">
      <c r="A8" s="1269"/>
      <c r="B8" s="1272"/>
      <c r="C8" s="1273"/>
      <c r="D8" s="1275"/>
      <c r="E8" s="1275"/>
      <c r="F8" s="462" t="s">
        <v>14</v>
      </c>
      <c r="G8" s="37" t="s">
        <v>330</v>
      </c>
      <c r="H8" s="282" t="s">
        <v>110</v>
      </c>
      <c r="I8" s="462" t="s">
        <v>126</v>
      </c>
      <c r="J8" s="282" t="s">
        <v>301</v>
      </c>
      <c r="K8" s="282" t="s">
        <v>302</v>
      </c>
      <c r="L8" s="282" t="s">
        <v>300</v>
      </c>
      <c r="M8" s="282" t="s">
        <v>303</v>
      </c>
      <c r="N8" s="462" t="s">
        <v>96</v>
      </c>
      <c r="O8" s="615" t="s">
        <v>458</v>
      </c>
      <c r="P8" s="282" t="s">
        <v>1800</v>
      </c>
      <c r="Q8" s="282" t="s">
        <v>1801</v>
      </c>
      <c r="R8" s="230" t="s">
        <v>459</v>
      </c>
      <c r="S8" s="1278"/>
      <c r="T8" s="279" t="s">
        <v>108</v>
      </c>
      <c r="U8" s="279" t="s">
        <v>97</v>
      </c>
      <c r="V8" s="279" t="s">
        <v>96</v>
      </c>
      <c r="W8" s="284" t="s">
        <v>98</v>
      </c>
      <c r="X8" s="1265"/>
      <c r="Y8" s="1051"/>
      <c r="Z8" s="1267"/>
      <c r="AA8" s="6" t="s">
        <v>94</v>
      </c>
    </row>
    <row r="9" spans="1:29" s="256" customFormat="1" ht="18" customHeight="1" x14ac:dyDescent="0.2">
      <c r="A9" s="285">
        <v>1</v>
      </c>
      <c r="B9" s="245" t="s">
        <v>2027</v>
      </c>
      <c r="C9" s="246">
        <v>2022</v>
      </c>
      <c r="D9" s="264" t="s">
        <v>1001</v>
      </c>
      <c r="E9" s="265" t="s">
        <v>524</v>
      </c>
      <c r="F9" s="268">
        <v>7.5</v>
      </c>
      <c r="G9" s="266">
        <v>7</v>
      </c>
      <c r="H9" s="268">
        <v>7</v>
      </c>
      <c r="I9" s="268">
        <v>8</v>
      </c>
      <c r="J9" s="268">
        <v>8</v>
      </c>
      <c r="K9" s="268">
        <v>7.5</v>
      </c>
      <c r="L9" s="268">
        <v>8</v>
      </c>
      <c r="M9" s="268">
        <v>7.5</v>
      </c>
      <c r="N9" s="268">
        <v>7</v>
      </c>
      <c r="O9" s="268">
        <v>5</v>
      </c>
      <c r="P9" s="268">
        <v>7</v>
      </c>
      <c r="Q9" s="268">
        <v>6.5</v>
      </c>
      <c r="R9" s="268">
        <v>7</v>
      </c>
      <c r="S9" s="243">
        <f>SUM(F9:R9)/13</f>
        <v>7.1538461538461542</v>
      </c>
      <c r="T9" s="266"/>
      <c r="U9" s="266"/>
      <c r="V9" s="266"/>
      <c r="W9" s="286">
        <f>SUM(T9:V9)/3</f>
        <v>0</v>
      </c>
      <c r="X9" s="252" t="s">
        <v>101</v>
      </c>
      <c r="Y9" s="271"/>
      <c r="Z9" s="259" t="s">
        <v>200</v>
      </c>
      <c r="AA9" s="255"/>
      <c r="AB9" s="357">
        <f t="shared" ref="AB9:AB55" si="0">AVERAGE(F9:R9)</f>
        <v>7.1538461538461542</v>
      </c>
    </row>
    <row r="10" spans="1:29" s="256" customFormat="1" ht="18" customHeight="1" x14ac:dyDescent="0.2">
      <c r="A10" s="287">
        <v>2</v>
      </c>
      <c r="B10" s="245" t="s">
        <v>2028</v>
      </c>
      <c r="C10" s="246">
        <v>2022</v>
      </c>
      <c r="D10" s="269" t="s">
        <v>1002</v>
      </c>
      <c r="E10" s="270" t="s">
        <v>555</v>
      </c>
      <c r="F10" s="242">
        <v>7.5</v>
      </c>
      <c r="G10" s="242">
        <v>7.5</v>
      </c>
      <c r="H10" s="242">
        <v>7</v>
      </c>
      <c r="I10" s="242">
        <v>7.5</v>
      </c>
      <c r="J10" s="242">
        <v>8</v>
      </c>
      <c r="K10" s="242">
        <v>6.5</v>
      </c>
      <c r="L10" s="242">
        <v>7</v>
      </c>
      <c r="M10" s="242">
        <v>6.5</v>
      </c>
      <c r="N10" s="242">
        <v>7</v>
      </c>
      <c r="O10" s="242">
        <v>7.5</v>
      </c>
      <c r="P10" s="242">
        <v>7</v>
      </c>
      <c r="Q10" s="242">
        <v>7.5</v>
      </c>
      <c r="R10" s="242">
        <v>7</v>
      </c>
      <c r="S10" s="243">
        <f t="shared" ref="S10:S55" si="1">SUM(F10:R10)/13</f>
        <v>7.1923076923076925</v>
      </c>
      <c r="T10" s="242"/>
      <c r="U10" s="242"/>
      <c r="V10" s="242"/>
      <c r="W10" s="277">
        <f t="shared" ref="W10:W27" si="2">SUM(T10:V10)/3</f>
        <v>0</v>
      </c>
      <c r="X10" s="252" t="s">
        <v>95</v>
      </c>
      <c r="Y10" s="273"/>
      <c r="Z10" s="263" t="s">
        <v>186</v>
      </c>
      <c r="AA10" s="255"/>
      <c r="AB10" s="357">
        <f t="shared" si="0"/>
        <v>7.1923076923076925</v>
      </c>
    </row>
    <row r="11" spans="1:29" s="256" customFormat="1" ht="18" customHeight="1" x14ac:dyDescent="0.2">
      <c r="A11" s="287">
        <v>3</v>
      </c>
      <c r="B11" s="245" t="s">
        <v>2029</v>
      </c>
      <c r="C11" s="246">
        <v>2022</v>
      </c>
      <c r="D11" s="269" t="s">
        <v>1003</v>
      </c>
      <c r="E11" s="270" t="s">
        <v>1004</v>
      </c>
      <c r="F11" s="242">
        <v>7</v>
      </c>
      <c r="G11" s="242">
        <v>7</v>
      </c>
      <c r="H11" s="242">
        <v>6</v>
      </c>
      <c r="I11" s="242">
        <v>8</v>
      </c>
      <c r="J11" s="242">
        <v>8</v>
      </c>
      <c r="K11" s="242">
        <v>7</v>
      </c>
      <c r="L11" s="242">
        <v>7</v>
      </c>
      <c r="M11" s="242">
        <v>7</v>
      </c>
      <c r="N11" s="242">
        <v>7.5</v>
      </c>
      <c r="O11" s="242">
        <v>7.5</v>
      </c>
      <c r="P11" s="242">
        <v>7</v>
      </c>
      <c r="Q11" s="242">
        <v>7.5</v>
      </c>
      <c r="R11" s="242">
        <v>7</v>
      </c>
      <c r="S11" s="243">
        <f t="shared" si="1"/>
        <v>7.1923076923076925</v>
      </c>
      <c r="T11" s="242"/>
      <c r="U11" s="242"/>
      <c r="V11" s="242"/>
      <c r="W11" s="277">
        <f t="shared" si="2"/>
        <v>0</v>
      </c>
      <c r="X11" s="252" t="s">
        <v>101</v>
      </c>
      <c r="Y11" s="273"/>
      <c r="Z11" s="263" t="s">
        <v>170</v>
      </c>
      <c r="AA11" s="255"/>
      <c r="AB11" s="357">
        <f t="shared" si="0"/>
        <v>7.1923076923076925</v>
      </c>
    </row>
    <row r="12" spans="1:29" s="256" customFormat="1" ht="18" customHeight="1" x14ac:dyDescent="0.2">
      <c r="A12" s="287">
        <v>4</v>
      </c>
      <c r="B12" s="245" t="s">
        <v>2030</v>
      </c>
      <c r="C12" s="246">
        <v>2022</v>
      </c>
      <c r="D12" s="269" t="s">
        <v>1005</v>
      </c>
      <c r="E12" s="270" t="s">
        <v>1006</v>
      </c>
      <c r="F12" s="242">
        <v>7</v>
      </c>
      <c r="G12" s="242">
        <v>7.5</v>
      </c>
      <c r="H12" s="242">
        <v>7</v>
      </c>
      <c r="I12" s="242">
        <v>8</v>
      </c>
      <c r="J12" s="242">
        <v>8</v>
      </c>
      <c r="K12" s="242">
        <v>7.5</v>
      </c>
      <c r="L12" s="242">
        <v>7</v>
      </c>
      <c r="M12" s="242">
        <v>7.5</v>
      </c>
      <c r="N12" s="242">
        <v>7</v>
      </c>
      <c r="O12" s="242">
        <v>7</v>
      </c>
      <c r="P12" s="242">
        <v>6.5</v>
      </c>
      <c r="Q12" s="242">
        <v>6.5</v>
      </c>
      <c r="R12" s="242">
        <v>6.5</v>
      </c>
      <c r="S12" s="243">
        <f t="shared" si="1"/>
        <v>7.1538461538461542</v>
      </c>
      <c r="T12" s="242"/>
      <c r="U12" s="242"/>
      <c r="V12" s="242"/>
      <c r="W12" s="277">
        <f t="shared" si="2"/>
        <v>0</v>
      </c>
      <c r="X12" s="252" t="s">
        <v>101</v>
      </c>
      <c r="Y12" s="273"/>
      <c r="Z12" s="263" t="s">
        <v>177</v>
      </c>
      <c r="AA12" s="255"/>
      <c r="AB12" s="357">
        <f t="shared" si="0"/>
        <v>7.1538461538461542</v>
      </c>
    </row>
    <row r="13" spans="1:29" s="256" customFormat="1" ht="18" customHeight="1" x14ac:dyDescent="0.2">
      <c r="A13" s="287">
        <v>5</v>
      </c>
      <c r="B13" s="245" t="s">
        <v>2031</v>
      </c>
      <c r="C13" s="246">
        <v>2022</v>
      </c>
      <c r="D13" s="269" t="s">
        <v>1007</v>
      </c>
      <c r="E13" s="270" t="s">
        <v>252</v>
      </c>
      <c r="F13" s="242">
        <v>8</v>
      </c>
      <c r="G13" s="242">
        <v>7</v>
      </c>
      <c r="H13" s="242">
        <v>7</v>
      </c>
      <c r="I13" s="242">
        <v>8</v>
      </c>
      <c r="J13" s="242">
        <v>8</v>
      </c>
      <c r="K13" s="242">
        <v>7.5</v>
      </c>
      <c r="L13" s="242">
        <v>7</v>
      </c>
      <c r="M13" s="242">
        <v>7</v>
      </c>
      <c r="N13" s="242">
        <v>7</v>
      </c>
      <c r="O13" s="242">
        <v>8</v>
      </c>
      <c r="P13" s="242">
        <v>7.5</v>
      </c>
      <c r="Q13" s="242">
        <v>6.5</v>
      </c>
      <c r="R13" s="242">
        <v>7.5</v>
      </c>
      <c r="S13" s="243">
        <f t="shared" si="1"/>
        <v>7.384615384615385</v>
      </c>
      <c r="T13" s="242"/>
      <c r="U13" s="242"/>
      <c r="V13" s="242"/>
      <c r="W13" s="277">
        <f t="shared" si="2"/>
        <v>0</v>
      </c>
      <c r="X13" s="252" t="s">
        <v>101</v>
      </c>
      <c r="Y13" s="273"/>
      <c r="Z13" s="263" t="s">
        <v>208</v>
      </c>
      <c r="AA13" s="255"/>
      <c r="AB13" s="357">
        <f t="shared" si="0"/>
        <v>7.384615384615385</v>
      </c>
    </row>
    <row r="14" spans="1:29" s="256" customFormat="1" ht="18" customHeight="1" x14ac:dyDescent="0.2">
      <c r="A14" s="287">
        <v>6</v>
      </c>
      <c r="B14" s="245" t="s">
        <v>2032</v>
      </c>
      <c r="C14" s="246">
        <v>2022</v>
      </c>
      <c r="D14" s="269" t="s">
        <v>1008</v>
      </c>
      <c r="E14" s="270" t="s">
        <v>1009</v>
      </c>
      <c r="F14" s="242">
        <v>7</v>
      </c>
      <c r="G14" s="242">
        <v>7.5</v>
      </c>
      <c r="H14" s="242">
        <v>7</v>
      </c>
      <c r="I14" s="242">
        <v>8</v>
      </c>
      <c r="J14" s="242">
        <v>8</v>
      </c>
      <c r="K14" s="242">
        <v>7.5</v>
      </c>
      <c r="L14" s="242">
        <v>7</v>
      </c>
      <c r="M14" s="242">
        <v>7.5</v>
      </c>
      <c r="N14" s="242">
        <v>7.5</v>
      </c>
      <c r="O14" s="242">
        <v>7.5</v>
      </c>
      <c r="P14" s="242">
        <v>7.5</v>
      </c>
      <c r="Q14" s="242">
        <v>7</v>
      </c>
      <c r="R14" s="242">
        <v>7</v>
      </c>
      <c r="S14" s="243">
        <f t="shared" si="1"/>
        <v>7.384615384615385</v>
      </c>
      <c r="T14" s="242"/>
      <c r="U14" s="242"/>
      <c r="V14" s="242"/>
      <c r="W14" s="277">
        <f t="shared" si="2"/>
        <v>0</v>
      </c>
      <c r="X14" s="252" t="s">
        <v>101</v>
      </c>
      <c r="Y14" s="273"/>
      <c r="Z14" s="263" t="s">
        <v>186</v>
      </c>
      <c r="AA14" s="255"/>
      <c r="AB14" s="357">
        <f t="shared" si="0"/>
        <v>7.384615384615385</v>
      </c>
    </row>
    <row r="15" spans="1:29" s="256" customFormat="1" ht="18" customHeight="1" x14ac:dyDescent="0.2">
      <c r="A15" s="287">
        <v>7</v>
      </c>
      <c r="B15" s="245" t="s">
        <v>2033</v>
      </c>
      <c r="C15" s="246">
        <v>2022</v>
      </c>
      <c r="D15" s="269" t="s">
        <v>1010</v>
      </c>
      <c r="E15" s="270" t="s">
        <v>1011</v>
      </c>
      <c r="F15" s="242">
        <v>7.5</v>
      </c>
      <c r="G15" s="242">
        <v>7.5</v>
      </c>
      <c r="H15" s="242">
        <v>5</v>
      </c>
      <c r="I15" s="242">
        <v>8</v>
      </c>
      <c r="J15" s="242">
        <v>8</v>
      </c>
      <c r="K15" s="242">
        <v>7.5</v>
      </c>
      <c r="L15" s="242">
        <v>7.5</v>
      </c>
      <c r="M15" s="242">
        <v>7.5</v>
      </c>
      <c r="N15" s="242">
        <v>7.5</v>
      </c>
      <c r="O15" s="242">
        <v>7.5</v>
      </c>
      <c r="P15" s="242">
        <v>7.5</v>
      </c>
      <c r="Q15" s="242">
        <v>7</v>
      </c>
      <c r="R15" s="242">
        <v>7</v>
      </c>
      <c r="S15" s="243">
        <f t="shared" si="1"/>
        <v>7.3076923076923075</v>
      </c>
      <c r="T15" s="242"/>
      <c r="U15" s="242"/>
      <c r="V15" s="242"/>
      <c r="W15" s="277">
        <f t="shared" si="2"/>
        <v>0</v>
      </c>
      <c r="X15" s="252" t="s">
        <v>101</v>
      </c>
      <c r="Y15" s="273"/>
      <c r="Z15" s="263" t="s">
        <v>226</v>
      </c>
      <c r="AA15" s="255"/>
      <c r="AB15" s="357">
        <f t="shared" si="0"/>
        <v>7.3076923076923075</v>
      </c>
    </row>
    <row r="16" spans="1:29" s="256" customFormat="1" ht="18" customHeight="1" x14ac:dyDescent="0.2">
      <c r="A16" s="287">
        <v>8</v>
      </c>
      <c r="B16" s="245" t="s">
        <v>2034</v>
      </c>
      <c r="C16" s="246">
        <v>2022</v>
      </c>
      <c r="D16" s="269" t="s">
        <v>1012</v>
      </c>
      <c r="E16" s="270" t="s">
        <v>1013</v>
      </c>
      <c r="F16" s="242">
        <v>7</v>
      </c>
      <c r="G16" s="242">
        <v>7.5</v>
      </c>
      <c r="H16" s="242">
        <v>7</v>
      </c>
      <c r="I16" s="242">
        <v>7.5</v>
      </c>
      <c r="J16" s="242">
        <v>8.5</v>
      </c>
      <c r="K16" s="242">
        <v>7.5</v>
      </c>
      <c r="L16" s="242">
        <v>7</v>
      </c>
      <c r="M16" s="242">
        <v>7.5</v>
      </c>
      <c r="N16" s="242">
        <v>7</v>
      </c>
      <c r="O16" s="242">
        <v>7.5</v>
      </c>
      <c r="P16" s="242">
        <v>7.5</v>
      </c>
      <c r="Q16" s="242">
        <v>7.5</v>
      </c>
      <c r="R16" s="242">
        <v>7.5</v>
      </c>
      <c r="S16" s="243">
        <f t="shared" si="1"/>
        <v>7.4230769230769234</v>
      </c>
      <c r="T16" s="242"/>
      <c r="U16" s="242"/>
      <c r="V16" s="242"/>
      <c r="W16" s="277">
        <f t="shared" si="2"/>
        <v>0</v>
      </c>
      <c r="X16" s="252" t="s">
        <v>101</v>
      </c>
      <c r="Y16" s="273"/>
      <c r="Z16" s="263" t="s">
        <v>831</v>
      </c>
      <c r="AA16" s="255"/>
      <c r="AB16" s="357">
        <f t="shared" si="0"/>
        <v>7.4230769230769234</v>
      </c>
    </row>
    <row r="17" spans="1:28" s="256" customFormat="1" ht="18" customHeight="1" x14ac:dyDescent="0.2">
      <c r="A17" s="287">
        <v>9</v>
      </c>
      <c r="B17" s="245" t="s">
        <v>2035</v>
      </c>
      <c r="C17" s="246">
        <v>2022</v>
      </c>
      <c r="D17" s="269" t="s">
        <v>1014</v>
      </c>
      <c r="E17" s="270" t="s">
        <v>686</v>
      </c>
      <c r="F17" s="242">
        <v>6.5</v>
      </c>
      <c r="G17" s="242">
        <v>7.5</v>
      </c>
      <c r="H17" s="242">
        <v>7</v>
      </c>
      <c r="I17" s="242">
        <v>9</v>
      </c>
      <c r="J17" s="242">
        <v>8</v>
      </c>
      <c r="K17" s="242">
        <v>7.5</v>
      </c>
      <c r="L17" s="242">
        <v>7</v>
      </c>
      <c r="M17" s="242">
        <v>7.5</v>
      </c>
      <c r="N17" s="242">
        <v>7</v>
      </c>
      <c r="O17" s="242">
        <v>6.5</v>
      </c>
      <c r="P17" s="242">
        <v>7.5</v>
      </c>
      <c r="Q17" s="242">
        <v>7</v>
      </c>
      <c r="R17" s="242">
        <v>7</v>
      </c>
      <c r="S17" s="243">
        <f t="shared" si="1"/>
        <v>7.3076923076923075</v>
      </c>
      <c r="T17" s="242"/>
      <c r="U17" s="242"/>
      <c r="V17" s="242"/>
      <c r="W17" s="277">
        <f t="shared" si="2"/>
        <v>0</v>
      </c>
      <c r="X17" s="252" t="s">
        <v>101</v>
      </c>
      <c r="Y17" s="273"/>
      <c r="Z17" s="263" t="s">
        <v>190</v>
      </c>
      <c r="AA17" s="255"/>
      <c r="AB17" s="357">
        <f t="shared" si="0"/>
        <v>7.3076923076923075</v>
      </c>
    </row>
    <row r="18" spans="1:28" s="256" customFormat="1" ht="18" customHeight="1" x14ac:dyDescent="0.2">
      <c r="A18" s="287">
        <v>10</v>
      </c>
      <c r="B18" s="245" t="s">
        <v>2036</v>
      </c>
      <c r="C18" s="246">
        <v>2022</v>
      </c>
      <c r="D18" s="269" t="s">
        <v>1015</v>
      </c>
      <c r="E18" s="270" t="s">
        <v>1016</v>
      </c>
      <c r="F18" s="242">
        <v>8</v>
      </c>
      <c r="G18" s="622">
        <v>7</v>
      </c>
      <c r="H18" s="242">
        <v>7</v>
      </c>
      <c r="I18" s="242">
        <v>9</v>
      </c>
      <c r="J18" s="242">
        <v>8</v>
      </c>
      <c r="K18" s="242">
        <v>7.5</v>
      </c>
      <c r="L18" s="242">
        <v>7.5</v>
      </c>
      <c r="M18" s="242">
        <v>7.5</v>
      </c>
      <c r="N18" s="242">
        <v>7</v>
      </c>
      <c r="O18" s="242">
        <v>7</v>
      </c>
      <c r="P18" s="242">
        <v>7.5</v>
      </c>
      <c r="Q18" s="242">
        <v>7.5</v>
      </c>
      <c r="R18" s="625">
        <v>7</v>
      </c>
      <c r="S18" s="243">
        <f t="shared" si="1"/>
        <v>7.5</v>
      </c>
      <c r="T18" s="242"/>
      <c r="U18" s="242"/>
      <c r="V18" s="242"/>
      <c r="W18" s="277">
        <f t="shared" si="2"/>
        <v>0</v>
      </c>
      <c r="X18" s="252" t="s">
        <v>101</v>
      </c>
      <c r="Y18" s="273"/>
      <c r="Z18" s="263" t="s">
        <v>182</v>
      </c>
      <c r="AA18" s="255"/>
      <c r="AB18" s="357">
        <f t="shared" si="0"/>
        <v>7.5</v>
      </c>
    </row>
    <row r="19" spans="1:28" s="256" customFormat="1" ht="18" customHeight="1" x14ac:dyDescent="0.2">
      <c r="A19" s="287">
        <v>11</v>
      </c>
      <c r="B19" s="245" t="s">
        <v>2037</v>
      </c>
      <c r="C19" s="246">
        <v>2022</v>
      </c>
      <c r="D19" s="269" t="s">
        <v>1017</v>
      </c>
      <c r="E19" s="270" t="s">
        <v>792</v>
      </c>
      <c r="F19" s="242">
        <v>7</v>
      </c>
      <c r="G19" s="622">
        <v>7</v>
      </c>
      <c r="H19" s="242">
        <v>7</v>
      </c>
      <c r="I19" s="242">
        <v>8</v>
      </c>
      <c r="J19" s="242">
        <v>8</v>
      </c>
      <c r="K19" s="242">
        <v>7</v>
      </c>
      <c r="L19" s="242">
        <v>7.5</v>
      </c>
      <c r="M19" s="242">
        <v>7</v>
      </c>
      <c r="N19" s="242">
        <v>7</v>
      </c>
      <c r="O19" s="242">
        <v>7.5</v>
      </c>
      <c r="P19" s="242">
        <v>7.5</v>
      </c>
      <c r="Q19" s="242">
        <v>7</v>
      </c>
      <c r="R19" s="625">
        <v>7</v>
      </c>
      <c r="S19" s="243">
        <f t="shared" si="1"/>
        <v>7.2692307692307692</v>
      </c>
      <c r="T19" s="242"/>
      <c r="U19" s="242"/>
      <c r="V19" s="242"/>
      <c r="W19" s="277">
        <f t="shared" si="2"/>
        <v>0</v>
      </c>
      <c r="X19" s="252" t="s">
        <v>101</v>
      </c>
      <c r="Y19" s="273"/>
      <c r="Z19" s="263" t="s">
        <v>241</v>
      </c>
      <c r="AA19" s="255"/>
      <c r="AB19" s="357">
        <f t="shared" si="0"/>
        <v>7.2692307692307692</v>
      </c>
    </row>
    <row r="20" spans="1:28" s="256" customFormat="1" ht="18" customHeight="1" x14ac:dyDescent="0.2">
      <c r="A20" s="287">
        <v>12</v>
      </c>
      <c r="B20" s="245" t="s">
        <v>2038</v>
      </c>
      <c r="C20" s="246">
        <v>2022</v>
      </c>
      <c r="D20" s="269" t="s">
        <v>1018</v>
      </c>
      <c r="E20" s="270" t="s">
        <v>942</v>
      </c>
      <c r="F20" s="242">
        <v>7</v>
      </c>
      <c r="G20" s="242">
        <v>6.5</v>
      </c>
      <c r="H20" s="242">
        <v>7</v>
      </c>
      <c r="I20" s="242">
        <v>9</v>
      </c>
      <c r="J20" s="242">
        <v>8</v>
      </c>
      <c r="K20" s="242">
        <v>7</v>
      </c>
      <c r="L20" s="242">
        <v>7.5</v>
      </c>
      <c r="M20" s="242">
        <v>7</v>
      </c>
      <c r="N20" s="242">
        <v>7</v>
      </c>
      <c r="O20" s="242">
        <v>7.5</v>
      </c>
      <c r="P20" s="242">
        <v>6.5</v>
      </c>
      <c r="Q20" s="242">
        <v>7</v>
      </c>
      <c r="R20" s="242">
        <v>7.5</v>
      </c>
      <c r="S20" s="243">
        <f t="shared" si="1"/>
        <v>7.2692307692307692</v>
      </c>
      <c r="T20" s="242"/>
      <c r="U20" s="242"/>
      <c r="V20" s="242"/>
      <c r="W20" s="277">
        <f t="shared" si="2"/>
        <v>0</v>
      </c>
      <c r="X20" s="252" t="s">
        <v>101</v>
      </c>
      <c r="Y20" s="273"/>
      <c r="Z20" s="263" t="s">
        <v>141</v>
      </c>
      <c r="AA20" s="255"/>
      <c r="AB20" s="357">
        <f t="shared" si="0"/>
        <v>7.2692307692307692</v>
      </c>
    </row>
    <row r="21" spans="1:28" s="256" customFormat="1" ht="18" customHeight="1" x14ac:dyDescent="0.2">
      <c r="A21" s="287">
        <v>13</v>
      </c>
      <c r="B21" s="245" t="s">
        <v>2039</v>
      </c>
      <c r="C21" s="246">
        <v>2022</v>
      </c>
      <c r="D21" s="269" t="s">
        <v>1019</v>
      </c>
      <c r="E21" s="270" t="s">
        <v>1020</v>
      </c>
      <c r="F21" s="242">
        <v>7</v>
      </c>
      <c r="G21" s="242">
        <v>7.5</v>
      </c>
      <c r="H21" s="242">
        <v>6</v>
      </c>
      <c r="I21" s="242">
        <v>8</v>
      </c>
      <c r="J21" s="242">
        <v>8</v>
      </c>
      <c r="K21" s="242">
        <v>7.5</v>
      </c>
      <c r="L21" s="242">
        <v>7.5</v>
      </c>
      <c r="M21" s="242">
        <v>7.5</v>
      </c>
      <c r="N21" s="242">
        <v>7</v>
      </c>
      <c r="O21" s="242">
        <v>6.5</v>
      </c>
      <c r="P21" s="242">
        <v>7</v>
      </c>
      <c r="Q21" s="242">
        <v>7</v>
      </c>
      <c r="R21" s="242">
        <v>7</v>
      </c>
      <c r="S21" s="243">
        <f t="shared" si="1"/>
        <v>7.1923076923076925</v>
      </c>
      <c r="T21" s="242"/>
      <c r="U21" s="242"/>
      <c r="V21" s="242"/>
      <c r="W21" s="277">
        <f t="shared" si="2"/>
        <v>0</v>
      </c>
      <c r="X21" s="252" t="s">
        <v>101</v>
      </c>
      <c r="Y21" s="273"/>
      <c r="Z21" s="263" t="s">
        <v>170</v>
      </c>
      <c r="AA21" s="255"/>
      <c r="AB21" s="357">
        <f t="shared" si="0"/>
        <v>7.1923076923076925</v>
      </c>
    </row>
    <row r="22" spans="1:28" s="256" customFormat="1" ht="18" customHeight="1" x14ac:dyDescent="0.2">
      <c r="A22" s="287">
        <v>14</v>
      </c>
      <c r="B22" s="245" t="s">
        <v>2040</v>
      </c>
      <c r="C22" s="246">
        <v>2022</v>
      </c>
      <c r="D22" s="269" t="s">
        <v>1021</v>
      </c>
      <c r="E22" s="270" t="s">
        <v>1022</v>
      </c>
      <c r="F22" s="242">
        <v>8</v>
      </c>
      <c r="G22" s="242">
        <v>8</v>
      </c>
      <c r="H22" s="242">
        <v>8</v>
      </c>
      <c r="I22" s="242">
        <v>8</v>
      </c>
      <c r="J22" s="242">
        <v>8.5</v>
      </c>
      <c r="K22" s="242">
        <v>8</v>
      </c>
      <c r="L22" s="242">
        <v>8</v>
      </c>
      <c r="M22" s="242">
        <v>8</v>
      </c>
      <c r="N22" s="242">
        <v>8</v>
      </c>
      <c r="O22" s="242">
        <v>8</v>
      </c>
      <c r="P22" s="242">
        <v>8</v>
      </c>
      <c r="Q22" s="242">
        <v>8</v>
      </c>
      <c r="R22" s="242">
        <v>8</v>
      </c>
      <c r="S22" s="243">
        <f t="shared" si="1"/>
        <v>8.0384615384615383</v>
      </c>
      <c r="T22" s="242"/>
      <c r="U22" s="242"/>
      <c r="V22" s="242"/>
      <c r="W22" s="277">
        <f t="shared" si="2"/>
        <v>0</v>
      </c>
      <c r="X22" s="252" t="s">
        <v>101</v>
      </c>
      <c r="Y22" s="273"/>
      <c r="Z22" s="263" t="s">
        <v>190</v>
      </c>
      <c r="AA22" s="255"/>
      <c r="AB22" s="613">
        <f t="shared" si="0"/>
        <v>8.0384615384615383</v>
      </c>
    </row>
    <row r="23" spans="1:28" s="256" customFormat="1" ht="18" customHeight="1" x14ac:dyDescent="0.2">
      <c r="A23" s="287">
        <v>15</v>
      </c>
      <c r="B23" s="245" t="s">
        <v>2041</v>
      </c>
      <c r="C23" s="246">
        <v>2022</v>
      </c>
      <c r="D23" s="269" t="s">
        <v>1023</v>
      </c>
      <c r="E23" s="270" t="s">
        <v>1024</v>
      </c>
      <c r="F23" s="242">
        <v>6.5</v>
      </c>
      <c r="G23" s="242">
        <v>6.5</v>
      </c>
      <c r="H23" s="242">
        <v>6</v>
      </c>
      <c r="I23" s="242">
        <v>9</v>
      </c>
      <c r="J23" s="242">
        <v>7</v>
      </c>
      <c r="K23" s="242">
        <v>6.5</v>
      </c>
      <c r="L23" s="242">
        <v>6.5</v>
      </c>
      <c r="M23" s="242">
        <v>6.5</v>
      </c>
      <c r="N23" s="242">
        <v>7.5</v>
      </c>
      <c r="O23" s="242">
        <v>7</v>
      </c>
      <c r="P23" s="242">
        <v>7</v>
      </c>
      <c r="Q23" s="242">
        <v>7</v>
      </c>
      <c r="R23" s="242">
        <v>7</v>
      </c>
      <c r="S23" s="243">
        <f t="shared" si="1"/>
        <v>6.9230769230769234</v>
      </c>
      <c r="T23" s="242"/>
      <c r="U23" s="242"/>
      <c r="V23" s="242"/>
      <c r="W23" s="277">
        <f t="shared" si="2"/>
        <v>0</v>
      </c>
      <c r="X23" s="252" t="s">
        <v>95</v>
      </c>
      <c r="Y23" s="273"/>
      <c r="Z23" s="263" t="s">
        <v>18</v>
      </c>
      <c r="AA23" s="255"/>
      <c r="AB23" s="628">
        <f t="shared" si="0"/>
        <v>6.9230769230769234</v>
      </c>
    </row>
    <row r="24" spans="1:28" s="256" customFormat="1" ht="18" customHeight="1" x14ac:dyDescent="0.2">
      <c r="A24" s="287">
        <v>16</v>
      </c>
      <c r="B24" s="245" t="s">
        <v>2042</v>
      </c>
      <c r="C24" s="246">
        <v>2022</v>
      </c>
      <c r="D24" s="269" t="s">
        <v>1025</v>
      </c>
      <c r="E24" s="270" t="s">
        <v>1026</v>
      </c>
      <c r="F24" s="242">
        <v>7.5</v>
      </c>
      <c r="G24" s="242">
        <v>7.5</v>
      </c>
      <c r="H24" s="242">
        <v>7</v>
      </c>
      <c r="I24" s="242">
        <v>8</v>
      </c>
      <c r="J24" s="242">
        <v>8</v>
      </c>
      <c r="K24" s="242">
        <v>7.5</v>
      </c>
      <c r="L24" s="242">
        <v>7.5</v>
      </c>
      <c r="M24" s="242">
        <v>7.5</v>
      </c>
      <c r="N24" s="242">
        <v>7.5</v>
      </c>
      <c r="O24" s="242">
        <v>7.5</v>
      </c>
      <c r="P24" s="242">
        <v>7.5</v>
      </c>
      <c r="Q24" s="242">
        <v>7</v>
      </c>
      <c r="R24" s="242">
        <v>7</v>
      </c>
      <c r="S24" s="243">
        <f t="shared" si="1"/>
        <v>7.4615384615384617</v>
      </c>
      <c r="T24" s="242"/>
      <c r="U24" s="242"/>
      <c r="V24" s="242"/>
      <c r="W24" s="277">
        <f t="shared" si="2"/>
        <v>0</v>
      </c>
      <c r="X24" s="252" t="s">
        <v>101</v>
      </c>
      <c r="Y24" s="273"/>
      <c r="Z24" s="263" t="s">
        <v>177</v>
      </c>
      <c r="AA24" s="255"/>
      <c r="AB24" s="357">
        <f t="shared" si="0"/>
        <v>7.4615384615384617</v>
      </c>
    </row>
    <row r="25" spans="1:28" s="256" customFormat="1" ht="18" customHeight="1" x14ac:dyDescent="0.2">
      <c r="A25" s="287">
        <v>17</v>
      </c>
      <c r="B25" s="245" t="s">
        <v>2043</v>
      </c>
      <c r="C25" s="246">
        <v>2022</v>
      </c>
      <c r="D25" s="269" t="s">
        <v>1027</v>
      </c>
      <c r="E25" s="270" t="s">
        <v>1028</v>
      </c>
      <c r="F25" s="242">
        <v>6.5</v>
      </c>
      <c r="G25" s="242">
        <v>7.5</v>
      </c>
      <c r="H25" s="242">
        <v>7</v>
      </c>
      <c r="I25" s="242">
        <v>9</v>
      </c>
      <c r="J25" s="242">
        <v>8</v>
      </c>
      <c r="K25" s="242">
        <v>7.5</v>
      </c>
      <c r="L25" s="242">
        <v>7.5</v>
      </c>
      <c r="M25" s="242">
        <v>7.5</v>
      </c>
      <c r="N25" s="242">
        <v>7.5</v>
      </c>
      <c r="O25" s="242">
        <v>7</v>
      </c>
      <c r="P25" s="242">
        <v>7.5</v>
      </c>
      <c r="Q25" s="242">
        <v>7.5</v>
      </c>
      <c r="R25" s="242">
        <v>7</v>
      </c>
      <c r="S25" s="243">
        <f t="shared" si="1"/>
        <v>7.4615384615384617</v>
      </c>
      <c r="T25" s="242"/>
      <c r="U25" s="242"/>
      <c r="V25" s="242"/>
      <c r="W25" s="277">
        <f t="shared" si="2"/>
        <v>0</v>
      </c>
      <c r="X25" s="252" t="s">
        <v>101</v>
      </c>
      <c r="Y25" s="273"/>
      <c r="Z25" s="263" t="s">
        <v>208</v>
      </c>
      <c r="AA25" s="255"/>
      <c r="AB25" s="357">
        <f t="shared" si="0"/>
        <v>7.4615384615384617</v>
      </c>
    </row>
    <row r="26" spans="1:28" s="256" customFormat="1" ht="18" customHeight="1" x14ac:dyDescent="0.2">
      <c r="A26" s="287">
        <v>18</v>
      </c>
      <c r="B26" s="245" t="s">
        <v>2044</v>
      </c>
      <c r="C26" s="246">
        <v>2022</v>
      </c>
      <c r="D26" s="269" t="s">
        <v>1029</v>
      </c>
      <c r="E26" s="611" t="s">
        <v>2074</v>
      </c>
      <c r="F26" s="242">
        <v>7.5</v>
      </c>
      <c r="G26" s="242">
        <v>7</v>
      </c>
      <c r="H26" s="242">
        <v>7</v>
      </c>
      <c r="I26" s="242">
        <v>8</v>
      </c>
      <c r="J26" s="242">
        <v>8</v>
      </c>
      <c r="K26" s="242">
        <v>7</v>
      </c>
      <c r="L26" s="242">
        <v>7.5</v>
      </c>
      <c r="M26" s="242">
        <v>7.5</v>
      </c>
      <c r="N26" s="242">
        <v>6.5</v>
      </c>
      <c r="O26" s="242">
        <v>7</v>
      </c>
      <c r="P26" s="242">
        <v>6.5</v>
      </c>
      <c r="Q26" s="242">
        <v>7.5</v>
      </c>
      <c r="R26" s="242">
        <v>7</v>
      </c>
      <c r="S26" s="243">
        <f t="shared" si="1"/>
        <v>7.2307692307692308</v>
      </c>
      <c r="T26" s="242"/>
      <c r="U26" s="242"/>
      <c r="V26" s="242"/>
      <c r="W26" s="277">
        <f t="shared" si="2"/>
        <v>0</v>
      </c>
      <c r="X26" s="252" t="s">
        <v>101</v>
      </c>
      <c r="Y26" s="273"/>
      <c r="Z26" s="263" t="s">
        <v>186</v>
      </c>
      <c r="AA26" s="255"/>
      <c r="AB26" s="357">
        <f t="shared" si="0"/>
        <v>7.2307692307692308</v>
      </c>
    </row>
    <row r="27" spans="1:28" s="256" customFormat="1" ht="18" customHeight="1" x14ac:dyDescent="0.2">
      <c r="A27" s="287">
        <v>19</v>
      </c>
      <c r="B27" s="245" t="s">
        <v>2045</v>
      </c>
      <c r="C27" s="246">
        <v>2022</v>
      </c>
      <c r="D27" s="269" t="s">
        <v>1030</v>
      </c>
      <c r="E27" s="270" t="s">
        <v>1031</v>
      </c>
      <c r="F27" s="458">
        <v>7.5</v>
      </c>
      <c r="G27" s="242">
        <v>7</v>
      </c>
      <c r="H27" s="242">
        <v>7</v>
      </c>
      <c r="I27" s="242">
        <v>8</v>
      </c>
      <c r="J27" s="242">
        <v>8</v>
      </c>
      <c r="K27" s="242">
        <v>7</v>
      </c>
      <c r="L27" s="242">
        <v>7</v>
      </c>
      <c r="M27" s="242">
        <v>7</v>
      </c>
      <c r="N27" s="242">
        <v>7</v>
      </c>
      <c r="O27" s="242">
        <v>7</v>
      </c>
      <c r="P27" s="242">
        <v>6.5</v>
      </c>
      <c r="Q27" s="242">
        <v>6.5</v>
      </c>
      <c r="R27" s="242">
        <v>7</v>
      </c>
      <c r="S27" s="243">
        <f t="shared" si="1"/>
        <v>7.115384615384615</v>
      </c>
      <c r="T27" s="242"/>
      <c r="U27" s="242"/>
      <c r="V27" s="242"/>
      <c r="W27" s="277">
        <f t="shared" si="2"/>
        <v>0</v>
      </c>
      <c r="X27" s="252" t="s">
        <v>101</v>
      </c>
      <c r="Y27" s="273"/>
      <c r="Z27" s="263" t="s">
        <v>183</v>
      </c>
      <c r="AA27" s="255"/>
      <c r="AB27" s="357">
        <f t="shared" si="0"/>
        <v>7.115384615384615</v>
      </c>
    </row>
    <row r="28" spans="1:28" s="256" customFormat="1" ht="18" customHeight="1" x14ac:dyDescent="0.2">
      <c r="A28" s="287">
        <v>20</v>
      </c>
      <c r="B28" s="245" t="s">
        <v>2046</v>
      </c>
      <c r="C28" s="246">
        <v>2022</v>
      </c>
      <c r="D28" s="269" t="s">
        <v>1032</v>
      </c>
      <c r="E28" s="270" t="s">
        <v>1033</v>
      </c>
      <c r="F28" s="242">
        <v>8</v>
      </c>
      <c r="G28" s="242">
        <v>7</v>
      </c>
      <c r="H28" s="242">
        <v>7</v>
      </c>
      <c r="I28" s="242">
        <v>7.5</v>
      </c>
      <c r="J28" s="242">
        <v>8</v>
      </c>
      <c r="K28" s="242">
        <v>6.5</v>
      </c>
      <c r="L28" s="242">
        <v>6.5</v>
      </c>
      <c r="M28" s="242">
        <v>6.5</v>
      </c>
      <c r="N28" s="242">
        <v>7.5</v>
      </c>
      <c r="O28" s="242">
        <v>7</v>
      </c>
      <c r="P28" s="242">
        <v>6.5</v>
      </c>
      <c r="Q28" s="242">
        <v>6.5</v>
      </c>
      <c r="R28" s="242">
        <v>7</v>
      </c>
      <c r="S28" s="243">
        <f t="shared" si="1"/>
        <v>7.0384615384615383</v>
      </c>
      <c r="T28" s="242"/>
      <c r="U28" s="242"/>
      <c r="V28" s="242"/>
      <c r="W28" s="277">
        <f>SUM(T28:V28)/3</f>
        <v>0</v>
      </c>
      <c r="X28" s="252" t="s">
        <v>95</v>
      </c>
      <c r="Y28" s="273"/>
      <c r="Z28" s="263" t="s">
        <v>215</v>
      </c>
      <c r="AA28" s="255"/>
      <c r="AB28" s="357">
        <f t="shared" si="0"/>
        <v>7.0384615384615383</v>
      </c>
    </row>
    <row r="29" spans="1:28" s="256" customFormat="1" ht="18" customHeight="1" x14ac:dyDescent="0.2">
      <c r="A29" s="287">
        <v>21</v>
      </c>
      <c r="B29" s="245" t="s">
        <v>2047</v>
      </c>
      <c r="C29" s="246">
        <v>2022</v>
      </c>
      <c r="D29" s="269" t="s">
        <v>1034</v>
      </c>
      <c r="E29" s="611" t="s">
        <v>2075</v>
      </c>
      <c r="F29" s="242">
        <v>7</v>
      </c>
      <c r="G29" s="242">
        <v>7.5</v>
      </c>
      <c r="H29" s="242">
        <v>6</v>
      </c>
      <c r="I29" s="242">
        <v>8</v>
      </c>
      <c r="J29" s="242">
        <v>8</v>
      </c>
      <c r="K29" s="242">
        <v>7.5</v>
      </c>
      <c r="L29" s="242">
        <v>7.5</v>
      </c>
      <c r="M29" s="242">
        <v>7.5</v>
      </c>
      <c r="N29" s="242">
        <v>7.5</v>
      </c>
      <c r="O29" s="242">
        <v>7</v>
      </c>
      <c r="P29" s="242">
        <v>7.5</v>
      </c>
      <c r="Q29" s="242">
        <v>7.5</v>
      </c>
      <c r="R29" s="242">
        <v>7.5</v>
      </c>
      <c r="S29" s="243">
        <f t="shared" si="1"/>
        <v>7.384615384615385</v>
      </c>
      <c r="T29" s="242"/>
      <c r="U29" s="242"/>
      <c r="V29" s="242"/>
      <c r="W29" s="277">
        <f>SUM(T29:V29)/3</f>
        <v>0</v>
      </c>
      <c r="X29" s="252" t="s">
        <v>101</v>
      </c>
      <c r="Y29" s="273"/>
      <c r="Z29" s="263" t="s">
        <v>198</v>
      </c>
      <c r="AA29" s="255"/>
      <c r="AB29" s="357">
        <f t="shared" si="0"/>
        <v>7.384615384615385</v>
      </c>
    </row>
    <row r="30" spans="1:28" s="256" customFormat="1" ht="18" customHeight="1" x14ac:dyDescent="0.2">
      <c r="A30" s="287">
        <v>22</v>
      </c>
      <c r="B30" s="245" t="s">
        <v>2048</v>
      </c>
      <c r="C30" s="246">
        <v>2022</v>
      </c>
      <c r="D30" s="269" t="s">
        <v>1035</v>
      </c>
      <c r="E30" s="270" t="s">
        <v>707</v>
      </c>
      <c r="F30" s="242">
        <v>7.5</v>
      </c>
      <c r="G30" s="242">
        <v>7.5</v>
      </c>
      <c r="H30" s="242">
        <v>7</v>
      </c>
      <c r="I30" s="242">
        <v>8</v>
      </c>
      <c r="J30" s="242">
        <v>8</v>
      </c>
      <c r="K30" s="242">
        <v>7.5</v>
      </c>
      <c r="L30" s="242">
        <v>7.5</v>
      </c>
      <c r="M30" s="242">
        <v>7.5</v>
      </c>
      <c r="N30" s="242">
        <v>7.5</v>
      </c>
      <c r="O30" s="242">
        <v>7.5</v>
      </c>
      <c r="P30" s="242">
        <v>7.5</v>
      </c>
      <c r="Q30" s="242">
        <v>7.5</v>
      </c>
      <c r="R30" s="242">
        <v>7</v>
      </c>
      <c r="S30" s="243">
        <f t="shared" si="1"/>
        <v>7.5</v>
      </c>
      <c r="T30" s="242"/>
      <c r="U30" s="242"/>
      <c r="V30" s="242"/>
      <c r="W30" s="277">
        <f t="shared" ref="W30:W55" si="3">SUM(T30:V30)/3</f>
        <v>0</v>
      </c>
      <c r="X30" s="252" t="s">
        <v>101</v>
      </c>
      <c r="Y30" s="273"/>
      <c r="Z30" s="263" t="s">
        <v>215</v>
      </c>
      <c r="AA30" s="255"/>
      <c r="AB30" s="357">
        <f t="shared" si="0"/>
        <v>7.5</v>
      </c>
    </row>
    <row r="31" spans="1:28" s="256" customFormat="1" ht="18" customHeight="1" x14ac:dyDescent="0.2">
      <c r="A31" s="287">
        <v>23</v>
      </c>
      <c r="B31" s="245" t="s">
        <v>2049</v>
      </c>
      <c r="C31" s="246">
        <v>2022</v>
      </c>
      <c r="D31" s="269" t="s">
        <v>1036</v>
      </c>
      <c r="E31" s="270" t="s">
        <v>1037</v>
      </c>
      <c r="F31" s="242">
        <v>7.5</v>
      </c>
      <c r="G31" s="242">
        <v>7</v>
      </c>
      <c r="H31" s="242">
        <v>7</v>
      </c>
      <c r="I31" s="242">
        <v>9</v>
      </c>
      <c r="J31" s="242">
        <v>8</v>
      </c>
      <c r="K31" s="242">
        <v>7.5</v>
      </c>
      <c r="L31" s="242">
        <v>7.5</v>
      </c>
      <c r="M31" s="242">
        <v>7.5</v>
      </c>
      <c r="N31" s="242">
        <v>7.5</v>
      </c>
      <c r="O31" s="242">
        <v>6</v>
      </c>
      <c r="P31" s="242">
        <v>7.5</v>
      </c>
      <c r="Q31" s="242">
        <v>7.5</v>
      </c>
      <c r="R31" s="242">
        <v>7</v>
      </c>
      <c r="S31" s="243">
        <f t="shared" si="1"/>
        <v>7.4230769230769234</v>
      </c>
      <c r="T31" s="242"/>
      <c r="U31" s="242"/>
      <c r="V31" s="242"/>
      <c r="W31" s="277">
        <f t="shared" si="3"/>
        <v>0</v>
      </c>
      <c r="X31" s="252" t="s">
        <v>101</v>
      </c>
      <c r="Y31" s="273"/>
      <c r="Z31" s="263" t="s">
        <v>186</v>
      </c>
      <c r="AA31" s="255"/>
      <c r="AB31" s="357">
        <f t="shared" si="0"/>
        <v>7.4230769230769234</v>
      </c>
    </row>
    <row r="32" spans="1:28" s="256" customFormat="1" ht="18" customHeight="1" x14ac:dyDescent="0.2">
      <c r="A32" s="287">
        <v>24</v>
      </c>
      <c r="B32" s="245" t="s">
        <v>2050</v>
      </c>
      <c r="C32" s="246">
        <v>2022</v>
      </c>
      <c r="D32" s="269" t="s">
        <v>1038</v>
      </c>
      <c r="E32" s="270" t="s">
        <v>1039</v>
      </c>
      <c r="F32" s="242">
        <v>7.5</v>
      </c>
      <c r="G32" s="242">
        <v>7.5</v>
      </c>
      <c r="H32" s="242">
        <v>7</v>
      </c>
      <c r="I32" s="242">
        <v>8</v>
      </c>
      <c r="J32" s="242">
        <v>8</v>
      </c>
      <c r="K32" s="242">
        <v>7</v>
      </c>
      <c r="L32" s="242">
        <v>7</v>
      </c>
      <c r="M32" s="242">
        <v>7</v>
      </c>
      <c r="N32" s="242">
        <v>6.5</v>
      </c>
      <c r="O32" s="242">
        <v>7.5</v>
      </c>
      <c r="P32" s="242">
        <v>7</v>
      </c>
      <c r="Q32" s="242">
        <v>7.5</v>
      </c>
      <c r="R32" s="242">
        <v>7.5</v>
      </c>
      <c r="S32" s="243">
        <f t="shared" si="1"/>
        <v>7.3076923076923075</v>
      </c>
      <c r="T32" s="242"/>
      <c r="U32" s="242"/>
      <c r="V32" s="242"/>
      <c r="W32" s="277">
        <f t="shared" si="3"/>
        <v>0</v>
      </c>
      <c r="X32" s="252" t="s">
        <v>101</v>
      </c>
      <c r="Y32" s="273"/>
      <c r="Z32" s="263" t="s">
        <v>186</v>
      </c>
      <c r="AA32" s="255"/>
      <c r="AB32" s="357">
        <f t="shared" si="0"/>
        <v>7.3076923076923075</v>
      </c>
    </row>
    <row r="33" spans="1:28" s="256" customFormat="1" ht="18" customHeight="1" x14ac:dyDescent="0.2">
      <c r="A33" s="287">
        <v>25</v>
      </c>
      <c r="B33" s="245" t="s">
        <v>2051</v>
      </c>
      <c r="C33" s="246">
        <v>2022</v>
      </c>
      <c r="D33" s="269" t="s">
        <v>1040</v>
      </c>
      <c r="E33" s="270" t="s">
        <v>1041</v>
      </c>
      <c r="F33" s="242">
        <v>7.5</v>
      </c>
      <c r="G33" s="242">
        <v>7.5</v>
      </c>
      <c r="H33" s="242">
        <v>7</v>
      </c>
      <c r="I33" s="242">
        <v>9</v>
      </c>
      <c r="J33" s="242">
        <v>8</v>
      </c>
      <c r="K33" s="242">
        <v>7.5</v>
      </c>
      <c r="L33" s="242">
        <v>7.5</v>
      </c>
      <c r="M33" s="242">
        <v>7.5</v>
      </c>
      <c r="N33" s="242">
        <v>7.5</v>
      </c>
      <c r="O33" s="242">
        <v>7.5</v>
      </c>
      <c r="P33" s="242">
        <v>7</v>
      </c>
      <c r="Q33" s="242">
        <v>7</v>
      </c>
      <c r="R33" s="242">
        <v>7</v>
      </c>
      <c r="S33" s="243">
        <f t="shared" si="1"/>
        <v>7.5</v>
      </c>
      <c r="T33" s="242"/>
      <c r="U33" s="242"/>
      <c r="V33" s="242"/>
      <c r="W33" s="277">
        <f t="shared" si="3"/>
        <v>0</v>
      </c>
      <c r="X33" s="252" t="s">
        <v>101</v>
      </c>
      <c r="Y33" s="273"/>
      <c r="Z33" s="263" t="s">
        <v>186</v>
      </c>
      <c r="AA33" s="255"/>
      <c r="AB33" s="357">
        <f t="shared" si="0"/>
        <v>7.5</v>
      </c>
    </row>
    <row r="34" spans="1:28" s="256" customFormat="1" ht="18" customHeight="1" x14ac:dyDescent="0.2">
      <c r="A34" s="287">
        <v>26</v>
      </c>
      <c r="B34" s="245" t="s">
        <v>2052</v>
      </c>
      <c r="C34" s="246">
        <v>2022</v>
      </c>
      <c r="D34" s="269" t="s">
        <v>1042</v>
      </c>
      <c r="E34" s="270" t="s">
        <v>505</v>
      </c>
      <c r="F34" s="242">
        <v>7.5</v>
      </c>
      <c r="G34" s="242">
        <v>7.5</v>
      </c>
      <c r="H34" s="242">
        <v>6</v>
      </c>
      <c r="I34" s="242">
        <v>8</v>
      </c>
      <c r="J34" s="242">
        <v>8</v>
      </c>
      <c r="K34" s="242">
        <v>7</v>
      </c>
      <c r="L34" s="242">
        <v>7</v>
      </c>
      <c r="M34" s="242">
        <v>7.5</v>
      </c>
      <c r="N34" s="242">
        <v>7</v>
      </c>
      <c r="O34" s="242">
        <v>7</v>
      </c>
      <c r="P34" s="242">
        <v>7</v>
      </c>
      <c r="Q34" s="242">
        <v>7.5</v>
      </c>
      <c r="R34" s="242">
        <v>7</v>
      </c>
      <c r="S34" s="243">
        <f t="shared" si="1"/>
        <v>7.2307692307692308</v>
      </c>
      <c r="T34" s="242"/>
      <c r="U34" s="242"/>
      <c r="V34" s="242"/>
      <c r="W34" s="277">
        <f t="shared" si="3"/>
        <v>0</v>
      </c>
      <c r="X34" s="252" t="s">
        <v>101</v>
      </c>
      <c r="Y34" s="273"/>
      <c r="Z34" s="263" t="s">
        <v>215</v>
      </c>
      <c r="AA34" s="255"/>
      <c r="AB34" s="357">
        <f t="shared" si="0"/>
        <v>7.2307692307692308</v>
      </c>
    </row>
    <row r="35" spans="1:28" s="256" customFormat="1" ht="18" customHeight="1" x14ac:dyDescent="0.2">
      <c r="A35" s="287">
        <v>27</v>
      </c>
      <c r="B35" s="245" t="s">
        <v>2053</v>
      </c>
      <c r="C35" s="246">
        <v>2022</v>
      </c>
      <c r="D35" s="269" t="s">
        <v>1043</v>
      </c>
      <c r="E35" s="270" t="s">
        <v>1044</v>
      </c>
      <c r="F35" s="242">
        <v>7.5</v>
      </c>
      <c r="G35" s="622">
        <v>7</v>
      </c>
      <c r="H35" s="242">
        <v>7</v>
      </c>
      <c r="I35" s="242">
        <v>9</v>
      </c>
      <c r="J35" s="242">
        <v>8</v>
      </c>
      <c r="K35" s="242">
        <v>7</v>
      </c>
      <c r="L35" s="242">
        <v>7.5</v>
      </c>
      <c r="M35" s="242">
        <v>7</v>
      </c>
      <c r="N35" s="242">
        <v>7</v>
      </c>
      <c r="O35" s="242">
        <v>7</v>
      </c>
      <c r="P35" s="242">
        <v>7</v>
      </c>
      <c r="Q35" s="242">
        <v>7</v>
      </c>
      <c r="R35" s="625">
        <v>7</v>
      </c>
      <c r="S35" s="243">
        <f t="shared" si="1"/>
        <v>7.3076923076923075</v>
      </c>
      <c r="T35" s="242"/>
      <c r="U35" s="242"/>
      <c r="V35" s="242"/>
      <c r="W35" s="277">
        <f t="shared" si="3"/>
        <v>0</v>
      </c>
      <c r="X35" s="252" t="s">
        <v>101</v>
      </c>
      <c r="Y35" s="273"/>
      <c r="Z35" s="263" t="s">
        <v>189</v>
      </c>
      <c r="AA35" s="255"/>
      <c r="AB35" s="357">
        <f t="shared" si="0"/>
        <v>7.3076923076923075</v>
      </c>
    </row>
    <row r="36" spans="1:28" s="256" customFormat="1" ht="18" customHeight="1" x14ac:dyDescent="0.2">
      <c r="A36" s="287">
        <v>28</v>
      </c>
      <c r="B36" s="245" t="s">
        <v>2054</v>
      </c>
      <c r="C36" s="246">
        <v>2022</v>
      </c>
      <c r="D36" s="269" t="s">
        <v>1045</v>
      </c>
      <c r="E36" s="270" t="s">
        <v>205</v>
      </c>
      <c r="F36" s="242">
        <v>7.5</v>
      </c>
      <c r="G36" s="242">
        <v>7.5</v>
      </c>
      <c r="H36" s="242">
        <v>7</v>
      </c>
      <c r="I36" s="242">
        <v>8</v>
      </c>
      <c r="J36" s="242">
        <v>8</v>
      </c>
      <c r="K36" s="242">
        <v>8</v>
      </c>
      <c r="L36" s="242">
        <v>7</v>
      </c>
      <c r="M36" s="242">
        <v>7.5</v>
      </c>
      <c r="N36" s="242">
        <v>7.5</v>
      </c>
      <c r="O36" s="242">
        <v>7.5</v>
      </c>
      <c r="P36" s="242">
        <v>7.5</v>
      </c>
      <c r="Q36" s="242">
        <v>7.5</v>
      </c>
      <c r="R36" s="625">
        <v>7</v>
      </c>
      <c r="S36" s="243">
        <f t="shared" si="1"/>
        <v>7.5</v>
      </c>
      <c r="T36" s="242"/>
      <c r="U36" s="242"/>
      <c r="V36" s="242"/>
      <c r="W36" s="277">
        <f t="shared" si="3"/>
        <v>0</v>
      </c>
      <c r="X36" s="252" t="s">
        <v>101</v>
      </c>
      <c r="Y36" s="273"/>
      <c r="Z36" s="263" t="s">
        <v>268</v>
      </c>
      <c r="AA36" s="255"/>
      <c r="AB36" s="357">
        <f t="shared" si="0"/>
        <v>7.5</v>
      </c>
    </row>
    <row r="37" spans="1:28" s="256" customFormat="1" ht="18" customHeight="1" x14ac:dyDescent="0.2">
      <c r="A37" s="287">
        <v>29</v>
      </c>
      <c r="B37" s="245" t="s">
        <v>2055</v>
      </c>
      <c r="C37" s="246">
        <v>2022</v>
      </c>
      <c r="D37" s="269" t="s">
        <v>1046</v>
      </c>
      <c r="E37" s="270" t="s">
        <v>720</v>
      </c>
      <c r="F37" s="242">
        <v>7.5</v>
      </c>
      <c r="G37" s="622">
        <v>8</v>
      </c>
      <c r="H37" s="242">
        <v>7</v>
      </c>
      <c r="I37" s="242">
        <v>7.5</v>
      </c>
      <c r="J37" s="242">
        <v>8</v>
      </c>
      <c r="K37" s="242">
        <v>7.5</v>
      </c>
      <c r="L37" s="242">
        <v>8</v>
      </c>
      <c r="M37" s="242">
        <v>7.5</v>
      </c>
      <c r="N37" s="242">
        <v>7.5</v>
      </c>
      <c r="O37" s="242">
        <v>7</v>
      </c>
      <c r="P37" s="242">
        <v>7</v>
      </c>
      <c r="Q37" s="242">
        <v>7.5</v>
      </c>
      <c r="R37" s="625">
        <v>7</v>
      </c>
      <c r="S37" s="243">
        <f t="shared" si="1"/>
        <v>7.4615384615384617</v>
      </c>
      <c r="T37" s="242"/>
      <c r="U37" s="242"/>
      <c r="V37" s="242"/>
      <c r="W37" s="277">
        <f t="shared" si="3"/>
        <v>0</v>
      </c>
      <c r="X37" s="252" t="s">
        <v>101</v>
      </c>
      <c r="Y37" s="273"/>
      <c r="Z37" s="263" t="s">
        <v>186</v>
      </c>
      <c r="AA37" s="255"/>
      <c r="AB37" s="357">
        <f t="shared" si="0"/>
        <v>7.4615384615384617</v>
      </c>
    </row>
    <row r="38" spans="1:28" s="256" customFormat="1" ht="18" customHeight="1" x14ac:dyDescent="0.2">
      <c r="A38" s="287">
        <v>30</v>
      </c>
      <c r="B38" s="245" t="s">
        <v>2056</v>
      </c>
      <c r="C38" s="246">
        <v>2022</v>
      </c>
      <c r="D38" s="269" t="s">
        <v>1047</v>
      </c>
      <c r="E38" s="270" t="s">
        <v>589</v>
      </c>
      <c r="F38" s="242">
        <v>8</v>
      </c>
      <c r="G38" s="242">
        <v>8</v>
      </c>
      <c r="H38" s="242">
        <v>8</v>
      </c>
      <c r="I38" s="242">
        <v>9</v>
      </c>
      <c r="J38" s="242">
        <v>8.5</v>
      </c>
      <c r="K38" s="242">
        <v>8</v>
      </c>
      <c r="L38" s="242">
        <v>8</v>
      </c>
      <c r="M38" s="242">
        <v>8</v>
      </c>
      <c r="N38" s="242">
        <v>8</v>
      </c>
      <c r="O38" s="242">
        <v>8</v>
      </c>
      <c r="P38" s="242">
        <v>8</v>
      </c>
      <c r="Q38" s="242">
        <v>8</v>
      </c>
      <c r="R38" s="242">
        <v>8</v>
      </c>
      <c r="S38" s="243">
        <f t="shared" si="1"/>
        <v>8.115384615384615</v>
      </c>
      <c r="T38" s="242"/>
      <c r="U38" s="242"/>
      <c r="V38" s="242"/>
      <c r="W38" s="277">
        <f t="shared" si="3"/>
        <v>0</v>
      </c>
      <c r="X38" s="252" t="s">
        <v>101</v>
      </c>
      <c r="Y38" s="273"/>
      <c r="Z38" s="263" t="s">
        <v>169</v>
      </c>
      <c r="AA38" s="255"/>
      <c r="AB38" s="613">
        <f t="shared" si="0"/>
        <v>8.115384615384615</v>
      </c>
    </row>
    <row r="39" spans="1:28" s="256" customFormat="1" ht="18" customHeight="1" x14ac:dyDescent="0.2">
      <c r="A39" s="287">
        <v>31</v>
      </c>
      <c r="B39" s="245" t="s">
        <v>2057</v>
      </c>
      <c r="C39" s="246">
        <v>2022</v>
      </c>
      <c r="D39" s="269" t="s">
        <v>1048</v>
      </c>
      <c r="E39" s="270" t="s">
        <v>1049</v>
      </c>
      <c r="F39" s="242">
        <v>7</v>
      </c>
      <c r="G39" s="242">
        <v>7.5</v>
      </c>
      <c r="H39" s="242">
        <v>6</v>
      </c>
      <c r="I39" s="242">
        <v>9</v>
      </c>
      <c r="J39" s="242">
        <v>8</v>
      </c>
      <c r="K39" s="242">
        <v>8</v>
      </c>
      <c r="L39" s="242">
        <v>7.5</v>
      </c>
      <c r="M39" s="242">
        <v>7.5</v>
      </c>
      <c r="N39" s="242">
        <v>7.5</v>
      </c>
      <c r="O39" s="242">
        <v>8</v>
      </c>
      <c r="P39" s="242">
        <v>7</v>
      </c>
      <c r="Q39" s="242">
        <v>7.5</v>
      </c>
      <c r="R39" s="242">
        <v>7</v>
      </c>
      <c r="S39" s="243">
        <f t="shared" si="1"/>
        <v>7.5</v>
      </c>
      <c r="T39" s="242"/>
      <c r="U39" s="242"/>
      <c r="V39" s="242"/>
      <c r="W39" s="277">
        <f t="shared" si="3"/>
        <v>0</v>
      </c>
      <c r="X39" s="252" t="s">
        <v>101</v>
      </c>
      <c r="Y39" s="273"/>
      <c r="Z39" s="263" t="s">
        <v>216</v>
      </c>
      <c r="AA39" s="255"/>
      <c r="AB39" s="357">
        <f t="shared" si="0"/>
        <v>7.5</v>
      </c>
    </row>
    <row r="40" spans="1:28" s="256" customFormat="1" ht="18" customHeight="1" x14ac:dyDescent="0.2">
      <c r="A40" s="287">
        <v>32</v>
      </c>
      <c r="B40" s="245" t="s">
        <v>2058</v>
      </c>
      <c r="C40" s="246">
        <v>2022</v>
      </c>
      <c r="D40" s="269" t="s">
        <v>1050</v>
      </c>
      <c r="E40" s="270" t="s">
        <v>1051</v>
      </c>
      <c r="F40" s="242">
        <v>7</v>
      </c>
      <c r="G40" s="242">
        <v>6.5</v>
      </c>
      <c r="H40" s="242">
        <v>6</v>
      </c>
      <c r="I40" s="242">
        <v>9</v>
      </c>
      <c r="J40" s="242">
        <v>7</v>
      </c>
      <c r="K40" s="242">
        <v>7</v>
      </c>
      <c r="L40" s="242">
        <v>6.5</v>
      </c>
      <c r="M40" s="242">
        <v>6.5</v>
      </c>
      <c r="N40" s="242">
        <v>7</v>
      </c>
      <c r="O40" s="242">
        <v>7</v>
      </c>
      <c r="P40" s="242">
        <v>7</v>
      </c>
      <c r="Q40" s="242">
        <v>7.5</v>
      </c>
      <c r="R40" s="242">
        <v>7</v>
      </c>
      <c r="S40" s="243">
        <f t="shared" si="1"/>
        <v>7</v>
      </c>
      <c r="T40" s="242"/>
      <c r="U40" s="242"/>
      <c r="V40" s="242"/>
      <c r="W40" s="277">
        <f t="shared" si="3"/>
        <v>0</v>
      </c>
      <c r="X40" s="252" t="s">
        <v>95</v>
      </c>
      <c r="Y40" s="273"/>
      <c r="Z40" s="263" t="s">
        <v>190</v>
      </c>
      <c r="AA40" s="255"/>
      <c r="AB40" s="357">
        <f t="shared" si="0"/>
        <v>7</v>
      </c>
    </row>
    <row r="41" spans="1:28" s="256" customFormat="1" ht="18" customHeight="1" x14ac:dyDescent="0.2">
      <c r="A41" s="287">
        <v>33</v>
      </c>
      <c r="B41" s="245" t="s">
        <v>2059</v>
      </c>
      <c r="C41" s="246">
        <v>2022</v>
      </c>
      <c r="D41" s="269" t="s">
        <v>1052</v>
      </c>
      <c r="E41" s="270" t="s">
        <v>985</v>
      </c>
      <c r="F41" s="242">
        <v>7.5</v>
      </c>
      <c r="G41" s="242">
        <v>7</v>
      </c>
      <c r="H41" s="242">
        <v>8</v>
      </c>
      <c r="I41" s="242">
        <v>8</v>
      </c>
      <c r="J41" s="242">
        <v>7</v>
      </c>
      <c r="K41" s="242">
        <v>7.5</v>
      </c>
      <c r="L41" s="242">
        <v>8</v>
      </c>
      <c r="M41" s="242">
        <v>6.5</v>
      </c>
      <c r="N41" s="242">
        <v>7</v>
      </c>
      <c r="O41" s="242">
        <v>7</v>
      </c>
      <c r="P41" s="242">
        <v>7.5</v>
      </c>
      <c r="Q41" s="242">
        <v>8</v>
      </c>
      <c r="R41" s="242">
        <v>7</v>
      </c>
      <c r="S41" s="243">
        <f t="shared" si="1"/>
        <v>7.384615384615385</v>
      </c>
      <c r="T41" s="242"/>
      <c r="U41" s="242"/>
      <c r="V41" s="242"/>
      <c r="W41" s="277">
        <f t="shared" si="3"/>
        <v>0</v>
      </c>
      <c r="X41" s="252" t="s">
        <v>101</v>
      </c>
      <c r="Y41" s="273"/>
      <c r="Z41" s="263" t="s">
        <v>141</v>
      </c>
      <c r="AA41" s="255"/>
      <c r="AB41" s="357">
        <f t="shared" si="0"/>
        <v>7.384615384615385</v>
      </c>
    </row>
    <row r="42" spans="1:28" s="256" customFormat="1" ht="18" customHeight="1" x14ac:dyDescent="0.2">
      <c r="A42" s="287">
        <v>34</v>
      </c>
      <c r="B42" s="245" t="s">
        <v>2060</v>
      </c>
      <c r="C42" s="246">
        <v>2022</v>
      </c>
      <c r="D42" s="269" t="s">
        <v>1053</v>
      </c>
      <c r="E42" s="270" t="s">
        <v>1054</v>
      </c>
      <c r="F42" s="242">
        <v>6.5</v>
      </c>
      <c r="G42" s="242">
        <v>6.5</v>
      </c>
      <c r="H42" s="242">
        <v>6</v>
      </c>
      <c r="I42" s="242">
        <v>9</v>
      </c>
      <c r="J42" s="242">
        <v>8</v>
      </c>
      <c r="K42" s="242">
        <v>6.5</v>
      </c>
      <c r="L42" s="242">
        <v>6.5</v>
      </c>
      <c r="M42" s="242">
        <v>6.5</v>
      </c>
      <c r="N42" s="242">
        <v>6.5</v>
      </c>
      <c r="O42" s="242">
        <v>5</v>
      </c>
      <c r="P42" s="242">
        <v>6.5</v>
      </c>
      <c r="Q42" s="242">
        <v>6.5</v>
      </c>
      <c r="R42" s="242">
        <v>7</v>
      </c>
      <c r="S42" s="243">
        <f t="shared" si="1"/>
        <v>6.6923076923076925</v>
      </c>
      <c r="T42" s="242"/>
      <c r="U42" s="242"/>
      <c r="V42" s="242"/>
      <c r="W42" s="277">
        <f t="shared" si="3"/>
        <v>0</v>
      </c>
      <c r="X42" s="252" t="s">
        <v>95</v>
      </c>
      <c r="Y42" s="273"/>
      <c r="Z42" s="263" t="s">
        <v>182</v>
      </c>
      <c r="AA42" s="255"/>
      <c r="AB42" s="628">
        <f t="shared" si="0"/>
        <v>6.6923076923076925</v>
      </c>
    </row>
    <row r="43" spans="1:28" s="256" customFormat="1" ht="18" customHeight="1" x14ac:dyDescent="0.2">
      <c r="A43" s="287">
        <v>35</v>
      </c>
      <c r="B43" s="245" t="s">
        <v>2061</v>
      </c>
      <c r="C43" s="246">
        <v>2022</v>
      </c>
      <c r="D43" s="269" t="s">
        <v>1055</v>
      </c>
      <c r="E43" s="270" t="s">
        <v>819</v>
      </c>
      <c r="F43" s="458">
        <v>7</v>
      </c>
      <c r="G43" s="242">
        <v>7</v>
      </c>
      <c r="H43" s="242">
        <v>6</v>
      </c>
      <c r="I43" s="242">
        <v>8</v>
      </c>
      <c r="J43" s="242">
        <v>8</v>
      </c>
      <c r="K43" s="242">
        <v>7.5</v>
      </c>
      <c r="L43" s="242">
        <v>7</v>
      </c>
      <c r="M43" s="242">
        <v>7.5</v>
      </c>
      <c r="N43" s="242">
        <v>7</v>
      </c>
      <c r="O43" s="242">
        <v>5</v>
      </c>
      <c r="P43" s="242">
        <v>7</v>
      </c>
      <c r="Q43" s="242">
        <v>7</v>
      </c>
      <c r="R43" s="242">
        <v>7.5</v>
      </c>
      <c r="S43" s="243">
        <f t="shared" si="1"/>
        <v>7.0384615384615383</v>
      </c>
      <c r="T43" s="242"/>
      <c r="U43" s="242"/>
      <c r="V43" s="242"/>
      <c r="W43" s="277">
        <f t="shared" si="3"/>
        <v>0</v>
      </c>
      <c r="X43" s="252" t="s">
        <v>101</v>
      </c>
      <c r="Y43" s="273"/>
      <c r="Z43" s="263" t="s">
        <v>198</v>
      </c>
      <c r="AA43" s="255"/>
      <c r="AB43" s="357">
        <f t="shared" si="0"/>
        <v>7.0384615384615383</v>
      </c>
    </row>
    <row r="44" spans="1:28" s="256" customFormat="1" ht="18" customHeight="1" x14ac:dyDescent="0.2">
      <c r="A44" s="287">
        <v>36</v>
      </c>
      <c r="B44" s="245" t="s">
        <v>2062</v>
      </c>
      <c r="C44" s="246">
        <v>2022</v>
      </c>
      <c r="D44" s="269" t="s">
        <v>1056</v>
      </c>
      <c r="E44" s="270" t="s">
        <v>1033</v>
      </c>
      <c r="F44" s="242">
        <v>7</v>
      </c>
      <c r="G44" s="242">
        <v>6.5</v>
      </c>
      <c r="H44" s="242">
        <v>7</v>
      </c>
      <c r="I44" s="242">
        <v>9</v>
      </c>
      <c r="J44" s="242">
        <v>8</v>
      </c>
      <c r="K44" s="242">
        <v>6.5</v>
      </c>
      <c r="L44" s="242">
        <v>6.5</v>
      </c>
      <c r="M44" s="242">
        <v>6.5</v>
      </c>
      <c r="N44" s="242">
        <v>7</v>
      </c>
      <c r="O44" s="242">
        <v>7.5</v>
      </c>
      <c r="P44" s="242">
        <v>7.5</v>
      </c>
      <c r="Q44" s="242">
        <v>7</v>
      </c>
      <c r="R44" s="242">
        <v>7</v>
      </c>
      <c r="S44" s="243">
        <f t="shared" si="1"/>
        <v>7.1538461538461542</v>
      </c>
      <c r="T44" s="242"/>
      <c r="U44" s="242"/>
      <c r="V44" s="242"/>
      <c r="W44" s="277">
        <f t="shared" si="3"/>
        <v>0</v>
      </c>
      <c r="X44" s="252" t="s">
        <v>95</v>
      </c>
      <c r="Y44" s="273"/>
      <c r="Z44" s="263" t="s">
        <v>182</v>
      </c>
      <c r="AA44" s="255"/>
      <c r="AB44" s="357">
        <f t="shared" si="0"/>
        <v>7.1538461538461542</v>
      </c>
    </row>
    <row r="45" spans="1:28" s="256" customFormat="1" ht="18" customHeight="1" x14ac:dyDescent="0.2">
      <c r="A45" s="287">
        <v>37</v>
      </c>
      <c r="B45" s="245" t="s">
        <v>2063</v>
      </c>
      <c r="C45" s="246">
        <v>2022</v>
      </c>
      <c r="D45" s="269" t="s">
        <v>1057</v>
      </c>
      <c r="E45" s="270" t="s">
        <v>1058</v>
      </c>
      <c r="F45" s="242">
        <v>8</v>
      </c>
      <c r="G45" s="242">
        <v>8</v>
      </c>
      <c r="H45" s="242">
        <v>8</v>
      </c>
      <c r="I45" s="242">
        <v>8</v>
      </c>
      <c r="J45" s="242">
        <v>8.5</v>
      </c>
      <c r="K45" s="242">
        <v>8</v>
      </c>
      <c r="L45" s="242">
        <v>8</v>
      </c>
      <c r="M45" s="242">
        <v>8</v>
      </c>
      <c r="N45" s="242">
        <v>8</v>
      </c>
      <c r="O45" s="242">
        <v>8</v>
      </c>
      <c r="P45" s="242">
        <v>7.5</v>
      </c>
      <c r="Q45" s="242">
        <v>8</v>
      </c>
      <c r="R45" s="242">
        <v>8</v>
      </c>
      <c r="S45" s="243">
        <f t="shared" si="1"/>
        <v>8</v>
      </c>
      <c r="T45" s="242"/>
      <c r="U45" s="242"/>
      <c r="V45" s="242"/>
      <c r="W45" s="277">
        <f t="shared" si="3"/>
        <v>0</v>
      </c>
      <c r="X45" s="252" t="s">
        <v>101</v>
      </c>
      <c r="Y45" s="273"/>
      <c r="Z45" s="263" t="s">
        <v>193</v>
      </c>
      <c r="AA45" s="255"/>
      <c r="AB45" s="613">
        <f t="shared" si="0"/>
        <v>8</v>
      </c>
    </row>
    <row r="46" spans="1:28" s="256" customFormat="1" ht="18" customHeight="1" x14ac:dyDescent="0.2">
      <c r="A46" s="287">
        <v>38</v>
      </c>
      <c r="B46" s="245" t="s">
        <v>2064</v>
      </c>
      <c r="C46" s="246">
        <v>2022</v>
      </c>
      <c r="D46" s="269" t="s">
        <v>270</v>
      </c>
      <c r="E46" s="270" t="s">
        <v>1059</v>
      </c>
      <c r="F46" s="242">
        <v>8</v>
      </c>
      <c r="G46" s="242">
        <v>8</v>
      </c>
      <c r="H46" s="242">
        <v>8</v>
      </c>
      <c r="I46" s="242">
        <v>8</v>
      </c>
      <c r="J46" s="242">
        <v>8.5</v>
      </c>
      <c r="K46" s="242">
        <v>7.5</v>
      </c>
      <c r="L46" s="242">
        <v>7</v>
      </c>
      <c r="M46" s="242">
        <v>8</v>
      </c>
      <c r="N46" s="625">
        <v>7.5</v>
      </c>
      <c r="O46" s="242">
        <v>7</v>
      </c>
      <c r="P46" s="242">
        <v>8</v>
      </c>
      <c r="Q46" s="242">
        <v>8</v>
      </c>
      <c r="R46" s="625">
        <v>7</v>
      </c>
      <c r="S46" s="243">
        <f t="shared" si="1"/>
        <v>7.7307692307692308</v>
      </c>
      <c r="T46" s="242"/>
      <c r="U46" s="242"/>
      <c r="V46" s="242"/>
      <c r="W46" s="277">
        <f t="shared" si="3"/>
        <v>0</v>
      </c>
      <c r="X46" s="252" t="s">
        <v>101</v>
      </c>
      <c r="Y46" s="273"/>
      <c r="Z46" s="263" t="s">
        <v>207</v>
      </c>
      <c r="AA46" s="255"/>
      <c r="AB46" s="357">
        <f t="shared" si="0"/>
        <v>7.7307692307692308</v>
      </c>
    </row>
    <row r="47" spans="1:28" s="256" customFormat="1" ht="18" customHeight="1" x14ac:dyDescent="0.2">
      <c r="A47" s="287">
        <v>39</v>
      </c>
      <c r="B47" s="245" t="s">
        <v>2065</v>
      </c>
      <c r="C47" s="246">
        <v>2022</v>
      </c>
      <c r="D47" s="269" t="s">
        <v>271</v>
      </c>
      <c r="E47" s="270" t="s">
        <v>1060</v>
      </c>
      <c r="F47" s="242">
        <v>7</v>
      </c>
      <c r="G47" s="242">
        <v>7.5</v>
      </c>
      <c r="H47" s="242">
        <v>7</v>
      </c>
      <c r="I47" s="242">
        <v>8</v>
      </c>
      <c r="J47" s="242">
        <v>8</v>
      </c>
      <c r="K47" s="242">
        <v>7</v>
      </c>
      <c r="L47" s="242">
        <v>7</v>
      </c>
      <c r="M47" s="242">
        <v>7.5</v>
      </c>
      <c r="N47" s="242">
        <v>6.5</v>
      </c>
      <c r="O47" s="242">
        <v>7</v>
      </c>
      <c r="P47" s="242">
        <v>8</v>
      </c>
      <c r="Q47" s="242">
        <v>7.5</v>
      </c>
      <c r="R47" s="242">
        <v>7</v>
      </c>
      <c r="S47" s="243">
        <f t="shared" si="1"/>
        <v>7.3076923076923075</v>
      </c>
      <c r="T47" s="242"/>
      <c r="U47" s="242"/>
      <c r="V47" s="242"/>
      <c r="W47" s="277">
        <f t="shared" si="3"/>
        <v>0</v>
      </c>
      <c r="X47" s="252" t="s">
        <v>101</v>
      </c>
      <c r="Y47" s="273"/>
      <c r="Z47" s="263" t="s">
        <v>174</v>
      </c>
      <c r="AA47" s="255"/>
      <c r="AB47" s="357">
        <f t="shared" si="0"/>
        <v>7.3076923076923075</v>
      </c>
    </row>
    <row r="48" spans="1:28" s="256" customFormat="1" ht="18" customHeight="1" x14ac:dyDescent="0.2">
      <c r="A48" s="287">
        <v>40</v>
      </c>
      <c r="B48" s="245" t="s">
        <v>2066</v>
      </c>
      <c r="C48" s="246">
        <v>2022</v>
      </c>
      <c r="D48" s="269" t="s">
        <v>1061</v>
      </c>
      <c r="E48" s="270" t="s">
        <v>1062</v>
      </c>
      <c r="F48" s="242">
        <v>6.5</v>
      </c>
      <c r="G48" s="242">
        <v>7</v>
      </c>
      <c r="H48" s="242">
        <v>7</v>
      </c>
      <c r="I48" s="242">
        <v>9</v>
      </c>
      <c r="J48" s="242">
        <v>8</v>
      </c>
      <c r="K48" s="242">
        <v>7.5</v>
      </c>
      <c r="L48" s="242">
        <v>7</v>
      </c>
      <c r="M48" s="242">
        <v>7.5</v>
      </c>
      <c r="N48" s="242">
        <v>6.5</v>
      </c>
      <c r="O48" s="242">
        <v>7</v>
      </c>
      <c r="P48" s="242">
        <v>6.5</v>
      </c>
      <c r="Q48" s="242">
        <v>7</v>
      </c>
      <c r="R48" s="242">
        <v>7</v>
      </c>
      <c r="S48" s="243">
        <f t="shared" si="1"/>
        <v>7.1923076923076925</v>
      </c>
      <c r="T48" s="242"/>
      <c r="U48" s="242"/>
      <c r="V48" s="242"/>
      <c r="W48" s="277">
        <f t="shared" si="3"/>
        <v>0</v>
      </c>
      <c r="X48" s="252" t="s">
        <v>101</v>
      </c>
      <c r="Y48" s="273"/>
      <c r="Z48" s="263" t="s">
        <v>186</v>
      </c>
      <c r="AA48" s="255"/>
      <c r="AB48" s="357">
        <f t="shared" si="0"/>
        <v>7.1923076923076925</v>
      </c>
    </row>
    <row r="49" spans="1:28" s="256" customFormat="1" ht="18" customHeight="1" x14ac:dyDescent="0.2">
      <c r="A49" s="287">
        <v>41</v>
      </c>
      <c r="B49" s="245" t="s">
        <v>2067</v>
      </c>
      <c r="C49" s="246">
        <v>2022</v>
      </c>
      <c r="D49" s="269" t="s">
        <v>1063</v>
      </c>
      <c r="E49" s="270" t="s">
        <v>1064</v>
      </c>
      <c r="F49" s="242">
        <v>6.5</v>
      </c>
      <c r="G49" s="242">
        <v>7.5</v>
      </c>
      <c r="H49" s="242">
        <v>7</v>
      </c>
      <c r="I49" s="242">
        <v>9</v>
      </c>
      <c r="J49" s="242">
        <v>8</v>
      </c>
      <c r="K49" s="242">
        <v>7.5</v>
      </c>
      <c r="L49" s="242">
        <v>7.5</v>
      </c>
      <c r="M49" s="242">
        <v>7.5</v>
      </c>
      <c r="N49" s="242">
        <v>7</v>
      </c>
      <c r="O49" s="242">
        <v>7</v>
      </c>
      <c r="P49" s="242">
        <v>7.5</v>
      </c>
      <c r="Q49" s="242">
        <v>7</v>
      </c>
      <c r="R49" s="242">
        <v>7</v>
      </c>
      <c r="S49" s="243">
        <f t="shared" si="1"/>
        <v>7.384615384615385</v>
      </c>
      <c r="T49" s="242"/>
      <c r="U49" s="242"/>
      <c r="V49" s="242"/>
      <c r="W49" s="277">
        <f t="shared" si="3"/>
        <v>0</v>
      </c>
      <c r="X49" s="252" t="s">
        <v>101</v>
      </c>
      <c r="Y49" s="273"/>
      <c r="Z49" s="263" t="s">
        <v>190</v>
      </c>
      <c r="AA49" s="255"/>
      <c r="AB49" s="357">
        <f t="shared" si="0"/>
        <v>7.384615384615385</v>
      </c>
    </row>
    <row r="50" spans="1:28" s="256" customFormat="1" ht="18" customHeight="1" x14ac:dyDescent="0.2">
      <c r="A50" s="287">
        <v>42</v>
      </c>
      <c r="B50" s="245" t="s">
        <v>2068</v>
      </c>
      <c r="C50" s="246">
        <v>2022</v>
      </c>
      <c r="D50" s="269" t="s">
        <v>1065</v>
      </c>
      <c r="E50" s="270" t="s">
        <v>1066</v>
      </c>
      <c r="F50" s="242">
        <v>7</v>
      </c>
      <c r="G50" s="242">
        <v>7</v>
      </c>
      <c r="H50" s="242">
        <v>7</v>
      </c>
      <c r="I50" s="242">
        <v>8</v>
      </c>
      <c r="J50" s="242">
        <v>8</v>
      </c>
      <c r="K50" s="242">
        <v>7</v>
      </c>
      <c r="L50" s="242">
        <v>7.5</v>
      </c>
      <c r="M50" s="242">
        <v>7</v>
      </c>
      <c r="N50" s="242">
        <v>6.5</v>
      </c>
      <c r="O50" s="242">
        <v>7</v>
      </c>
      <c r="P50" s="242">
        <v>7</v>
      </c>
      <c r="Q50" s="242">
        <v>7</v>
      </c>
      <c r="R50" s="242">
        <v>7</v>
      </c>
      <c r="S50" s="243">
        <f t="shared" si="1"/>
        <v>7.1538461538461542</v>
      </c>
      <c r="T50" s="242"/>
      <c r="U50" s="242"/>
      <c r="V50" s="242"/>
      <c r="W50" s="277"/>
      <c r="X50" s="252" t="s">
        <v>101</v>
      </c>
      <c r="Y50" s="273"/>
      <c r="Z50" s="263" t="s">
        <v>193</v>
      </c>
      <c r="AA50" s="255"/>
      <c r="AB50" s="357">
        <f t="shared" si="0"/>
        <v>7.1538461538461542</v>
      </c>
    </row>
    <row r="51" spans="1:28" s="256" customFormat="1" ht="18" customHeight="1" x14ac:dyDescent="0.2">
      <c r="A51" s="287">
        <v>43</v>
      </c>
      <c r="B51" s="245" t="s">
        <v>2069</v>
      </c>
      <c r="C51" s="246">
        <v>2022</v>
      </c>
      <c r="D51" s="269" t="s">
        <v>146</v>
      </c>
      <c r="E51" s="270" t="s">
        <v>1067</v>
      </c>
      <c r="F51" s="242">
        <v>7.5</v>
      </c>
      <c r="G51" s="242">
        <v>7.5</v>
      </c>
      <c r="H51" s="242">
        <v>7</v>
      </c>
      <c r="I51" s="242">
        <v>9</v>
      </c>
      <c r="J51" s="242">
        <v>8</v>
      </c>
      <c r="K51" s="242">
        <v>7.5</v>
      </c>
      <c r="L51" s="242">
        <v>7.5</v>
      </c>
      <c r="M51" s="242">
        <v>7.5</v>
      </c>
      <c r="N51" s="242">
        <v>7</v>
      </c>
      <c r="O51" s="242">
        <v>7</v>
      </c>
      <c r="P51" s="242">
        <v>7</v>
      </c>
      <c r="Q51" s="242">
        <v>7.5</v>
      </c>
      <c r="R51" s="242">
        <v>7</v>
      </c>
      <c r="S51" s="243">
        <f t="shared" si="1"/>
        <v>7.4615384615384617</v>
      </c>
      <c r="T51" s="242"/>
      <c r="U51" s="242"/>
      <c r="V51" s="242"/>
      <c r="W51" s="277"/>
      <c r="X51" s="252" t="s">
        <v>101</v>
      </c>
      <c r="Y51" s="273"/>
      <c r="Z51" s="263" t="s">
        <v>206</v>
      </c>
      <c r="AA51" s="255"/>
      <c r="AB51" s="357">
        <f t="shared" si="0"/>
        <v>7.4615384615384617</v>
      </c>
    </row>
    <row r="52" spans="1:28" s="256" customFormat="1" ht="18" customHeight="1" x14ac:dyDescent="0.2">
      <c r="A52" s="287">
        <v>44</v>
      </c>
      <c r="B52" s="245" t="s">
        <v>2070</v>
      </c>
      <c r="C52" s="246">
        <v>2022</v>
      </c>
      <c r="D52" s="269" t="s">
        <v>1068</v>
      </c>
      <c r="E52" s="270" t="s">
        <v>1031</v>
      </c>
      <c r="F52" s="242">
        <v>7.5</v>
      </c>
      <c r="G52" s="242">
        <v>8</v>
      </c>
      <c r="H52" s="242">
        <v>7</v>
      </c>
      <c r="I52" s="242">
        <v>9</v>
      </c>
      <c r="J52" s="242">
        <v>8</v>
      </c>
      <c r="K52" s="242">
        <v>7</v>
      </c>
      <c r="L52" s="242">
        <v>7</v>
      </c>
      <c r="M52" s="242">
        <v>7</v>
      </c>
      <c r="N52" s="242">
        <v>7</v>
      </c>
      <c r="O52" s="242">
        <v>7.5</v>
      </c>
      <c r="P52" s="242">
        <v>7</v>
      </c>
      <c r="Q52" s="242">
        <v>7</v>
      </c>
      <c r="R52" s="242">
        <v>8</v>
      </c>
      <c r="S52" s="243">
        <f t="shared" si="1"/>
        <v>7.4615384615384617</v>
      </c>
      <c r="T52" s="242"/>
      <c r="U52" s="242"/>
      <c r="V52" s="242"/>
      <c r="W52" s="277">
        <f t="shared" si="3"/>
        <v>0</v>
      </c>
      <c r="X52" s="252" t="s">
        <v>101</v>
      </c>
      <c r="Y52" s="273"/>
      <c r="Z52" s="263" t="s">
        <v>216</v>
      </c>
      <c r="AA52" s="255"/>
      <c r="AB52" s="357">
        <f t="shared" si="0"/>
        <v>7.4615384615384617</v>
      </c>
    </row>
    <row r="53" spans="1:28" s="256" customFormat="1" ht="18" customHeight="1" x14ac:dyDescent="0.2">
      <c r="A53" s="287">
        <v>45</v>
      </c>
      <c r="B53" s="245" t="s">
        <v>2071</v>
      </c>
      <c r="C53" s="246">
        <v>2022</v>
      </c>
      <c r="D53" s="269" t="s">
        <v>1069</v>
      </c>
      <c r="E53" s="270" t="s">
        <v>770</v>
      </c>
      <c r="F53" s="242">
        <v>7.5</v>
      </c>
      <c r="G53" s="242">
        <v>6.5</v>
      </c>
      <c r="H53" s="242">
        <v>7</v>
      </c>
      <c r="I53" s="242">
        <v>9</v>
      </c>
      <c r="J53" s="242">
        <v>7</v>
      </c>
      <c r="K53" s="242">
        <v>6.5</v>
      </c>
      <c r="L53" s="242">
        <v>6.5</v>
      </c>
      <c r="M53" s="242">
        <v>7.5</v>
      </c>
      <c r="N53" s="242">
        <v>6.5</v>
      </c>
      <c r="O53" s="242">
        <v>7.5</v>
      </c>
      <c r="P53" s="242">
        <v>7</v>
      </c>
      <c r="Q53" s="242">
        <v>6.5</v>
      </c>
      <c r="R53" s="242">
        <v>7.5</v>
      </c>
      <c r="S53" s="243">
        <f t="shared" si="1"/>
        <v>7.115384615384615</v>
      </c>
      <c r="T53" s="242"/>
      <c r="U53" s="242"/>
      <c r="V53" s="242"/>
      <c r="W53" s="277">
        <f t="shared" si="3"/>
        <v>0</v>
      </c>
      <c r="X53" s="252" t="s">
        <v>95</v>
      </c>
      <c r="Y53" s="273"/>
      <c r="Z53" s="263" t="s">
        <v>17</v>
      </c>
      <c r="AA53" s="255"/>
      <c r="AB53" s="357">
        <f t="shared" si="0"/>
        <v>7.115384615384615</v>
      </c>
    </row>
    <row r="54" spans="1:28" s="256" customFormat="1" ht="18" customHeight="1" x14ac:dyDescent="0.2">
      <c r="A54" s="287">
        <v>46</v>
      </c>
      <c r="B54" s="245" t="s">
        <v>2072</v>
      </c>
      <c r="C54" s="246">
        <v>2022</v>
      </c>
      <c r="D54" s="269" t="s">
        <v>1070</v>
      </c>
      <c r="E54" s="270" t="s">
        <v>1011</v>
      </c>
      <c r="F54" s="242">
        <v>7</v>
      </c>
      <c r="G54" s="242">
        <v>7</v>
      </c>
      <c r="H54" s="242">
        <v>7</v>
      </c>
      <c r="I54" s="242">
        <v>9</v>
      </c>
      <c r="J54" s="242">
        <v>8</v>
      </c>
      <c r="K54" s="242">
        <v>6.5</v>
      </c>
      <c r="L54" s="242">
        <v>7</v>
      </c>
      <c r="M54" s="242">
        <v>7</v>
      </c>
      <c r="N54" s="242">
        <v>6</v>
      </c>
      <c r="O54" s="242">
        <v>7</v>
      </c>
      <c r="P54" s="242">
        <v>8</v>
      </c>
      <c r="Q54" s="242">
        <v>7</v>
      </c>
      <c r="R54" s="242">
        <v>6.5</v>
      </c>
      <c r="S54" s="243">
        <f t="shared" si="1"/>
        <v>7.1538461538461542</v>
      </c>
      <c r="T54" s="242"/>
      <c r="U54" s="242"/>
      <c r="V54" s="242"/>
      <c r="W54" s="277">
        <f t="shared" si="3"/>
        <v>0</v>
      </c>
      <c r="X54" s="252" t="s">
        <v>95</v>
      </c>
      <c r="Y54" s="273"/>
      <c r="Z54" s="263" t="s">
        <v>221</v>
      </c>
      <c r="AA54" s="255"/>
      <c r="AB54" s="357">
        <f t="shared" si="0"/>
        <v>7.1538461538461542</v>
      </c>
    </row>
    <row r="55" spans="1:28" s="256" customFormat="1" ht="18" customHeight="1" x14ac:dyDescent="0.2">
      <c r="A55" s="287">
        <v>47</v>
      </c>
      <c r="B55" s="245" t="s">
        <v>2073</v>
      </c>
      <c r="C55" s="246">
        <v>2022</v>
      </c>
      <c r="D55" s="269" t="s">
        <v>652</v>
      </c>
      <c r="E55" s="270" t="s">
        <v>1071</v>
      </c>
      <c r="F55" s="242">
        <v>7</v>
      </c>
      <c r="G55" s="242">
        <v>7</v>
      </c>
      <c r="H55" s="242">
        <v>6</v>
      </c>
      <c r="I55" s="242">
        <v>8</v>
      </c>
      <c r="J55" s="242">
        <v>8</v>
      </c>
      <c r="K55" s="242">
        <v>7</v>
      </c>
      <c r="L55" s="242">
        <v>7.5</v>
      </c>
      <c r="M55" s="242">
        <v>7</v>
      </c>
      <c r="N55" s="242">
        <v>7</v>
      </c>
      <c r="O55" s="242">
        <v>7.5</v>
      </c>
      <c r="P55" s="242">
        <v>7</v>
      </c>
      <c r="Q55" s="242">
        <v>7</v>
      </c>
      <c r="R55" s="242">
        <v>7</v>
      </c>
      <c r="S55" s="243">
        <f t="shared" si="1"/>
        <v>7.1538461538461542</v>
      </c>
      <c r="T55" s="242"/>
      <c r="U55" s="242"/>
      <c r="V55" s="242"/>
      <c r="W55" s="277">
        <f t="shared" si="3"/>
        <v>0</v>
      </c>
      <c r="X55" s="252" t="s">
        <v>101</v>
      </c>
      <c r="Y55" s="273"/>
      <c r="Z55" s="263" t="s">
        <v>215</v>
      </c>
      <c r="AA55" s="255"/>
      <c r="AB55" s="357">
        <f t="shared" si="0"/>
        <v>7.1538461538461542</v>
      </c>
    </row>
    <row r="56" spans="1:28" s="368" customFormat="1" ht="19.5" thickBot="1" x14ac:dyDescent="0.35">
      <c r="A56" s="397"/>
      <c r="B56" s="398"/>
      <c r="C56" s="399"/>
      <c r="D56" s="542"/>
      <c r="E56" s="543"/>
      <c r="F56" s="543"/>
      <c r="G56" s="543"/>
      <c r="H56" s="543"/>
      <c r="I56" s="543"/>
      <c r="J56" s="543"/>
      <c r="K56" s="543"/>
      <c r="L56" s="543"/>
      <c r="M56" s="543"/>
      <c r="N56" s="401"/>
      <c r="O56" s="401"/>
      <c r="P56" s="401"/>
      <c r="Q56" s="401"/>
      <c r="R56" s="401"/>
      <c r="S56" s="401"/>
      <c r="T56" s="401"/>
      <c r="U56" s="401"/>
      <c r="V56" s="401"/>
      <c r="W56" s="401"/>
      <c r="X56" s="401"/>
      <c r="Y56" s="402"/>
      <c r="Z56" s="403"/>
      <c r="AB56" s="357"/>
    </row>
    <row r="57" spans="1:28" s="3" customFormat="1" ht="19.5" thickTop="1" x14ac:dyDescent="0.3">
      <c r="A57" s="236"/>
      <c r="B57" s="236"/>
      <c r="C57" s="236"/>
      <c r="E57" s="236"/>
      <c r="F57" s="236"/>
      <c r="G57" s="236"/>
      <c r="H57" s="236"/>
      <c r="I57" s="235"/>
      <c r="J57" s="235"/>
      <c r="K57" s="235"/>
      <c r="L57" s="235"/>
      <c r="M57" s="235"/>
      <c r="N57" s="12"/>
      <c r="O57" s="12"/>
      <c r="P57" s="12"/>
      <c r="Q57" s="12"/>
      <c r="R57" s="12"/>
      <c r="S57" s="1199"/>
      <c r="T57" s="1199"/>
      <c r="U57" s="1199"/>
      <c r="V57" s="20"/>
      <c r="W57" s="235"/>
      <c r="X57" s="235"/>
      <c r="Y57" s="14"/>
      <c r="Z57" s="235"/>
      <c r="AA57" s="24"/>
      <c r="AB57" s="219"/>
    </row>
    <row r="58" spans="1:28" s="3" customFormat="1" x14ac:dyDescent="0.3">
      <c r="A58" s="236"/>
      <c r="B58" s="236"/>
      <c r="C58" s="236"/>
      <c r="E58" s="236"/>
      <c r="F58" s="236"/>
      <c r="G58" s="236"/>
      <c r="H58" s="236"/>
      <c r="I58" s="235"/>
      <c r="J58" s="235"/>
      <c r="K58" s="235"/>
      <c r="L58" s="235"/>
      <c r="M58" s="235"/>
      <c r="N58" s="6"/>
      <c r="O58" s="6"/>
      <c r="P58" s="6"/>
      <c r="Q58" s="6"/>
      <c r="R58" s="6"/>
      <c r="S58" s="9"/>
      <c r="T58" s="21"/>
      <c r="U58" s="21"/>
      <c r="V58" s="20"/>
      <c r="W58" s="235"/>
      <c r="X58" s="235"/>
      <c r="Y58" s="14"/>
      <c r="Z58" s="235"/>
      <c r="AB58" s="219"/>
    </row>
    <row r="59" spans="1:28" s="3" customFormat="1" x14ac:dyDescent="0.3">
      <c r="A59" s="236"/>
      <c r="B59" s="236"/>
      <c r="C59" s="236"/>
      <c r="E59" s="236"/>
      <c r="F59" s="236"/>
      <c r="G59" s="236"/>
      <c r="H59" s="236"/>
      <c r="I59" s="235"/>
      <c r="J59" s="235"/>
      <c r="K59" s="235"/>
      <c r="L59" s="235"/>
      <c r="M59" s="235"/>
      <c r="N59" s="6"/>
      <c r="O59" s="6"/>
      <c r="P59" s="6"/>
      <c r="Q59" s="6"/>
      <c r="R59" s="6"/>
      <c r="S59" s="9"/>
      <c r="T59" s="21"/>
      <c r="U59" s="21"/>
      <c r="V59" s="20"/>
      <c r="W59" s="235"/>
      <c r="X59" s="235"/>
      <c r="Y59" s="14"/>
      <c r="Z59" s="235"/>
      <c r="AB59" s="219"/>
    </row>
    <row r="60" spans="1:28" s="3" customFormat="1" x14ac:dyDescent="0.3">
      <c r="A60" s="236"/>
      <c r="B60" s="236"/>
      <c r="C60" s="236"/>
      <c r="E60" s="236"/>
      <c r="F60" s="236"/>
      <c r="G60" s="236"/>
      <c r="H60" s="236"/>
      <c r="I60" s="235"/>
      <c r="J60" s="235"/>
      <c r="K60" s="235"/>
      <c r="L60" s="235"/>
      <c r="M60" s="235"/>
      <c r="N60" s="1221"/>
      <c r="O60" s="1221"/>
      <c r="P60" s="1221"/>
      <c r="Q60" s="1221"/>
      <c r="R60" s="1221"/>
      <c r="S60" s="1221"/>
      <c r="T60" s="1221"/>
      <c r="U60" s="1221"/>
      <c r="V60" s="20"/>
      <c r="W60" s="235"/>
      <c r="X60" s="235"/>
      <c r="Y60" s="14"/>
      <c r="Z60" s="235"/>
      <c r="AB60" s="219"/>
    </row>
    <row r="61" spans="1:28" s="3" customFormat="1" ht="18" x14ac:dyDescent="0.25">
      <c r="A61" s="236"/>
      <c r="B61" s="236"/>
      <c r="C61" s="236"/>
      <c r="E61" s="236"/>
      <c r="F61" s="236"/>
      <c r="G61" s="236"/>
      <c r="H61" s="236"/>
      <c r="I61" s="235"/>
      <c r="J61" s="235"/>
      <c r="K61" s="235"/>
      <c r="L61" s="235"/>
      <c r="M61" s="235"/>
      <c r="N61" s="1200"/>
      <c r="O61" s="1200"/>
      <c r="P61" s="1200"/>
      <c r="Q61" s="1200"/>
      <c r="R61" s="1200"/>
      <c r="S61" s="1200"/>
      <c r="T61" s="1200"/>
      <c r="U61" s="1200"/>
      <c r="V61" s="1200"/>
      <c r="W61" s="1200"/>
      <c r="X61" s="1200"/>
      <c r="Y61" s="1200"/>
      <c r="Z61" s="1200"/>
      <c r="AB61" s="219"/>
    </row>
    <row r="62" spans="1:28" x14ac:dyDescent="0.3">
      <c r="A62" s="236"/>
      <c r="B62" s="236"/>
      <c r="C62" s="236"/>
      <c r="D62" s="3"/>
      <c r="E62" s="236"/>
      <c r="F62" s="236"/>
      <c r="G62" s="236"/>
      <c r="H62" s="236"/>
      <c r="I62" s="235"/>
      <c r="J62" s="235"/>
      <c r="K62" s="235"/>
      <c r="L62" s="235"/>
      <c r="M62" s="235"/>
      <c r="N62" s="235"/>
      <c r="O62" s="235"/>
      <c r="P62" s="235"/>
      <c r="Q62" s="235"/>
      <c r="R62" s="235"/>
      <c r="AB62" s="219"/>
    </row>
    <row r="63" spans="1:28" x14ac:dyDescent="0.3">
      <c r="A63" s="236"/>
      <c r="B63" s="236"/>
      <c r="C63" s="236"/>
      <c r="D63" s="3"/>
      <c r="E63" s="236"/>
      <c r="F63" s="236"/>
      <c r="G63" s="236"/>
      <c r="H63" s="236"/>
      <c r="I63" s="235"/>
      <c r="J63" s="235"/>
      <c r="K63" s="235"/>
      <c r="L63" s="235"/>
      <c r="M63" s="235"/>
      <c r="N63" s="235"/>
      <c r="O63" s="235"/>
      <c r="P63" s="235"/>
      <c r="Q63" s="235"/>
      <c r="R63" s="235"/>
      <c r="AB63" s="219"/>
    </row>
    <row r="64" spans="1:28" x14ac:dyDescent="0.3">
      <c r="A64" s="236"/>
      <c r="B64" s="236"/>
      <c r="C64" s="236"/>
      <c r="D64" s="3"/>
      <c r="E64" s="236"/>
      <c r="F64" s="236"/>
      <c r="G64" s="236"/>
      <c r="H64" s="236"/>
      <c r="I64" s="235"/>
      <c r="J64" s="235"/>
      <c r="K64" s="235"/>
      <c r="L64" s="235"/>
      <c r="M64" s="235"/>
      <c r="N64" s="235"/>
      <c r="O64" s="235"/>
      <c r="P64" s="235"/>
      <c r="Q64" s="235"/>
      <c r="R64" s="235"/>
    </row>
    <row r="65" spans="1:18" x14ac:dyDescent="0.3">
      <c r="A65" s="236"/>
      <c r="B65" s="236"/>
      <c r="C65" s="236"/>
      <c r="D65" s="3"/>
      <c r="E65" s="236"/>
      <c r="F65" s="236"/>
      <c r="G65" s="236"/>
      <c r="H65" s="236"/>
      <c r="I65" s="235"/>
      <c r="J65" s="235"/>
      <c r="K65" s="235"/>
      <c r="L65" s="235"/>
      <c r="M65" s="235"/>
      <c r="N65" s="235"/>
      <c r="O65" s="235"/>
      <c r="P65" s="235"/>
      <c r="Q65" s="235"/>
      <c r="R65" s="235"/>
    </row>
    <row r="66" spans="1:18" x14ac:dyDescent="0.3">
      <c r="A66" s="236"/>
      <c r="B66" s="236"/>
      <c r="C66" s="236"/>
      <c r="D66" s="3"/>
      <c r="E66" s="236"/>
      <c r="F66" s="236"/>
      <c r="G66" s="236"/>
      <c r="H66" s="236"/>
      <c r="I66" s="235"/>
      <c r="J66" s="235"/>
      <c r="K66" s="235"/>
      <c r="L66" s="235"/>
      <c r="M66" s="235"/>
      <c r="N66" s="235"/>
      <c r="O66" s="235"/>
      <c r="P66" s="235"/>
      <c r="Q66" s="235"/>
      <c r="R66" s="235"/>
    </row>
  </sheetData>
  <autoFilter ref="S7:AA56">
    <filterColumn colId="1" showButton="0"/>
    <filterColumn colId="2" showButton="0"/>
    <filterColumn colId="3" showButton="0"/>
  </autoFilter>
  <mergeCells count="17">
    <mergeCell ref="E2:Z2"/>
    <mergeCell ref="E3:Z3"/>
    <mergeCell ref="E4:Z4"/>
    <mergeCell ref="E5:AC5"/>
    <mergeCell ref="A7:A8"/>
    <mergeCell ref="B7:C8"/>
    <mergeCell ref="D7:D8"/>
    <mergeCell ref="E7:E8"/>
    <mergeCell ref="F7:P7"/>
    <mergeCell ref="S7:S8"/>
    <mergeCell ref="N61:Z61"/>
    <mergeCell ref="T7:W7"/>
    <mergeCell ref="X7:X8"/>
    <mergeCell ref="Y7:Y8"/>
    <mergeCell ref="Z7:Z8"/>
    <mergeCell ref="S57:U57"/>
    <mergeCell ref="N60:U60"/>
  </mergeCells>
  <printOptions horizontalCentered="1"/>
  <pageMargins left="0.51" right="0.16" top="0.27" bottom="0.31" header="0.23" footer="0.27"/>
  <pageSetup scale="98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I101"/>
  <sheetViews>
    <sheetView topLeftCell="A2" zoomScale="120" zoomScaleNormal="120" workbookViewId="0">
      <selection activeCell="K17" sqref="K17"/>
    </sheetView>
  </sheetViews>
  <sheetFormatPr defaultRowHeight="18.75" x14ac:dyDescent="0.3"/>
  <cols>
    <col min="1" max="1" width="3.19921875" style="1" customWidth="1"/>
    <col min="2" max="2" width="3.8984375" style="1" customWidth="1"/>
    <col min="3" max="3" width="3.69921875" style="1" customWidth="1"/>
    <col min="4" max="4" width="13.8984375" customWidth="1"/>
    <col min="5" max="5" width="7.296875" style="1" customWidth="1"/>
    <col min="6" max="11" width="2.59765625" style="1" customWidth="1"/>
    <col min="12" max="12" width="2.59765625" style="237" customWidth="1"/>
    <col min="13" max="16" width="2.59765625" style="1" customWidth="1"/>
    <col min="17" max="18" width="2.59765625" style="40" customWidth="1"/>
    <col min="19" max="19" width="3.8984375" style="25" customWidth="1"/>
    <col min="20" max="22" width="2.19921875" style="20" hidden="1" customWidth="1"/>
    <col min="23" max="24" width="3.3984375" style="235" hidden="1" customWidth="1"/>
    <col min="25" max="25" width="4.19921875" style="235" customWidth="1"/>
    <col min="26" max="26" width="4.8984375" style="14" hidden="1" customWidth="1"/>
    <col min="27" max="27" width="25.5" style="235" customWidth="1"/>
    <col min="28" max="28" width="3.09765625" customWidth="1"/>
    <col min="29" max="29" width="4.5" style="461" customWidth="1"/>
  </cols>
  <sheetData>
    <row r="1" spans="1:35" s="6" customFormat="1" ht="17.25" x14ac:dyDescent="0.3">
      <c r="B1" s="8"/>
      <c r="C1" s="8"/>
      <c r="D1" s="8"/>
      <c r="E1" s="1199" t="s">
        <v>30</v>
      </c>
      <c r="F1" s="1199"/>
      <c r="G1" s="1199"/>
      <c r="H1" s="1199"/>
      <c r="I1" s="1199"/>
      <c r="J1" s="1199"/>
      <c r="K1" s="1199"/>
      <c r="L1" s="1199"/>
      <c r="M1" s="1199"/>
      <c r="N1" s="1199"/>
      <c r="O1" s="1199"/>
      <c r="P1" s="1199"/>
      <c r="Q1" s="1199"/>
      <c r="R1" s="1199"/>
      <c r="S1" s="1199"/>
      <c r="T1" s="1199"/>
      <c r="U1" s="1199"/>
      <c r="V1" s="1199"/>
      <c r="W1" s="1199"/>
      <c r="X1" s="1199"/>
      <c r="Y1" s="1199"/>
      <c r="Z1" s="1199"/>
      <c r="AA1" s="1199"/>
      <c r="AB1" s="8"/>
      <c r="AC1" s="8"/>
      <c r="AD1" s="8"/>
      <c r="AE1" s="8"/>
      <c r="AF1" s="8"/>
      <c r="AG1" s="8"/>
    </row>
    <row r="2" spans="1:35" s="6" customFormat="1" ht="15.75" x14ac:dyDescent="0.25">
      <c r="B2" s="10"/>
      <c r="C2" s="10"/>
      <c r="D2" s="10"/>
      <c r="E2" s="1200" t="s">
        <v>467</v>
      </c>
      <c r="F2" s="1200"/>
      <c r="G2" s="1200"/>
      <c r="H2" s="1200"/>
      <c r="I2" s="1200"/>
      <c r="J2" s="1200"/>
      <c r="K2" s="1200"/>
      <c r="L2" s="1200"/>
      <c r="M2" s="1200"/>
      <c r="N2" s="1200"/>
      <c r="O2" s="1200"/>
      <c r="P2" s="1200"/>
      <c r="Q2" s="1200"/>
      <c r="R2" s="1200"/>
      <c r="S2" s="1200"/>
      <c r="T2" s="1200"/>
      <c r="U2" s="1200"/>
      <c r="V2" s="1200"/>
      <c r="W2" s="1200"/>
      <c r="X2" s="1200"/>
      <c r="Y2" s="1200"/>
      <c r="Z2" s="1200"/>
      <c r="AA2" s="1200"/>
    </row>
    <row r="3" spans="1:35" s="6" customFormat="1" ht="15.75" hidden="1" x14ac:dyDescent="0.25">
      <c r="B3" s="11"/>
      <c r="C3" s="11"/>
      <c r="D3" s="11"/>
      <c r="E3" s="1201" t="s">
        <v>34</v>
      </c>
      <c r="F3" s="1201"/>
      <c r="G3" s="1201"/>
      <c r="H3" s="1201"/>
      <c r="I3" s="1201"/>
      <c r="J3" s="1201"/>
      <c r="K3" s="1201"/>
      <c r="L3" s="1201"/>
      <c r="M3" s="1201"/>
      <c r="N3" s="1201"/>
      <c r="O3" s="1201"/>
      <c r="P3" s="1201"/>
      <c r="Q3" s="1201"/>
      <c r="R3" s="1201"/>
      <c r="S3" s="1201"/>
      <c r="T3" s="1201"/>
      <c r="U3" s="1201"/>
      <c r="V3" s="1201"/>
      <c r="W3" s="1201"/>
      <c r="X3" s="1201"/>
      <c r="Y3" s="1201"/>
      <c r="Z3" s="1201"/>
      <c r="AA3" s="1201"/>
      <c r="AB3" s="11"/>
      <c r="AC3" s="11"/>
    </row>
    <row r="4" spans="1:35" s="6" customFormat="1" ht="15.75" customHeight="1" x14ac:dyDescent="0.25">
      <c r="B4" s="10"/>
      <c r="C4" s="10"/>
      <c r="D4" s="10"/>
      <c r="E4" s="1202" t="s">
        <v>468</v>
      </c>
      <c r="F4" s="1202"/>
      <c r="G4" s="1202"/>
      <c r="H4" s="1202"/>
      <c r="I4" s="1202"/>
      <c r="J4" s="1202"/>
      <c r="K4" s="1202"/>
      <c r="L4" s="1202"/>
      <c r="M4" s="1202"/>
      <c r="N4" s="1202"/>
      <c r="O4" s="1202"/>
      <c r="P4" s="1202"/>
      <c r="Q4" s="1202"/>
      <c r="R4" s="1202"/>
      <c r="S4" s="1202"/>
      <c r="T4" s="1202"/>
      <c r="U4" s="1202"/>
      <c r="V4" s="1202"/>
      <c r="W4" s="1202"/>
      <c r="X4" s="1202"/>
      <c r="Y4" s="1202"/>
      <c r="Z4" s="1202"/>
      <c r="AA4" s="1202"/>
      <c r="AB4" s="1202"/>
      <c r="AC4" s="1202"/>
      <c r="AD4" s="1202"/>
      <c r="AE4" s="1202"/>
      <c r="AF4" s="1202"/>
      <c r="AG4" s="1202"/>
      <c r="AH4" s="1202"/>
      <c r="AI4" s="1202"/>
    </row>
    <row r="5" spans="1:35" ht="2.2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34"/>
      <c r="M5" s="2"/>
      <c r="N5" s="2"/>
      <c r="O5" s="2"/>
      <c r="P5" s="2"/>
      <c r="Q5" s="38"/>
      <c r="R5" s="38"/>
      <c r="S5" s="234"/>
      <c r="T5" s="177"/>
      <c r="U5" s="177"/>
      <c r="V5" s="177"/>
      <c r="W5" s="234"/>
      <c r="X5" s="234"/>
      <c r="Y5" s="234"/>
      <c r="Z5" s="234"/>
      <c r="AA5" s="234"/>
      <c r="AB5" s="112">
        <v>12</v>
      </c>
    </row>
    <row r="6" spans="1:35" s="351" customFormat="1" ht="23.25" customHeight="1" thickTop="1" x14ac:dyDescent="0.2">
      <c r="A6" s="1268" t="s">
        <v>91</v>
      </c>
      <c r="B6" s="1270" t="s">
        <v>106</v>
      </c>
      <c r="C6" s="1271"/>
      <c r="D6" s="1287" t="s">
        <v>92</v>
      </c>
      <c r="E6" s="1287" t="s">
        <v>93</v>
      </c>
      <c r="F6" s="1261" t="s">
        <v>1802</v>
      </c>
      <c r="G6" s="1262"/>
      <c r="H6" s="1262"/>
      <c r="I6" s="1262"/>
      <c r="J6" s="1262"/>
      <c r="K6" s="1262"/>
      <c r="L6" s="1262"/>
      <c r="M6" s="1262"/>
      <c r="N6" s="1262"/>
      <c r="O6" s="1262"/>
      <c r="P6" s="1262"/>
      <c r="Q6" s="1276"/>
      <c r="R6" s="672"/>
      <c r="S6" s="1277" t="s">
        <v>102</v>
      </c>
      <c r="T6" s="1279" t="s">
        <v>104</v>
      </c>
      <c r="U6" s="1279"/>
      <c r="V6" s="1279"/>
      <c r="W6" s="1279"/>
      <c r="X6" s="1280" t="s">
        <v>99</v>
      </c>
      <c r="Y6" s="1280" t="s">
        <v>100</v>
      </c>
      <c r="Z6" s="1283" t="s">
        <v>103</v>
      </c>
      <c r="AA6" s="1285" t="s">
        <v>90</v>
      </c>
      <c r="AB6" s="351">
        <v>12</v>
      </c>
    </row>
    <row r="7" spans="1:35" s="351" customFormat="1" ht="148.5" customHeight="1" x14ac:dyDescent="0.2">
      <c r="A7" s="1269"/>
      <c r="B7" s="1272"/>
      <c r="C7" s="1273"/>
      <c r="D7" s="1288"/>
      <c r="E7" s="1288"/>
      <c r="F7" s="279" t="s">
        <v>330</v>
      </c>
      <c r="G7" s="288" t="s">
        <v>304</v>
      </c>
      <c r="H7" s="288" t="s">
        <v>305</v>
      </c>
      <c r="I7" s="288" t="s">
        <v>306</v>
      </c>
      <c r="J7" s="288" t="s">
        <v>307</v>
      </c>
      <c r="K7" s="288" t="s">
        <v>308</v>
      </c>
      <c r="L7" s="288" t="s">
        <v>107</v>
      </c>
      <c r="M7" s="280" t="s">
        <v>127</v>
      </c>
      <c r="N7" s="288" t="s">
        <v>1797</v>
      </c>
      <c r="O7" s="279" t="s">
        <v>2076</v>
      </c>
      <c r="P7" s="281" t="s">
        <v>458</v>
      </c>
      <c r="Q7" s="289" t="s">
        <v>113</v>
      </c>
      <c r="R7" s="283" t="s">
        <v>469</v>
      </c>
      <c r="S7" s="1278"/>
      <c r="T7" s="288" t="s">
        <v>108</v>
      </c>
      <c r="U7" s="288" t="s">
        <v>97</v>
      </c>
      <c r="V7" s="288" t="s">
        <v>96</v>
      </c>
      <c r="W7" s="290" t="s">
        <v>98</v>
      </c>
      <c r="X7" s="1281"/>
      <c r="Y7" s="1282"/>
      <c r="Z7" s="1284"/>
      <c r="AA7" s="1286"/>
      <c r="AB7" s="544" t="s">
        <v>94</v>
      </c>
    </row>
    <row r="8" spans="1:35" s="256" customFormat="1" ht="16.5" customHeight="1" x14ac:dyDescent="0.2">
      <c r="A8" s="285">
        <v>1</v>
      </c>
      <c r="B8" s="245" t="s">
        <v>19</v>
      </c>
      <c r="C8" s="246">
        <v>2022</v>
      </c>
      <c r="D8" s="264" t="s">
        <v>1072</v>
      </c>
      <c r="E8" s="265" t="s">
        <v>280</v>
      </c>
      <c r="F8" s="266">
        <v>8</v>
      </c>
      <c r="G8" s="266">
        <v>8</v>
      </c>
      <c r="H8" s="266">
        <v>8</v>
      </c>
      <c r="I8" s="266">
        <v>8</v>
      </c>
      <c r="J8" s="266">
        <v>8</v>
      </c>
      <c r="K8" s="266">
        <v>8</v>
      </c>
      <c r="L8" s="266">
        <v>8</v>
      </c>
      <c r="M8" s="266">
        <v>8</v>
      </c>
      <c r="N8" s="266">
        <v>8</v>
      </c>
      <c r="O8" s="266">
        <v>8</v>
      </c>
      <c r="P8" s="266">
        <v>8</v>
      </c>
      <c r="Q8" s="266">
        <v>8</v>
      </c>
      <c r="R8" s="291">
        <v>7</v>
      </c>
      <c r="S8" s="243">
        <f>SUM(F8:R8)/13</f>
        <v>7.9230769230769234</v>
      </c>
      <c r="T8" s="266"/>
      <c r="U8" s="266"/>
      <c r="V8" s="266"/>
      <c r="W8" s="286">
        <f>SUM(T8:V8)/3</f>
        <v>0</v>
      </c>
      <c r="X8" s="286">
        <f>SUM(S8+W8)/2</f>
        <v>3.9615384615384617</v>
      </c>
      <c r="Y8" s="257"/>
      <c r="Z8" s="271"/>
      <c r="AA8" s="259" t="s">
        <v>667</v>
      </c>
      <c r="AB8" s="545"/>
      <c r="AC8" s="357">
        <f t="shared" ref="AC8:AC71" si="0">AVERAGE(F8:R8)</f>
        <v>7.9230769230769234</v>
      </c>
    </row>
    <row r="9" spans="1:35" s="256" customFormat="1" ht="16.5" customHeight="1" x14ac:dyDescent="0.2">
      <c r="A9" s="287">
        <v>2</v>
      </c>
      <c r="B9" s="245"/>
      <c r="C9" s="246">
        <v>2022</v>
      </c>
      <c r="D9" s="269" t="s">
        <v>286</v>
      </c>
      <c r="E9" s="270" t="s">
        <v>1073</v>
      </c>
      <c r="F9" s="242">
        <v>6.8</v>
      </c>
      <c r="G9" s="242">
        <v>7</v>
      </c>
      <c r="H9" s="242">
        <v>7.5</v>
      </c>
      <c r="I9" s="242">
        <v>6.5</v>
      </c>
      <c r="J9" s="242">
        <v>6.5</v>
      </c>
      <c r="K9" s="242">
        <v>7</v>
      </c>
      <c r="L9" s="242">
        <v>6</v>
      </c>
      <c r="M9" s="242">
        <v>6.5</v>
      </c>
      <c r="N9" s="242">
        <v>6.5</v>
      </c>
      <c r="O9" s="242">
        <v>6</v>
      </c>
      <c r="P9" s="242">
        <v>7</v>
      </c>
      <c r="Q9" s="242">
        <v>6</v>
      </c>
      <c r="R9" s="242">
        <v>7</v>
      </c>
      <c r="S9" s="243">
        <f t="shared" ref="S9:S72" si="1">SUM(F9:R9)/13</f>
        <v>6.638461538461538</v>
      </c>
      <c r="T9" s="242"/>
      <c r="U9" s="242"/>
      <c r="V9" s="242"/>
      <c r="W9" s="277">
        <f t="shared" ref="W9:W28" si="2">SUM(T9:V9)/3</f>
        <v>0</v>
      </c>
      <c r="X9" s="277">
        <f t="shared" ref="X9:X72" si="3">SUM(S9+W9)/2</f>
        <v>3.319230769230769</v>
      </c>
      <c r="Y9" s="252"/>
      <c r="Z9" s="273"/>
      <c r="AA9" s="263" t="s">
        <v>170</v>
      </c>
      <c r="AB9" s="545"/>
      <c r="AC9" s="628">
        <f t="shared" si="0"/>
        <v>6.638461538461538</v>
      </c>
    </row>
    <row r="10" spans="1:35" s="256" customFormat="1" ht="16.5" customHeight="1" x14ac:dyDescent="0.2">
      <c r="A10" s="287">
        <v>3</v>
      </c>
      <c r="B10" s="245"/>
      <c r="C10" s="246">
        <v>2022</v>
      </c>
      <c r="D10" s="269" t="s">
        <v>1074</v>
      </c>
      <c r="E10" s="270" t="s">
        <v>1075</v>
      </c>
      <c r="F10" s="242">
        <v>7</v>
      </c>
      <c r="G10" s="242">
        <v>8</v>
      </c>
      <c r="H10" s="242">
        <v>6.5</v>
      </c>
      <c r="I10" s="242">
        <v>7.5</v>
      </c>
      <c r="J10" s="242">
        <v>7</v>
      </c>
      <c r="K10" s="242">
        <v>7</v>
      </c>
      <c r="L10" s="242">
        <v>6</v>
      </c>
      <c r="M10" s="242">
        <v>6.5</v>
      </c>
      <c r="N10" s="242">
        <v>7</v>
      </c>
      <c r="O10" s="242">
        <v>6</v>
      </c>
      <c r="P10" s="242">
        <v>6.5</v>
      </c>
      <c r="Q10" s="242">
        <v>6</v>
      </c>
      <c r="R10" s="242">
        <v>7</v>
      </c>
      <c r="S10" s="243">
        <f t="shared" si="1"/>
        <v>6.7692307692307692</v>
      </c>
      <c r="T10" s="242"/>
      <c r="U10" s="242"/>
      <c r="V10" s="242"/>
      <c r="W10" s="277">
        <f t="shared" si="2"/>
        <v>0</v>
      </c>
      <c r="X10" s="277">
        <f t="shared" si="3"/>
        <v>3.3846153846153846</v>
      </c>
      <c r="Y10" s="252"/>
      <c r="Z10" s="273"/>
      <c r="AA10" s="263" t="s">
        <v>185</v>
      </c>
      <c r="AB10" s="545"/>
      <c r="AC10" s="628">
        <f t="shared" si="0"/>
        <v>6.7692307692307692</v>
      </c>
    </row>
    <row r="11" spans="1:35" s="256" customFormat="1" ht="16.5" customHeight="1" x14ac:dyDescent="0.2">
      <c r="A11" s="287">
        <v>4</v>
      </c>
      <c r="B11" s="245"/>
      <c r="C11" s="246">
        <v>2022</v>
      </c>
      <c r="D11" s="269" t="s">
        <v>1076</v>
      </c>
      <c r="E11" s="270" t="s">
        <v>265</v>
      </c>
      <c r="F11" s="242">
        <v>7</v>
      </c>
      <c r="G11" s="242">
        <v>7</v>
      </c>
      <c r="H11" s="242">
        <v>8</v>
      </c>
      <c r="I11" s="242">
        <v>6</v>
      </c>
      <c r="J11" s="242">
        <v>7</v>
      </c>
      <c r="K11" s="242">
        <v>7.5</v>
      </c>
      <c r="L11" s="242">
        <v>8</v>
      </c>
      <c r="M11" s="242">
        <v>7</v>
      </c>
      <c r="N11" s="242">
        <v>7</v>
      </c>
      <c r="O11" s="242">
        <v>7</v>
      </c>
      <c r="P11" s="242">
        <v>7.5</v>
      </c>
      <c r="Q11" s="242">
        <v>7.5</v>
      </c>
      <c r="R11" s="242">
        <v>7</v>
      </c>
      <c r="S11" s="243">
        <f t="shared" si="1"/>
        <v>7.1923076923076925</v>
      </c>
      <c r="T11" s="242"/>
      <c r="U11" s="242"/>
      <c r="V11" s="242"/>
      <c r="W11" s="277">
        <f t="shared" si="2"/>
        <v>0</v>
      </c>
      <c r="X11" s="277">
        <f t="shared" si="3"/>
        <v>3.5961538461538463</v>
      </c>
      <c r="Y11" s="252"/>
      <c r="Z11" s="273"/>
      <c r="AA11" s="263" t="s">
        <v>193</v>
      </c>
      <c r="AB11" s="545"/>
      <c r="AC11" s="357">
        <f t="shared" si="0"/>
        <v>7.1923076923076925</v>
      </c>
    </row>
    <row r="12" spans="1:35" s="256" customFormat="1" ht="16.5" customHeight="1" x14ac:dyDescent="0.2">
      <c r="A12" s="287">
        <v>5</v>
      </c>
      <c r="B12" s="245"/>
      <c r="C12" s="246">
        <v>2022</v>
      </c>
      <c r="D12" s="269" t="s">
        <v>1077</v>
      </c>
      <c r="E12" s="270" t="s">
        <v>1078</v>
      </c>
      <c r="F12" s="242">
        <v>7</v>
      </c>
      <c r="G12" s="242">
        <v>8</v>
      </c>
      <c r="H12" s="242">
        <v>7</v>
      </c>
      <c r="I12" s="242">
        <v>8</v>
      </c>
      <c r="J12" s="242">
        <v>7.5</v>
      </c>
      <c r="K12" s="242">
        <v>7.5</v>
      </c>
      <c r="L12" s="242">
        <v>7</v>
      </c>
      <c r="M12" s="242">
        <v>7</v>
      </c>
      <c r="N12" s="242">
        <v>7.5</v>
      </c>
      <c r="O12" s="242">
        <v>8</v>
      </c>
      <c r="P12" s="242">
        <v>7.5</v>
      </c>
      <c r="Q12" s="242">
        <v>7</v>
      </c>
      <c r="R12" s="242">
        <v>7</v>
      </c>
      <c r="S12" s="243">
        <f t="shared" si="1"/>
        <v>7.384615384615385</v>
      </c>
      <c r="T12" s="242"/>
      <c r="U12" s="242"/>
      <c r="V12" s="242"/>
      <c r="W12" s="277">
        <f t="shared" si="2"/>
        <v>0</v>
      </c>
      <c r="X12" s="277">
        <f t="shared" si="3"/>
        <v>3.6923076923076925</v>
      </c>
      <c r="Y12" s="252"/>
      <c r="Z12" s="273"/>
      <c r="AA12" s="263" t="s">
        <v>18</v>
      </c>
      <c r="AB12" s="545"/>
      <c r="AC12" s="357">
        <f t="shared" si="0"/>
        <v>7.384615384615385</v>
      </c>
    </row>
    <row r="13" spans="1:35" s="256" customFormat="1" ht="16.5" customHeight="1" x14ac:dyDescent="0.2">
      <c r="A13" s="287">
        <v>6</v>
      </c>
      <c r="B13" s="245"/>
      <c r="C13" s="246">
        <v>2022</v>
      </c>
      <c r="D13" s="269" t="s">
        <v>888</v>
      </c>
      <c r="E13" s="270" t="s">
        <v>1079</v>
      </c>
      <c r="F13" s="242">
        <v>8</v>
      </c>
      <c r="G13" s="242">
        <v>8</v>
      </c>
      <c r="H13" s="242">
        <v>8</v>
      </c>
      <c r="I13" s="242">
        <v>8</v>
      </c>
      <c r="J13" s="242">
        <v>7.5</v>
      </c>
      <c r="K13" s="242">
        <v>7.5</v>
      </c>
      <c r="L13" s="242">
        <v>7</v>
      </c>
      <c r="M13" s="242">
        <v>7</v>
      </c>
      <c r="N13" s="242">
        <v>7</v>
      </c>
      <c r="O13" s="242">
        <v>7.5</v>
      </c>
      <c r="P13" s="242">
        <v>7</v>
      </c>
      <c r="Q13" s="242">
        <v>7</v>
      </c>
      <c r="R13" s="242">
        <v>8</v>
      </c>
      <c r="S13" s="243">
        <f t="shared" si="1"/>
        <v>7.5</v>
      </c>
      <c r="T13" s="242"/>
      <c r="U13" s="242"/>
      <c r="V13" s="242"/>
      <c r="W13" s="277">
        <f t="shared" si="2"/>
        <v>0</v>
      </c>
      <c r="X13" s="277">
        <f t="shared" si="3"/>
        <v>3.75</v>
      </c>
      <c r="Y13" s="252"/>
      <c r="Z13" s="273"/>
      <c r="AA13" s="263" t="s">
        <v>191</v>
      </c>
      <c r="AB13" s="545"/>
      <c r="AC13" s="357">
        <f t="shared" si="0"/>
        <v>7.5</v>
      </c>
    </row>
    <row r="14" spans="1:35" s="256" customFormat="1" ht="16.5" customHeight="1" x14ac:dyDescent="0.2">
      <c r="A14" s="287">
        <v>7</v>
      </c>
      <c r="B14" s="245"/>
      <c r="C14" s="246">
        <v>2022</v>
      </c>
      <c r="D14" s="269" t="s">
        <v>1080</v>
      </c>
      <c r="E14" s="270" t="s">
        <v>197</v>
      </c>
      <c r="F14" s="242">
        <v>7.6</v>
      </c>
      <c r="G14" s="242">
        <v>8</v>
      </c>
      <c r="H14" s="242">
        <v>8</v>
      </c>
      <c r="I14" s="242">
        <v>8</v>
      </c>
      <c r="J14" s="242">
        <v>7</v>
      </c>
      <c r="K14" s="242">
        <v>7</v>
      </c>
      <c r="L14" s="242">
        <v>8</v>
      </c>
      <c r="M14" s="242">
        <v>6.5</v>
      </c>
      <c r="N14" s="242">
        <v>8</v>
      </c>
      <c r="O14" s="242">
        <v>6</v>
      </c>
      <c r="P14" s="242">
        <v>7</v>
      </c>
      <c r="Q14" s="242">
        <v>7.5</v>
      </c>
      <c r="R14" s="242">
        <v>6.5</v>
      </c>
      <c r="S14" s="243">
        <f t="shared" si="1"/>
        <v>7.3153846153846152</v>
      </c>
      <c r="T14" s="242"/>
      <c r="U14" s="242"/>
      <c r="V14" s="242"/>
      <c r="W14" s="277">
        <f t="shared" si="2"/>
        <v>0</v>
      </c>
      <c r="X14" s="277">
        <f t="shared" si="3"/>
        <v>3.6576923076923076</v>
      </c>
      <c r="Y14" s="252"/>
      <c r="Z14" s="273"/>
      <c r="AA14" s="263" t="s">
        <v>178</v>
      </c>
      <c r="AB14" s="545"/>
      <c r="AC14" s="357">
        <f t="shared" si="0"/>
        <v>7.3153846153846152</v>
      </c>
    </row>
    <row r="15" spans="1:35" s="256" customFormat="1" ht="16.5" customHeight="1" x14ac:dyDescent="0.2">
      <c r="A15" s="287">
        <v>8</v>
      </c>
      <c r="B15" s="245"/>
      <c r="C15" s="246">
        <v>2022</v>
      </c>
      <c r="D15" s="269" t="s">
        <v>1081</v>
      </c>
      <c r="E15" s="270" t="s">
        <v>1082</v>
      </c>
      <c r="F15" s="242">
        <v>7</v>
      </c>
      <c r="G15" s="242">
        <v>7</v>
      </c>
      <c r="H15" s="242">
        <v>7</v>
      </c>
      <c r="I15" s="242">
        <v>8</v>
      </c>
      <c r="J15" s="242">
        <v>7.5</v>
      </c>
      <c r="K15" s="242">
        <v>7.5</v>
      </c>
      <c r="L15" s="242">
        <v>7</v>
      </c>
      <c r="M15" s="242">
        <v>6.5</v>
      </c>
      <c r="N15" s="242">
        <v>8</v>
      </c>
      <c r="O15" s="242">
        <v>7.5</v>
      </c>
      <c r="P15" s="242">
        <v>7</v>
      </c>
      <c r="Q15" s="242">
        <v>8</v>
      </c>
      <c r="R15" s="242">
        <v>7</v>
      </c>
      <c r="S15" s="243">
        <f t="shared" si="1"/>
        <v>7.3076923076923075</v>
      </c>
      <c r="T15" s="242"/>
      <c r="U15" s="242"/>
      <c r="V15" s="242"/>
      <c r="W15" s="277">
        <f t="shared" si="2"/>
        <v>0</v>
      </c>
      <c r="X15" s="277">
        <f t="shared" si="3"/>
        <v>3.6538461538461537</v>
      </c>
      <c r="Y15" s="252"/>
      <c r="Z15" s="273"/>
      <c r="AA15" s="263" t="s">
        <v>214</v>
      </c>
      <c r="AB15" s="545"/>
      <c r="AC15" s="357">
        <f t="shared" si="0"/>
        <v>7.3076923076923075</v>
      </c>
    </row>
    <row r="16" spans="1:35" s="256" customFormat="1" ht="16.5" customHeight="1" x14ac:dyDescent="0.2">
      <c r="A16" s="287">
        <v>9</v>
      </c>
      <c r="B16" s="245"/>
      <c r="C16" s="246">
        <v>2022</v>
      </c>
      <c r="D16" s="269" t="s">
        <v>1083</v>
      </c>
      <c r="E16" s="270" t="s">
        <v>1084</v>
      </c>
      <c r="F16" s="242">
        <v>6.6</v>
      </c>
      <c r="G16" s="242">
        <v>8</v>
      </c>
      <c r="H16" s="242">
        <v>8</v>
      </c>
      <c r="I16" s="242">
        <v>8</v>
      </c>
      <c r="J16" s="242">
        <v>8</v>
      </c>
      <c r="K16" s="242">
        <v>8</v>
      </c>
      <c r="L16" s="242">
        <v>8</v>
      </c>
      <c r="M16" s="242">
        <v>7</v>
      </c>
      <c r="N16" s="242">
        <v>8</v>
      </c>
      <c r="O16" s="242">
        <v>7</v>
      </c>
      <c r="P16" s="242">
        <v>7</v>
      </c>
      <c r="Q16" s="242">
        <v>7</v>
      </c>
      <c r="R16" s="242">
        <v>7</v>
      </c>
      <c r="S16" s="243">
        <f t="shared" si="1"/>
        <v>7.5076923076923077</v>
      </c>
      <c r="T16" s="242"/>
      <c r="U16" s="242"/>
      <c r="V16" s="242"/>
      <c r="W16" s="277">
        <f t="shared" si="2"/>
        <v>0</v>
      </c>
      <c r="X16" s="277">
        <f t="shared" si="3"/>
        <v>3.7538461538461538</v>
      </c>
      <c r="Y16" s="252"/>
      <c r="Z16" s="273"/>
      <c r="AA16" s="263" t="s">
        <v>174</v>
      </c>
      <c r="AB16" s="545"/>
      <c r="AC16" s="357">
        <f t="shared" si="0"/>
        <v>7.5076923076923077</v>
      </c>
    </row>
    <row r="17" spans="1:29" s="256" customFormat="1" ht="16.5" customHeight="1" x14ac:dyDescent="0.2">
      <c r="A17" s="287">
        <v>10</v>
      </c>
      <c r="B17" s="245"/>
      <c r="C17" s="246">
        <v>2022</v>
      </c>
      <c r="D17" s="269" t="s">
        <v>1085</v>
      </c>
      <c r="E17" s="270" t="s">
        <v>152</v>
      </c>
      <c r="F17" s="242">
        <v>8</v>
      </c>
      <c r="G17" s="242">
        <v>8</v>
      </c>
      <c r="H17" s="242">
        <v>7</v>
      </c>
      <c r="I17" s="242">
        <v>8</v>
      </c>
      <c r="J17" s="242">
        <v>8</v>
      </c>
      <c r="K17" s="242">
        <v>8</v>
      </c>
      <c r="L17" s="242">
        <v>8</v>
      </c>
      <c r="M17" s="242">
        <v>8</v>
      </c>
      <c r="N17" s="242">
        <v>8</v>
      </c>
      <c r="O17" s="242">
        <v>8</v>
      </c>
      <c r="P17" s="242">
        <v>8</v>
      </c>
      <c r="Q17" s="242">
        <v>7.5</v>
      </c>
      <c r="R17" s="242">
        <v>8</v>
      </c>
      <c r="S17" s="243">
        <f t="shared" si="1"/>
        <v>7.884615384615385</v>
      </c>
      <c r="T17" s="242"/>
      <c r="U17" s="242"/>
      <c r="V17" s="242"/>
      <c r="W17" s="277">
        <f t="shared" si="2"/>
        <v>0</v>
      </c>
      <c r="X17" s="277">
        <f t="shared" si="3"/>
        <v>3.9423076923076925</v>
      </c>
      <c r="Y17" s="252"/>
      <c r="Z17" s="273"/>
      <c r="AA17" s="263" t="s">
        <v>667</v>
      </c>
      <c r="AB17" s="545"/>
      <c r="AC17" s="357">
        <f t="shared" si="0"/>
        <v>7.884615384615385</v>
      </c>
    </row>
    <row r="18" spans="1:29" s="256" customFormat="1" ht="16.5" customHeight="1" x14ac:dyDescent="0.2">
      <c r="A18" s="287">
        <v>11</v>
      </c>
      <c r="B18" s="245"/>
      <c r="C18" s="246">
        <v>2022</v>
      </c>
      <c r="D18" s="269" t="s">
        <v>1086</v>
      </c>
      <c r="E18" s="270" t="s">
        <v>1087</v>
      </c>
      <c r="F18" s="242">
        <v>7</v>
      </c>
      <c r="G18" s="242">
        <v>7.5</v>
      </c>
      <c r="H18" s="242">
        <v>7</v>
      </c>
      <c r="I18" s="242">
        <v>8</v>
      </c>
      <c r="J18" s="242">
        <v>6.5</v>
      </c>
      <c r="K18" s="242">
        <v>7</v>
      </c>
      <c r="L18" s="242">
        <v>7</v>
      </c>
      <c r="M18" s="242">
        <v>7</v>
      </c>
      <c r="N18" s="242">
        <v>8</v>
      </c>
      <c r="O18" s="242">
        <v>7</v>
      </c>
      <c r="P18" s="242">
        <v>7</v>
      </c>
      <c r="Q18" s="242">
        <v>7</v>
      </c>
      <c r="R18" s="242">
        <v>7.5</v>
      </c>
      <c r="S18" s="243">
        <f t="shared" si="1"/>
        <v>7.1923076923076925</v>
      </c>
      <c r="T18" s="242"/>
      <c r="U18" s="242"/>
      <c r="V18" s="242"/>
      <c r="W18" s="277">
        <f t="shared" si="2"/>
        <v>0</v>
      </c>
      <c r="X18" s="277">
        <f t="shared" si="3"/>
        <v>3.5961538461538463</v>
      </c>
      <c r="Y18" s="252"/>
      <c r="Z18" s="273"/>
      <c r="AA18" s="263" t="s">
        <v>216</v>
      </c>
      <c r="AB18" s="545"/>
      <c r="AC18" s="357">
        <f t="shared" si="0"/>
        <v>7.1923076923076925</v>
      </c>
    </row>
    <row r="19" spans="1:29" s="256" customFormat="1" ht="16.5" customHeight="1" x14ac:dyDescent="0.2">
      <c r="A19" s="287">
        <v>12</v>
      </c>
      <c r="B19" s="245"/>
      <c r="C19" s="246">
        <v>2022</v>
      </c>
      <c r="D19" s="269" t="s">
        <v>1088</v>
      </c>
      <c r="E19" s="270" t="s">
        <v>137</v>
      </c>
      <c r="F19" s="242">
        <v>7</v>
      </c>
      <c r="G19" s="242">
        <v>8</v>
      </c>
      <c r="H19" s="242">
        <v>8</v>
      </c>
      <c r="I19" s="242">
        <v>8</v>
      </c>
      <c r="J19" s="242">
        <v>7.5</v>
      </c>
      <c r="K19" s="242">
        <v>8</v>
      </c>
      <c r="L19" s="242">
        <v>6</v>
      </c>
      <c r="M19" s="242">
        <v>7.5</v>
      </c>
      <c r="N19" s="242">
        <v>8</v>
      </c>
      <c r="O19" s="242">
        <v>7.5</v>
      </c>
      <c r="P19" s="242">
        <v>7.5</v>
      </c>
      <c r="Q19" s="242">
        <v>7.5</v>
      </c>
      <c r="R19" s="242">
        <v>7.5</v>
      </c>
      <c r="S19" s="243">
        <f t="shared" si="1"/>
        <v>7.5384615384615383</v>
      </c>
      <c r="T19" s="242"/>
      <c r="U19" s="242"/>
      <c r="V19" s="242"/>
      <c r="W19" s="277">
        <f t="shared" si="2"/>
        <v>0</v>
      </c>
      <c r="X19" s="277">
        <f t="shared" si="3"/>
        <v>3.7692307692307692</v>
      </c>
      <c r="Y19" s="252"/>
      <c r="Z19" s="273"/>
      <c r="AA19" s="263" t="s">
        <v>882</v>
      </c>
      <c r="AB19" s="545"/>
      <c r="AC19" s="357">
        <f t="shared" si="0"/>
        <v>7.5384615384615383</v>
      </c>
    </row>
    <row r="20" spans="1:29" s="256" customFormat="1" ht="16.5" customHeight="1" x14ac:dyDescent="0.2">
      <c r="A20" s="287">
        <v>13</v>
      </c>
      <c r="B20" s="245"/>
      <c r="C20" s="246">
        <v>2022</v>
      </c>
      <c r="D20" s="269" t="s">
        <v>1089</v>
      </c>
      <c r="E20" s="270" t="s">
        <v>1090</v>
      </c>
      <c r="F20" s="242">
        <v>8</v>
      </c>
      <c r="G20" s="242">
        <v>7</v>
      </c>
      <c r="H20" s="242">
        <v>8</v>
      </c>
      <c r="I20" s="242">
        <v>7</v>
      </c>
      <c r="J20" s="242">
        <v>7</v>
      </c>
      <c r="K20" s="242">
        <v>6.5</v>
      </c>
      <c r="L20" s="242">
        <v>7</v>
      </c>
      <c r="M20" s="242">
        <v>7.5</v>
      </c>
      <c r="N20" s="242">
        <v>7</v>
      </c>
      <c r="O20" s="242">
        <v>7</v>
      </c>
      <c r="P20" s="242">
        <v>7</v>
      </c>
      <c r="Q20" s="242">
        <v>7</v>
      </c>
      <c r="R20" s="242">
        <v>6.5</v>
      </c>
      <c r="S20" s="243">
        <f t="shared" si="1"/>
        <v>7.115384615384615</v>
      </c>
      <c r="T20" s="242"/>
      <c r="U20" s="242"/>
      <c r="V20" s="242"/>
      <c r="W20" s="277">
        <f t="shared" si="2"/>
        <v>0</v>
      </c>
      <c r="X20" s="277">
        <f t="shared" si="3"/>
        <v>3.5576923076923075</v>
      </c>
      <c r="Y20" s="252"/>
      <c r="Z20" s="273"/>
      <c r="AA20" s="263" t="s">
        <v>196</v>
      </c>
      <c r="AB20" s="545"/>
      <c r="AC20" s="357">
        <f t="shared" si="0"/>
        <v>7.115384615384615</v>
      </c>
    </row>
    <row r="21" spans="1:29" s="256" customFormat="1" ht="16.5" customHeight="1" x14ac:dyDescent="0.2">
      <c r="A21" s="287">
        <v>14</v>
      </c>
      <c r="B21" s="245"/>
      <c r="C21" s="246">
        <v>2022</v>
      </c>
      <c r="D21" s="269" t="s">
        <v>1091</v>
      </c>
      <c r="E21" s="270" t="s">
        <v>1092</v>
      </c>
      <c r="F21" s="242">
        <v>8</v>
      </c>
      <c r="G21" s="242">
        <v>8</v>
      </c>
      <c r="H21" s="242">
        <v>6.5</v>
      </c>
      <c r="I21" s="242">
        <v>7.5</v>
      </c>
      <c r="J21" s="242">
        <v>7.5</v>
      </c>
      <c r="K21" s="242">
        <v>7.5</v>
      </c>
      <c r="L21" s="242">
        <v>7</v>
      </c>
      <c r="M21" s="242">
        <v>7</v>
      </c>
      <c r="N21" s="242">
        <v>7</v>
      </c>
      <c r="O21" s="242">
        <v>8</v>
      </c>
      <c r="P21" s="242">
        <v>7</v>
      </c>
      <c r="Q21" s="242">
        <v>7.5</v>
      </c>
      <c r="R21" s="242">
        <v>6.5</v>
      </c>
      <c r="S21" s="243">
        <f t="shared" si="1"/>
        <v>7.3076923076923075</v>
      </c>
      <c r="T21" s="242"/>
      <c r="U21" s="242"/>
      <c r="V21" s="242"/>
      <c r="W21" s="277">
        <f t="shared" si="2"/>
        <v>0</v>
      </c>
      <c r="X21" s="277">
        <f t="shared" si="3"/>
        <v>3.6538461538461537</v>
      </c>
      <c r="Y21" s="252"/>
      <c r="Z21" s="273"/>
      <c r="AA21" s="263" t="s">
        <v>666</v>
      </c>
      <c r="AB21" s="545"/>
      <c r="AC21" s="357">
        <f t="shared" si="0"/>
        <v>7.3076923076923075</v>
      </c>
    </row>
    <row r="22" spans="1:29" s="256" customFormat="1" ht="16.5" customHeight="1" x14ac:dyDescent="0.2">
      <c r="A22" s="287">
        <v>15</v>
      </c>
      <c r="B22" s="245"/>
      <c r="C22" s="246">
        <v>2022</v>
      </c>
      <c r="D22" s="269" t="s">
        <v>1093</v>
      </c>
      <c r="E22" s="270" t="s">
        <v>1094</v>
      </c>
      <c r="F22" s="242">
        <v>7.8</v>
      </c>
      <c r="G22" s="242">
        <v>7.5</v>
      </c>
      <c r="H22" s="242">
        <v>8</v>
      </c>
      <c r="I22" s="242">
        <v>6.5</v>
      </c>
      <c r="J22" s="242">
        <v>6.5</v>
      </c>
      <c r="K22" s="242">
        <v>6.5</v>
      </c>
      <c r="L22" s="242">
        <v>6</v>
      </c>
      <c r="M22" s="242">
        <v>7</v>
      </c>
      <c r="N22" s="242">
        <v>7</v>
      </c>
      <c r="O22" s="242">
        <v>6</v>
      </c>
      <c r="P22" s="242">
        <v>7.5</v>
      </c>
      <c r="Q22" s="242">
        <v>6</v>
      </c>
      <c r="R22" s="242">
        <v>7.5</v>
      </c>
      <c r="S22" s="243">
        <f t="shared" si="1"/>
        <v>6.9076923076923071</v>
      </c>
      <c r="T22" s="242"/>
      <c r="U22" s="242"/>
      <c r="V22" s="242"/>
      <c r="W22" s="277">
        <f t="shared" si="2"/>
        <v>0</v>
      </c>
      <c r="X22" s="277">
        <f t="shared" si="3"/>
        <v>3.4538461538461536</v>
      </c>
      <c r="Y22" s="252"/>
      <c r="Z22" s="273"/>
      <c r="AA22" s="263" t="s">
        <v>206</v>
      </c>
      <c r="AB22" s="545"/>
      <c r="AC22" s="628">
        <f t="shared" si="0"/>
        <v>6.9076923076923071</v>
      </c>
    </row>
    <row r="23" spans="1:29" s="256" customFormat="1" ht="16.5" customHeight="1" x14ac:dyDescent="0.2">
      <c r="A23" s="287">
        <v>16</v>
      </c>
      <c r="B23" s="245"/>
      <c r="C23" s="246">
        <v>2022</v>
      </c>
      <c r="D23" s="269" t="s">
        <v>1095</v>
      </c>
      <c r="E23" s="270" t="s">
        <v>867</v>
      </c>
      <c r="F23" s="242">
        <v>7.2</v>
      </c>
      <c r="G23" s="242">
        <v>8</v>
      </c>
      <c r="H23" s="242">
        <v>8</v>
      </c>
      <c r="I23" s="242">
        <v>8</v>
      </c>
      <c r="J23" s="242">
        <v>7.5</v>
      </c>
      <c r="K23" s="242">
        <v>7.5</v>
      </c>
      <c r="L23" s="242">
        <v>6</v>
      </c>
      <c r="M23" s="242">
        <v>7.5</v>
      </c>
      <c r="N23" s="242">
        <v>7.5</v>
      </c>
      <c r="O23" s="242">
        <v>7</v>
      </c>
      <c r="P23" s="242">
        <v>7</v>
      </c>
      <c r="Q23" s="242">
        <v>8</v>
      </c>
      <c r="R23" s="242">
        <v>7</v>
      </c>
      <c r="S23" s="243">
        <f t="shared" si="1"/>
        <v>7.4</v>
      </c>
      <c r="T23" s="242"/>
      <c r="U23" s="242"/>
      <c r="V23" s="242"/>
      <c r="W23" s="277">
        <f t="shared" si="2"/>
        <v>0</v>
      </c>
      <c r="X23" s="277">
        <f t="shared" si="3"/>
        <v>3.7</v>
      </c>
      <c r="Y23" s="252"/>
      <c r="Z23" s="273"/>
      <c r="AA23" s="263" t="s">
        <v>171</v>
      </c>
      <c r="AB23" s="545"/>
      <c r="AC23" s="357">
        <f t="shared" si="0"/>
        <v>7.4</v>
      </c>
    </row>
    <row r="24" spans="1:29" s="256" customFormat="1" ht="16.5" customHeight="1" x14ac:dyDescent="0.2">
      <c r="A24" s="287">
        <v>17</v>
      </c>
      <c r="B24" s="245"/>
      <c r="C24" s="246">
        <v>2022</v>
      </c>
      <c r="D24" s="269" t="s">
        <v>1096</v>
      </c>
      <c r="E24" s="270" t="s">
        <v>653</v>
      </c>
      <c r="F24" s="242">
        <v>6.5</v>
      </c>
      <c r="G24" s="242">
        <v>6.5</v>
      </c>
      <c r="H24" s="242">
        <v>8</v>
      </c>
      <c r="I24" s="242">
        <v>7.5</v>
      </c>
      <c r="J24" s="242">
        <v>7</v>
      </c>
      <c r="K24" s="242">
        <v>7.5</v>
      </c>
      <c r="L24" s="242">
        <v>8</v>
      </c>
      <c r="M24" s="242">
        <v>7.5</v>
      </c>
      <c r="N24" s="242">
        <v>7.5</v>
      </c>
      <c r="O24" s="242">
        <v>7</v>
      </c>
      <c r="P24" s="242">
        <v>7</v>
      </c>
      <c r="Q24" s="242">
        <v>7</v>
      </c>
      <c r="R24" s="242">
        <v>6.5</v>
      </c>
      <c r="S24" s="243">
        <f t="shared" si="1"/>
        <v>7.1923076923076925</v>
      </c>
      <c r="T24" s="242"/>
      <c r="U24" s="242"/>
      <c r="V24" s="242"/>
      <c r="W24" s="277">
        <f t="shared" si="2"/>
        <v>0</v>
      </c>
      <c r="X24" s="277">
        <f t="shared" si="3"/>
        <v>3.5961538461538463</v>
      </c>
      <c r="Y24" s="252"/>
      <c r="Z24" s="273"/>
      <c r="AA24" s="263" t="s">
        <v>174</v>
      </c>
      <c r="AB24" s="545"/>
      <c r="AC24" s="357">
        <f t="shared" si="0"/>
        <v>7.1923076923076925</v>
      </c>
    </row>
    <row r="25" spans="1:29" s="256" customFormat="1" ht="16.5" customHeight="1" x14ac:dyDescent="0.2">
      <c r="A25" s="287">
        <v>18</v>
      </c>
      <c r="B25" s="245"/>
      <c r="C25" s="246">
        <v>2022</v>
      </c>
      <c r="D25" s="269" t="s">
        <v>1097</v>
      </c>
      <c r="E25" s="270" t="s">
        <v>1098</v>
      </c>
      <c r="F25" s="292">
        <v>7</v>
      </c>
      <c r="G25" s="242">
        <v>6</v>
      </c>
      <c r="H25" s="242">
        <v>6.5</v>
      </c>
      <c r="I25" s="242">
        <v>6</v>
      </c>
      <c r="J25" s="242">
        <v>6.5</v>
      </c>
      <c r="K25" s="242">
        <v>7</v>
      </c>
      <c r="L25" s="242">
        <v>7</v>
      </c>
      <c r="M25" s="242">
        <v>6.5</v>
      </c>
      <c r="N25" s="242">
        <v>6.5</v>
      </c>
      <c r="O25" s="242">
        <v>7.5</v>
      </c>
      <c r="P25" s="242">
        <v>7</v>
      </c>
      <c r="Q25" s="242">
        <v>7</v>
      </c>
      <c r="R25" s="242">
        <v>6.5</v>
      </c>
      <c r="S25" s="243">
        <f t="shared" si="1"/>
        <v>6.6923076923076925</v>
      </c>
      <c r="T25" s="242"/>
      <c r="U25" s="242"/>
      <c r="V25" s="242"/>
      <c r="W25" s="277">
        <f t="shared" si="2"/>
        <v>0</v>
      </c>
      <c r="X25" s="277">
        <f t="shared" si="3"/>
        <v>3.3461538461538463</v>
      </c>
      <c r="Y25" s="252"/>
      <c r="Z25" s="273"/>
      <c r="AA25" s="263" t="s">
        <v>141</v>
      </c>
      <c r="AB25" s="545"/>
      <c r="AC25" s="628">
        <f t="shared" si="0"/>
        <v>6.6923076923076925</v>
      </c>
    </row>
    <row r="26" spans="1:29" s="256" customFormat="1" ht="16.5" customHeight="1" x14ac:dyDescent="0.2">
      <c r="A26" s="287">
        <v>19</v>
      </c>
      <c r="B26" s="245"/>
      <c r="C26" s="246">
        <v>2022</v>
      </c>
      <c r="D26" s="269" t="s">
        <v>1099</v>
      </c>
      <c r="E26" s="270" t="s">
        <v>1100</v>
      </c>
      <c r="F26" s="242">
        <v>7.4</v>
      </c>
      <c r="G26" s="242">
        <v>6</v>
      </c>
      <c r="H26" s="242">
        <v>6</v>
      </c>
      <c r="I26" s="242">
        <v>7</v>
      </c>
      <c r="J26" s="242">
        <v>6.5</v>
      </c>
      <c r="K26" s="242">
        <v>6.5</v>
      </c>
      <c r="L26" s="242">
        <v>7</v>
      </c>
      <c r="M26" s="242">
        <v>7</v>
      </c>
      <c r="N26" s="242">
        <v>7</v>
      </c>
      <c r="O26" s="242">
        <v>7.5</v>
      </c>
      <c r="P26" s="242">
        <v>7</v>
      </c>
      <c r="Q26" s="242">
        <v>7</v>
      </c>
      <c r="R26" s="242">
        <v>7</v>
      </c>
      <c r="S26" s="243">
        <f t="shared" si="1"/>
        <v>6.838461538461539</v>
      </c>
      <c r="T26" s="242"/>
      <c r="U26" s="242"/>
      <c r="V26" s="242"/>
      <c r="W26" s="277">
        <f t="shared" si="2"/>
        <v>0</v>
      </c>
      <c r="X26" s="277">
        <f t="shared" si="3"/>
        <v>3.4192307692307695</v>
      </c>
      <c r="Y26" s="252"/>
      <c r="Z26" s="273"/>
      <c r="AA26" s="263" t="s">
        <v>198</v>
      </c>
      <c r="AB26" s="545"/>
      <c r="AC26" s="628">
        <f t="shared" si="0"/>
        <v>6.838461538461539</v>
      </c>
    </row>
    <row r="27" spans="1:29" s="256" customFormat="1" ht="16.5" customHeight="1" x14ac:dyDescent="0.2">
      <c r="A27" s="287">
        <v>20</v>
      </c>
      <c r="B27" s="245"/>
      <c r="C27" s="246">
        <v>2022</v>
      </c>
      <c r="D27" s="269" t="s">
        <v>1101</v>
      </c>
      <c r="E27" s="270" t="s">
        <v>232</v>
      </c>
      <c r="F27" s="242">
        <v>7</v>
      </c>
      <c r="G27" s="242">
        <v>6.5</v>
      </c>
      <c r="H27" s="242">
        <v>8</v>
      </c>
      <c r="I27" s="242">
        <v>6</v>
      </c>
      <c r="J27" s="242">
        <v>7</v>
      </c>
      <c r="K27" s="242">
        <v>7</v>
      </c>
      <c r="L27" s="242">
        <v>7</v>
      </c>
      <c r="M27" s="242">
        <v>7.5</v>
      </c>
      <c r="N27" s="242">
        <v>7</v>
      </c>
      <c r="O27" s="242">
        <v>7</v>
      </c>
      <c r="P27" s="242">
        <v>7</v>
      </c>
      <c r="Q27" s="242">
        <v>7.5</v>
      </c>
      <c r="R27" s="242">
        <v>7</v>
      </c>
      <c r="S27" s="243">
        <f t="shared" si="1"/>
        <v>7.0384615384615383</v>
      </c>
      <c r="T27" s="242"/>
      <c r="U27" s="242"/>
      <c r="V27" s="242"/>
      <c r="W27" s="277">
        <f t="shared" si="2"/>
        <v>0</v>
      </c>
      <c r="X27" s="277">
        <f t="shared" si="3"/>
        <v>3.5192307692307692</v>
      </c>
      <c r="Y27" s="252"/>
      <c r="Z27" s="273"/>
      <c r="AA27" s="263" t="s">
        <v>214</v>
      </c>
      <c r="AB27" s="545"/>
      <c r="AC27" s="357">
        <f t="shared" si="0"/>
        <v>7.0384615384615383</v>
      </c>
    </row>
    <row r="28" spans="1:29" s="256" customFormat="1" ht="16.5" customHeight="1" x14ac:dyDescent="0.2">
      <c r="A28" s="287">
        <v>21</v>
      </c>
      <c r="B28" s="245"/>
      <c r="C28" s="246">
        <v>2022</v>
      </c>
      <c r="D28" s="269" t="s">
        <v>1102</v>
      </c>
      <c r="E28" s="270" t="s">
        <v>985</v>
      </c>
      <c r="F28" s="242">
        <v>7.5</v>
      </c>
      <c r="G28" s="242">
        <v>6.5</v>
      </c>
      <c r="H28" s="242">
        <v>8</v>
      </c>
      <c r="I28" s="242">
        <v>7.5</v>
      </c>
      <c r="J28" s="242">
        <v>7.5</v>
      </c>
      <c r="K28" s="242">
        <v>7.5</v>
      </c>
      <c r="L28" s="242">
        <v>6</v>
      </c>
      <c r="M28" s="242">
        <v>7.5</v>
      </c>
      <c r="N28" s="242">
        <v>7</v>
      </c>
      <c r="O28" s="242">
        <v>7</v>
      </c>
      <c r="P28" s="242">
        <v>7</v>
      </c>
      <c r="Q28" s="242">
        <v>7</v>
      </c>
      <c r="R28" s="242">
        <v>7</v>
      </c>
      <c r="S28" s="243">
        <f t="shared" si="1"/>
        <v>7.1538461538461542</v>
      </c>
      <c r="T28" s="242"/>
      <c r="U28" s="242"/>
      <c r="V28" s="242"/>
      <c r="W28" s="277">
        <f t="shared" si="2"/>
        <v>0</v>
      </c>
      <c r="X28" s="277">
        <f t="shared" si="3"/>
        <v>3.5769230769230771</v>
      </c>
      <c r="Y28" s="252"/>
      <c r="Z28" s="273"/>
      <c r="AA28" s="263" t="s">
        <v>174</v>
      </c>
      <c r="AB28" s="545"/>
      <c r="AC28" s="357">
        <f t="shared" si="0"/>
        <v>7.1538461538461542</v>
      </c>
    </row>
    <row r="29" spans="1:29" s="256" customFormat="1" ht="16.5" customHeight="1" x14ac:dyDescent="0.2">
      <c r="A29" s="287">
        <v>22</v>
      </c>
      <c r="B29" s="245"/>
      <c r="C29" s="246">
        <v>2022</v>
      </c>
      <c r="D29" s="269" t="s">
        <v>1103</v>
      </c>
      <c r="E29" s="270" t="s">
        <v>152</v>
      </c>
      <c r="F29" s="242">
        <v>8.6</v>
      </c>
      <c r="G29" s="242">
        <v>6.5</v>
      </c>
      <c r="H29" s="242">
        <v>8</v>
      </c>
      <c r="I29" s="242">
        <v>6</v>
      </c>
      <c r="J29" s="242">
        <v>6</v>
      </c>
      <c r="K29" s="242">
        <v>6</v>
      </c>
      <c r="L29" s="242">
        <v>7</v>
      </c>
      <c r="M29" s="242">
        <v>7</v>
      </c>
      <c r="N29" s="242">
        <v>6.5</v>
      </c>
      <c r="O29" s="242">
        <v>7</v>
      </c>
      <c r="P29" s="242">
        <v>7</v>
      </c>
      <c r="Q29" s="242">
        <v>6.5</v>
      </c>
      <c r="R29" s="242">
        <v>6.5</v>
      </c>
      <c r="S29" s="243">
        <f t="shared" si="1"/>
        <v>6.8153846153846152</v>
      </c>
      <c r="T29" s="242"/>
      <c r="U29" s="242"/>
      <c r="V29" s="242"/>
      <c r="W29" s="277">
        <f t="shared" ref="W29:W54" si="4">SUM(T29:V29)/3</f>
        <v>0</v>
      </c>
      <c r="X29" s="277">
        <f t="shared" si="3"/>
        <v>3.4076923076923076</v>
      </c>
      <c r="Y29" s="252"/>
      <c r="Z29" s="273"/>
      <c r="AA29" s="263" t="s">
        <v>218</v>
      </c>
      <c r="AB29" s="545"/>
      <c r="AC29" s="628">
        <f t="shared" si="0"/>
        <v>6.8153846153846152</v>
      </c>
    </row>
    <row r="30" spans="1:29" s="256" customFormat="1" ht="16.5" customHeight="1" x14ac:dyDescent="0.2">
      <c r="A30" s="287">
        <v>23</v>
      </c>
      <c r="B30" s="245"/>
      <c r="C30" s="246">
        <v>2022</v>
      </c>
      <c r="D30" s="269" t="s">
        <v>1104</v>
      </c>
      <c r="E30" s="270" t="s">
        <v>1073</v>
      </c>
      <c r="F30" s="292">
        <v>7.4</v>
      </c>
      <c r="G30" s="242">
        <v>6.5</v>
      </c>
      <c r="H30" s="242">
        <v>8</v>
      </c>
      <c r="I30" s="242">
        <v>7</v>
      </c>
      <c r="J30" s="242">
        <v>7</v>
      </c>
      <c r="K30" s="242">
        <v>7</v>
      </c>
      <c r="L30" s="242">
        <v>7</v>
      </c>
      <c r="M30" s="242">
        <v>7.5</v>
      </c>
      <c r="N30" s="242">
        <v>7</v>
      </c>
      <c r="O30" s="242">
        <v>7</v>
      </c>
      <c r="P30" s="242">
        <v>7</v>
      </c>
      <c r="Q30" s="242">
        <v>6.5</v>
      </c>
      <c r="R30" s="242">
        <v>7.5</v>
      </c>
      <c r="S30" s="243">
        <f t="shared" si="1"/>
        <v>7.1076923076923082</v>
      </c>
      <c r="T30" s="242"/>
      <c r="U30" s="242"/>
      <c r="V30" s="242"/>
      <c r="W30" s="277">
        <f t="shared" si="4"/>
        <v>0</v>
      </c>
      <c r="X30" s="277">
        <f t="shared" si="3"/>
        <v>3.5538461538461541</v>
      </c>
      <c r="Y30" s="252"/>
      <c r="Z30" s="273"/>
      <c r="AA30" s="263" t="s">
        <v>192</v>
      </c>
      <c r="AB30" s="545"/>
      <c r="AC30" s="357">
        <f t="shared" si="0"/>
        <v>7.1076923076923082</v>
      </c>
    </row>
    <row r="31" spans="1:29" s="256" customFormat="1" ht="16.5" customHeight="1" x14ac:dyDescent="0.2">
      <c r="A31" s="287">
        <v>24</v>
      </c>
      <c r="B31" s="245"/>
      <c r="C31" s="246">
        <v>2022</v>
      </c>
      <c r="D31" s="269" t="s">
        <v>1105</v>
      </c>
      <c r="E31" s="270" t="s">
        <v>152</v>
      </c>
      <c r="F31" s="242">
        <v>7.5</v>
      </c>
      <c r="G31" s="242">
        <v>7.5</v>
      </c>
      <c r="H31" s="242">
        <v>6</v>
      </c>
      <c r="I31" s="242">
        <v>6.5</v>
      </c>
      <c r="J31" s="242">
        <v>7</v>
      </c>
      <c r="K31" s="242">
        <v>8</v>
      </c>
      <c r="L31" s="242">
        <v>8</v>
      </c>
      <c r="M31" s="242">
        <v>6.5</v>
      </c>
      <c r="N31" s="242">
        <v>6.5</v>
      </c>
      <c r="O31" s="242">
        <v>6</v>
      </c>
      <c r="P31" s="242">
        <v>7</v>
      </c>
      <c r="Q31" s="242">
        <v>6.5</v>
      </c>
      <c r="R31" s="242">
        <v>6.5</v>
      </c>
      <c r="S31" s="243">
        <f t="shared" si="1"/>
        <v>6.884615384615385</v>
      </c>
      <c r="T31" s="242"/>
      <c r="U31" s="242"/>
      <c r="V31" s="242"/>
      <c r="W31" s="277">
        <f t="shared" si="4"/>
        <v>0</v>
      </c>
      <c r="X31" s="277">
        <f t="shared" si="3"/>
        <v>3.4423076923076925</v>
      </c>
      <c r="Y31" s="252"/>
      <c r="Z31" s="273"/>
      <c r="AA31" s="263" t="s">
        <v>190</v>
      </c>
      <c r="AB31" s="545"/>
      <c r="AC31" s="628">
        <f t="shared" si="0"/>
        <v>6.884615384615385</v>
      </c>
    </row>
    <row r="32" spans="1:29" s="256" customFormat="1" ht="16.5" customHeight="1" x14ac:dyDescent="0.2">
      <c r="A32" s="287">
        <v>25</v>
      </c>
      <c r="B32" s="245"/>
      <c r="C32" s="246">
        <v>2022</v>
      </c>
      <c r="D32" s="269" t="s">
        <v>1106</v>
      </c>
      <c r="E32" s="270" t="s">
        <v>1107</v>
      </c>
      <c r="F32" s="242">
        <v>7</v>
      </c>
      <c r="G32" s="242">
        <v>8</v>
      </c>
      <c r="H32" s="242">
        <v>8</v>
      </c>
      <c r="I32" s="242">
        <v>8</v>
      </c>
      <c r="J32" s="242">
        <v>8</v>
      </c>
      <c r="K32" s="242">
        <v>7.5</v>
      </c>
      <c r="L32" s="242">
        <v>7</v>
      </c>
      <c r="M32" s="242">
        <v>7</v>
      </c>
      <c r="N32" s="242">
        <v>8</v>
      </c>
      <c r="O32" s="242">
        <v>6.5</v>
      </c>
      <c r="P32" s="242">
        <v>7</v>
      </c>
      <c r="Q32" s="242">
        <v>7.5</v>
      </c>
      <c r="R32" s="242">
        <v>7.5</v>
      </c>
      <c r="S32" s="243">
        <f t="shared" si="1"/>
        <v>7.4615384615384617</v>
      </c>
      <c r="T32" s="242"/>
      <c r="U32" s="242"/>
      <c r="V32" s="242"/>
      <c r="W32" s="277">
        <f t="shared" si="4"/>
        <v>0</v>
      </c>
      <c r="X32" s="277">
        <f t="shared" si="3"/>
        <v>3.7307692307692308</v>
      </c>
      <c r="Y32" s="252"/>
      <c r="Z32" s="273"/>
      <c r="AA32" s="263" t="s">
        <v>186</v>
      </c>
      <c r="AB32" s="545"/>
      <c r="AC32" s="357">
        <f t="shared" si="0"/>
        <v>7.4615384615384617</v>
      </c>
    </row>
    <row r="33" spans="1:29" s="256" customFormat="1" ht="16.5" customHeight="1" x14ac:dyDescent="0.2">
      <c r="A33" s="287">
        <v>26</v>
      </c>
      <c r="B33" s="245"/>
      <c r="C33" s="246">
        <v>2022</v>
      </c>
      <c r="D33" s="269" t="s">
        <v>1108</v>
      </c>
      <c r="E33" s="270" t="s">
        <v>230</v>
      </c>
      <c r="F33" s="242">
        <v>7</v>
      </c>
      <c r="G33" s="242">
        <v>7</v>
      </c>
      <c r="H33" s="242">
        <v>8</v>
      </c>
      <c r="I33" s="242">
        <v>7</v>
      </c>
      <c r="J33" s="242">
        <v>7.5</v>
      </c>
      <c r="K33" s="242">
        <v>7.5</v>
      </c>
      <c r="L33" s="242">
        <v>6</v>
      </c>
      <c r="M33" s="242">
        <v>7</v>
      </c>
      <c r="N33" s="242">
        <v>7.5</v>
      </c>
      <c r="O33" s="242">
        <v>7.5</v>
      </c>
      <c r="P33" s="242">
        <v>7.5</v>
      </c>
      <c r="Q33" s="242">
        <v>7</v>
      </c>
      <c r="R33" s="242">
        <v>7</v>
      </c>
      <c r="S33" s="243">
        <f t="shared" si="1"/>
        <v>7.1923076923076925</v>
      </c>
      <c r="T33" s="242"/>
      <c r="U33" s="242"/>
      <c r="V33" s="242"/>
      <c r="W33" s="277">
        <f t="shared" si="4"/>
        <v>0</v>
      </c>
      <c r="X33" s="277">
        <f t="shared" si="3"/>
        <v>3.5961538461538463</v>
      </c>
      <c r="Y33" s="252"/>
      <c r="Z33" s="273"/>
      <c r="AA33" s="263" t="s">
        <v>17</v>
      </c>
      <c r="AB33" s="545"/>
      <c r="AC33" s="357">
        <f t="shared" si="0"/>
        <v>7.1923076923076925</v>
      </c>
    </row>
    <row r="34" spans="1:29" s="256" customFormat="1" ht="16.5" customHeight="1" x14ac:dyDescent="0.2">
      <c r="A34" s="287">
        <v>27</v>
      </c>
      <c r="B34" s="245"/>
      <c r="C34" s="246">
        <v>2022</v>
      </c>
      <c r="D34" s="269" t="s">
        <v>1109</v>
      </c>
      <c r="E34" s="270" t="s">
        <v>11</v>
      </c>
      <c r="F34" s="242">
        <v>7</v>
      </c>
      <c r="G34" s="242">
        <v>7</v>
      </c>
      <c r="H34" s="242">
        <v>8</v>
      </c>
      <c r="I34" s="242">
        <v>8</v>
      </c>
      <c r="J34" s="242">
        <v>8</v>
      </c>
      <c r="K34" s="242">
        <v>6.5</v>
      </c>
      <c r="L34" s="242">
        <v>8</v>
      </c>
      <c r="M34" s="242">
        <v>7.5</v>
      </c>
      <c r="N34" s="242">
        <v>8</v>
      </c>
      <c r="O34" s="242">
        <v>7</v>
      </c>
      <c r="P34" s="242">
        <v>7.5</v>
      </c>
      <c r="Q34" s="242">
        <v>8</v>
      </c>
      <c r="R34" s="242">
        <v>7.5</v>
      </c>
      <c r="S34" s="243">
        <f t="shared" si="1"/>
        <v>7.5384615384615383</v>
      </c>
      <c r="T34" s="242"/>
      <c r="U34" s="242"/>
      <c r="V34" s="242"/>
      <c r="W34" s="277">
        <f t="shared" si="4"/>
        <v>0</v>
      </c>
      <c r="X34" s="277">
        <f t="shared" si="3"/>
        <v>3.7692307692307692</v>
      </c>
      <c r="Y34" s="252"/>
      <c r="Z34" s="273"/>
      <c r="AA34" s="263" t="s">
        <v>219</v>
      </c>
      <c r="AB34" s="545"/>
      <c r="AC34" s="357">
        <f t="shared" si="0"/>
        <v>7.5384615384615383</v>
      </c>
    </row>
    <row r="35" spans="1:29" s="256" customFormat="1" ht="16.5" customHeight="1" x14ac:dyDescent="0.2">
      <c r="A35" s="287">
        <v>28</v>
      </c>
      <c r="B35" s="245"/>
      <c r="C35" s="246">
        <v>2022</v>
      </c>
      <c r="D35" s="269" t="s">
        <v>1110</v>
      </c>
      <c r="E35" s="270" t="s">
        <v>686</v>
      </c>
      <c r="F35" s="242">
        <v>7</v>
      </c>
      <c r="G35" s="242">
        <v>7.5</v>
      </c>
      <c r="H35" s="242">
        <v>8</v>
      </c>
      <c r="I35" s="242">
        <v>7</v>
      </c>
      <c r="J35" s="242">
        <v>6.5</v>
      </c>
      <c r="K35" s="242">
        <v>7</v>
      </c>
      <c r="L35" s="242">
        <v>7</v>
      </c>
      <c r="M35" s="242">
        <v>7</v>
      </c>
      <c r="N35" s="242">
        <v>6.5</v>
      </c>
      <c r="O35" s="242">
        <v>7</v>
      </c>
      <c r="P35" s="242">
        <v>7</v>
      </c>
      <c r="Q35" s="242">
        <v>6</v>
      </c>
      <c r="R35" s="242">
        <v>7</v>
      </c>
      <c r="S35" s="243">
        <f t="shared" si="1"/>
        <v>6.9615384615384617</v>
      </c>
      <c r="T35" s="242"/>
      <c r="U35" s="242"/>
      <c r="V35" s="242"/>
      <c r="W35" s="277">
        <f t="shared" si="4"/>
        <v>0</v>
      </c>
      <c r="X35" s="277">
        <f t="shared" si="3"/>
        <v>3.4807692307692308</v>
      </c>
      <c r="Y35" s="252"/>
      <c r="Z35" s="273"/>
      <c r="AA35" s="263" t="s">
        <v>12</v>
      </c>
      <c r="AB35" s="545"/>
      <c r="AC35" s="628">
        <f t="shared" si="0"/>
        <v>6.9615384615384617</v>
      </c>
    </row>
    <row r="36" spans="1:29" s="256" customFormat="1" ht="16.5" customHeight="1" x14ac:dyDescent="0.2">
      <c r="A36" s="287">
        <v>29</v>
      </c>
      <c r="B36" s="245"/>
      <c r="C36" s="246">
        <v>2022</v>
      </c>
      <c r="D36" s="269" t="s">
        <v>1111</v>
      </c>
      <c r="E36" s="270" t="s">
        <v>1112</v>
      </c>
      <c r="F36" s="242">
        <v>6.8</v>
      </c>
      <c r="G36" s="242">
        <v>7</v>
      </c>
      <c r="H36" s="242">
        <v>7.5</v>
      </c>
      <c r="I36" s="242">
        <v>8</v>
      </c>
      <c r="J36" s="242">
        <v>6.5</v>
      </c>
      <c r="K36" s="242">
        <v>7.5</v>
      </c>
      <c r="L36" s="242">
        <v>7</v>
      </c>
      <c r="M36" s="242">
        <v>8</v>
      </c>
      <c r="N36" s="242">
        <v>7</v>
      </c>
      <c r="O36" s="242">
        <v>7</v>
      </c>
      <c r="P36" s="242">
        <v>6</v>
      </c>
      <c r="Q36" s="242">
        <v>8</v>
      </c>
      <c r="R36" s="242">
        <v>7.5</v>
      </c>
      <c r="S36" s="243">
        <f t="shared" si="1"/>
        <v>7.2153846153846155</v>
      </c>
      <c r="T36" s="242"/>
      <c r="U36" s="242"/>
      <c r="V36" s="242"/>
      <c r="W36" s="277">
        <f t="shared" si="4"/>
        <v>0</v>
      </c>
      <c r="X36" s="277">
        <f t="shared" si="3"/>
        <v>3.6076923076923078</v>
      </c>
      <c r="Y36" s="252"/>
      <c r="Z36" s="273"/>
      <c r="AA36" s="263" t="s">
        <v>666</v>
      </c>
      <c r="AB36" s="545"/>
      <c r="AC36" s="357">
        <f t="shared" si="0"/>
        <v>7.2153846153846155</v>
      </c>
    </row>
    <row r="37" spans="1:29" s="256" customFormat="1" ht="16.5" customHeight="1" x14ac:dyDescent="0.2">
      <c r="A37" s="287">
        <v>30</v>
      </c>
      <c r="B37" s="245"/>
      <c r="C37" s="246">
        <v>2022</v>
      </c>
      <c r="D37" s="269" t="s">
        <v>1113</v>
      </c>
      <c r="E37" s="270" t="s">
        <v>278</v>
      </c>
      <c r="F37" s="242">
        <v>7.2</v>
      </c>
      <c r="G37" s="242">
        <v>7</v>
      </c>
      <c r="H37" s="242">
        <v>7.5</v>
      </c>
      <c r="I37" s="242">
        <v>8</v>
      </c>
      <c r="J37" s="242">
        <v>7</v>
      </c>
      <c r="K37" s="242">
        <v>6</v>
      </c>
      <c r="L37" s="242">
        <v>7</v>
      </c>
      <c r="M37" s="242">
        <v>6.5</v>
      </c>
      <c r="N37" s="242">
        <v>7</v>
      </c>
      <c r="O37" s="242">
        <v>7.5</v>
      </c>
      <c r="P37" s="242">
        <v>6</v>
      </c>
      <c r="Q37" s="242">
        <v>8</v>
      </c>
      <c r="R37" s="242">
        <v>7</v>
      </c>
      <c r="S37" s="243">
        <f t="shared" si="1"/>
        <v>7.0538461538461537</v>
      </c>
      <c r="T37" s="242"/>
      <c r="U37" s="242"/>
      <c r="V37" s="242"/>
      <c r="W37" s="277">
        <f t="shared" si="4"/>
        <v>0</v>
      </c>
      <c r="X37" s="277">
        <f t="shared" si="3"/>
        <v>3.5269230769230768</v>
      </c>
      <c r="Y37" s="252"/>
      <c r="Z37" s="273"/>
      <c r="AA37" s="263" t="s">
        <v>152</v>
      </c>
      <c r="AB37" s="545"/>
      <c r="AC37" s="357">
        <f t="shared" si="0"/>
        <v>7.0538461538461537</v>
      </c>
    </row>
    <row r="38" spans="1:29" s="256" customFormat="1" ht="16.5" customHeight="1" x14ac:dyDescent="0.2">
      <c r="A38" s="287">
        <v>31</v>
      </c>
      <c r="B38" s="245"/>
      <c r="C38" s="246">
        <v>2022</v>
      </c>
      <c r="D38" s="269" t="s">
        <v>1114</v>
      </c>
      <c r="E38" s="270" t="s">
        <v>1115</v>
      </c>
      <c r="F38" s="242">
        <v>7</v>
      </c>
      <c r="G38" s="242">
        <v>8</v>
      </c>
      <c r="H38" s="242">
        <v>7</v>
      </c>
      <c r="I38" s="242">
        <v>7.5</v>
      </c>
      <c r="J38" s="242">
        <v>7.5</v>
      </c>
      <c r="K38" s="242">
        <v>7.5</v>
      </c>
      <c r="L38" s="242">
        <v>6.5</v>
      </c>
      <c r="M38" s="242">
        <v>7</v>
      </c>
      <c r="N38" s="242">
        <v>7</v>
      </c>
      <c r="O38" s="242">
        <v>7</v>
      </c>
      <c r="P38" s="242">
        <v>7</v>
      </c>
      <c r="Q38" s="242">
        <v>7</v>
      </c>
      <c r="R38" s="242">
        <v>7</v>
      </c>
      <c r="S38" s="243">
        <f t="shared" si="1"/>
        <v>7.1538461538461542</v>
      </c>
      <c r="T38" s="242"/>
      <c r="U38" s="242"/>
      <c r="V38" s="242"/>
      <c r="W38" s="277">
        <f t="shared" si="4"/>
        <v>0</v>
      </c>
      <c r="X38" s="277">
        <f t="shared" si="3"/>
        <v>3.5769230769230771</v>
      </c>
      <c r="Y38" s="252"/>
      <c r="Z38" s="273"/>
      <c r="AA38" s="263" t="s">
        <v>192</v>
      </c>
      <c r="AB38" s="545"/>
      <c r="AC38" s="357">
        <f t="shared" si="0"/>
        <v>7.1538461538461542</v>
      </c>
    </row>
    <row r="39" spans="1:29" s="256" customFormat="1" ht="16.5" customHeight="1" x14ac:dyDescent="0.2">
      <c r="A39" s="287">
        <v>32</v>
      </c>
      <c r="B39" s="245"/>
      <c r="C39" s="246">
        <v>2022</v>
      </c>
      <c r="D39" s="269" t="s">
        <v>1116</v>
      </c>
      <c r="E39" s="270" t="s">
        <v>865</v>
      </c>
      <c r="F39" s="242">
        <v>7</v>
      </c>
      <c r="G39" s="242">
        <v>7</v>
      </c>
      <c r="H39" s="242">
        <v>7.5</v>
      </c>
      <c r="I39" s="242">
        <v>8</v>
      </c>
      <c r="J39" s="242">
        <v>7</v>
      </c>
      <c r="K39" s="242">
        <v>7.5</v>
      </c>
      <c r="L39" s="242">
        <v>7</v>
      </c>
      <c r="M39" s="242">
        <v>7</v>
      </c>
      <c r="N39" s="242">
        <v>7</v>
      </c>
      <c r="O39" s="242">
        <v>8</v>
      </c>
      <c r="P39" s="242">
        <v>7</v>
      </c>
      <c r="Q39" s="242">
        <v>7.5</v>
      </c>
      <c r="R39" s="242">
        <v>6.5</v>
      </c>
      <c r="S39" s="243">
        <f t="shared" si="1"/>
        <v>7.2307692307692308</v>
      </c>
      <c r="T39" s="242"/>
      <c r="U39" s="242"/>
      <c r="V39" s="242"/>
      <c r="W39" s="277">
        <f t="shared" si="4"/>
        <v>0</v>
      </c>
      <c r="X39" s="277">
        <f t="shared" si="3"/>
        <v>3.6153846153846154</v>
      </c>
      <c r="Y39" s="252"/>
      <c r="Z39" s="273"/>
      <c r="AA39" s="263" t="s">
        <v>196</v>
      </c>
      <c r="AB39" s="545"/>
      <c r="AC39" s="357">
        <f t="shared" si="0"/>
        <v>7.2307692307692308</v>
      </c>
    </row>
    <row r="40" spans="1:29" s="256" customFormat="1" ht="16.5" customHeight="1" x14ac:dyDescent="0.2">
      <c r="A40" s="287">
        <v>33</v>
      </c>
      <c r="B40" s="245"/>
      <c r="C40" s="246">
        <v>2022</v>
      </c>
      <c r="D40" s="269" t="s">
        <v>140</v>
      </c>
      <c r="E40" s="270" t="s">
        <v>1117</v>
      </c>
      <c r="F40" s="242">
        <v>6.5</v>
      </c>
      <c r="G40" s="242">
        <v>7</v>
      </c>
      <c r="H40" s="242">
        <v>7.5</v>
      </c>
      <c r="I40" s="242">
        <v>8</v>
      </c>
      <c r="J40" s="242">
        <v>7</v>
      </c>
      <c r="K40" s="242">
        <v>7</v>
      </c>
      <c r="L40" s="242">
        <v>7</v>
      </c>
      <c r="M40" s="242">
        <v>6.5</v>
      </c>
      <c r="N40" s="242">
        <v>7</v>
      </c>
      <c r="O40" s="242">
        <v>7</v>
      </c>
      <c r="P40" s="242">
        <v>7</v>
      </c>
      <c r="Q40" s="242">
        <v>8</v>
      </c>
      <c r="R40" s="242">
        <v>7.5</v>
      </c>
      <c r="S40" s="243">
        <f t="shared" si="1"/>
        <v>7.1538461538461542</v>
      </c>
      <c r="T40" s="242"/>
      <c r="U40" s="242"/>
      <c r="V40" s="242"/>
      <c r="W40" s="277">
        <f t="shared" si="4"/>
        <v>0</v>
      </c>
      <c r="X40" s="277">
        <f t="shared" si="3"/>
        <v>3.5769230769230771</v>
      </c>
      <c r="Y40" s="252"/>
      <c r="Z40" s="273"/>
      <c r="AA40" s="263" t="s">
        <v>178</v>
      </c>
      <c r="AB40" s="545"/>
      <c r="AC40" s="357">
        <f t="shared" si="0"/>
        <v>7.1538461538461542</v>
      </c>
    </row>
    <row r="41" spans="1:29" s="256" customFormat="1" ht="16.5" customHeight="1" x14ac:dyDescent="0.2">
      <c r="A41" s="287">
        <v>34</v>
      </c>
      <c r="B41" s="245"/>
      <c r="C41" s="246">
        <v>2022</v>
      </c>
      <c r="D41" s="269" t="s">
        <v>1118</v>
      </c>
      <c r="E41" s="270" t="s">
        <v>1119</v>
      </c>
      <c r="F41" s="242">
        <v>7.2</v>
      </c>
      <c r="G41" s="242">
        <v>6.5</v>
      </c>
      <c r="H41" s="242">
        <v>7</v>
      </c>
      <c r="I41" s="242">
        <v>6</v>
      </c>
      <c r="J41" s="242">
        <v>7</v>
      </c>
      <c r="K41" s="242">
        <v>6.5</v>
      </c>
      <c r="L41" s="242">
        <v>7</v>
      </c>
      <c r="M41" s="242">
        <v>6</v>
      </c>
      <c r="N41" s="242">
        <v>6.5</v>
      </c>
      <c r="O41" s="242">
        <v>6</v>
      </c>
      <c r="P41" s="242">
        <v>7</v>
      </c>
      <c r="Q41" s="242">
        <v>7</v>
      </c>
      <c r="R41" s="242">
        <v>6.5</v>
      </c>
      <c r="S41" s="243">
        <f t="shared" si="1"/>
        <v>6.6307692307692312</v>
      </c>
      <c r="T41" s="242"/>
      <c r="U41" s="242"/>
      <c r="V41" s="242"/>
      <c r="W41" s="277">
        <f t="shared" si="4"/>
        <v>0</v>
      </c>
      <c r="X41" s="277">
        <f t="shared" si="3"/>
        <v>3.3153846153846156</v>
      </c>
      <c r="Y41" s="252"/>
      <c r="Z41" s="273"/>
      <c r="AA41" s="263" t="s">
        <v>171</v>
      </c>
      <c r="AB41" s="545"/>
      <c r="AC41" s="628">
        <f t="shared" si="0"/>
        <v>6.6307692307692312</v>
      </c>
    </row>
    <row r="42" spans="1:29" s="256" customFormat="1" ht="16.5" customHeight="1" x14ac:dyDescent="0.2">
      <c r="A42" s="287">
        <v>35</v>
      </c>
      <c r="B42" s="245"/>
      <c r="C42" s="246">
        <v>2022</v>
      </c>
      <c r="D42" s="269" t="s">
        <v>1120</v>
      </c>
      <c r="E42" s="270" t="s">
        <v>1121</v>
      </c>
      <c r="F42" s="242">
        <v>8.1999999999999993</v>
      </c>
      <c r="G42" s="242">
        <v>8</v>
      </c>
      <c r="H42" s="242">
        <v>8</v>
      </c>
      <c r="I42" s="242">
        <v>8</v>
      </c>
      <c r="J42" s="242">
        <v>8</v>
      </c>
      <c r="K42" s="242">
        <v>8</v>
      </c>
      <c r="L42" s="242">
        <v>8</v>
      </c>
      <c r="M42" s="242">
        <v>7.5</v>
      </c>
      <c r="N42" s="242">
        <v>8</v>
      </c>
      <c r="O42" s="242">
        <v>8</v>
      </c>
      <c r="P42" s="242">
        <v>8</v>
      </c>
      <c r="Q42" s="242">
        <v>8</v>
      </c>
      <c r="R42" s="242">
        <v>7</v>
      </c>
      <c r="S42" s="243">
        <f t="shared" si="1"/>
        <v>7.9</v>
      </c>
      <c r="T42" s="242"/>
      <c r="U42" s="242"/>
      <c r="V42" s="242"/>
      <c r="W42" s="277">
        <f t="shared" si="4"/>
        <v>0</v>
      </c>
      <c r="X42" s="277">
        <f t="shared" si="3"/>
        <v>3.95</v>
      </c>
      <c r="Y42" s="252"/>
      <c r="Z42" s="273"/>
      <c r="AA42" s="263" t="s">
        <v>18</v>
      </c>
      <c r="AB42" s="545"/>
      <c r="AC42" s="357">
        <f t="shared" si="0"/>
        <v>7.9</v>
      </c>
    </row>
    <row r="43" spans="1:29" s="256" customFormat="1" ht="16.5" customHeight="1" x14ac:dyDescent="0.2">
      <c r="A43" s="287">
        <v>36</v>
      </c>
      <c r="B43" s="245"/>
      <c r="C43" s="246">
        <v>2022</v>
      </c>
      <c r="D43" s="269" t="s">
        <v>1122</v>
      </c>
      <c r="E43" s="270" t="s">
        <v>1123</v>
      </c>
      <c r="F43" s="242">
        <v>7</v>
      </c>
      <c r="G43" s="242">
        <v>8</v>
      </c>
      <c r="H43" s="242">
        <v>7</v>
      </c>
      <c r="I43" s="242">
        <v>7</v>
      </c>
      <c r="J43" s="242">
        <v>8</v>
      </c>
      <c r="K43" s="242">
        <v>8</v>
      </c>
      <c r="L43" s="242">
        <v>6</v>
      </c>
      <c r="M43" s="242">
        <v>7</v>
      </c>
      <c r="N43" s="242">
        <v>7</v>
      </c>
      <c r="O43" s="242">
        <v>7</v>
      </c>
      <c r="P43" s="242">
        <v>7</v>
      </c>
      <c r="Q43" s="242">
        <v>7.5</v>
      </c>
      <c r="R43" s="242">
        <v>7.5</v>
      </c>
      <c r="S43" s="243">
        <f t="shared" si="1"/>
        <v>7.2307692307692308</v>
      </c>
      <c r="T43" s="242"/>
      <c r="U43" s="242"/>
      <c r="V43" s="242"/>
      <c r="W43" s="277">
        <f t="shared" si="4"/>
        <v>0</v>
      </c>
      <c r="X43" s="277">
        <f t="shared" si="3"/>
        <v>3.6153846153846154</v>
      </c>
      <c r="Y43" s="252"/>
      <c r="Z43" s="273"/>
      <c r="AA43" s="263" t="s">
        <v>170</v>
      </c>
      <c r="AB43" s="545"/>
      <c r="AC43" s="357">
        <f t="shared" si="0"/>
        <v>7.2307692307692308</v>
      </c>
    </row>
    <row r="44" spans="1:29" s="256" customFormat="1" ht="16.5" customHeight="1" x14ac:dyDescent="0.2">
      <c r="A44" s="287">
        <v>37</v>
      </c>
      <c r="B44" s="245"/>
      <c r="C44" s="246">
        <v>2022</v>
      </c>
      <c r="D44" s="269" t="s">
        <v>1124</v>
      </c>
      <c r="E44" s="270" t="s">
        <v>1125</v>
      </c>
      <c r="F44" s="242">
        <v>7.6</v>
      </c>
      <c r="G44" s="242">
        <v>8</v>
      </c>
      <c r="H44" s="242">
        <v>6.5</v>
      </c>
      <c r="I44" s="242">
        <v>7</v>
      </c>
      <c r="J44" s="242">
        <v>7</v>
      </c>
      <c r="K44" s="242">
        <v>7.5</v>
      </c>
      <c r="L44" s="242">
        <v>7</v>
      </c>
      <c r="M44" s="242">
        <v>7.5</v>
      </c>
      <c r="N44" s="242">
        <v>7</v>
      </c>
      <c r="O44" s="242">
        <v>7</v>
      </c>
      <c r="P44" s="242">
        <v>7.5</v>
      </c>
      <c r="Q44" s="242">
        <v>7</v>
      </c>
      <c r="R44" s="242">
        <v>7</v>
      </c>
      <c r="S44" s="243">
        <f t="shared" si="1"/>
        <v>7.1999999999999993</v>
      </c>
      <c r="T44" s="242"/>
      <c r="U44" s="242"/>
      <c r="V44" s="242"/>
      <c r="W44" s="277">
        <f t="shared" si="4"/>
        <v>0</v>
      </c>
      <c r="X44" s="277">
        <f t="shared" si="3"/>
        <v>3.5999999999999996</v>
      </c>
      <c r="Y44" s="252"/>
      <c r="Z44" s="273"/>
      <c r="AA44" s="263" t="s">
        <v>831</v>
      </c>
      <c r="AB44" s="545"/>
      <c r="AC44" s="357">
        <f t="shared" si="0"/>
        <v>7.1999999999999993</v>
      </c>
    </row>
    <row r="45" spans="1:29" s="256" customFormat="1" ht="16.5" customHeight="1" x14ac:dyDescent="0.2">
      <c r="A45" s="287">
        <v>38</v>
      </c>
      <c r="B45" s="245"/>
      <c r="C45" s="246">
        <v>2022</v>
      </c>
      <c r="D45" s="269" t="s">
        <v>584</v>
      </c>
      <c r="E45" s="270" t="s">
        <v>973</v>
      </c>
      <c r="F45" s="242">
        <v>7</v>
      </c>
      <c r="G45" s="242">
        <v>6</v>
      </c>
      <c r="H45" s="242">
        <v>7.5</v>
      </c>
      <c r="I45" s="242">
        <v>7.5</v>
      </c>
      <c r="J45" s="242">
        <v>7</v>
      </c>
      <c r="K45" s="242">
        <v>7.5</v>
      </c>
      <c r="L45" s="242">
        <v>7</v>
      </c>
      <c r="M45" s="242">
        <v>7</v>
      </c>
      <c r="N45" s="242">
        <v>7</v>
      </c>
      <c r="O45" s="242">
        <v>7.5</v>
      </c>
      <c r="P45" s="242">
        <v>5.5</v>
      </c>
      <c r="Q45" s="242">
        <v>6.5</v>
      </c>
      <c r="R45" s="242">
        <v>6.5</v>
      </c>
      <c r="S45" s="243">
        <f t="shared" si="1"/>
        <v>6.884615384615385</v>
      </c>
      <c r="T45" s="242"/>
      <c r="U45" s="242"/>
      <c r="V45" s="242"/>
      <c r="W45" s="277">
        <f t="shared" si="4"/>
        <v>0</v>
      </c>
      <c r="X45" s="277">
        <f t="shared" si="3"/>
        <v>3.4423076923076925</v>
      </c>
      <c r="Y45" s="252"/>
      <c r="Z45" s="273"/>
      <c r="AA45" s="263" t="s">
        <v>184</v>
      </c>
      <c r="AB45" s="545"/>
      <c r="AC45" s="628">
        <f t="shared" si="0"/>
        <v>6.884615384615385</v>
      </c>
    </row>
    <row r="46" spans="1:29" s="256" customFormat="1" ht="16.5" customHeight="1" x14ac:dyDescent="0.2">
      <c r="A46" s="287">
        <v>39</v>
      </c>
      <c r="B46" s="245"/>
      <c r="C46" s="246">
        <v>2022</v>
      </c>
      <c r="D46" s="269" t="s">
        <v>1126</v>
      </c>
      <c r="E46" s="270" t="s">
        <v>1127</v>
      </c>
      <c r="F46" s="242">
        <v>7</v>
      </c>
      <c r="G46" s="242">
        <v>7.5</v>
      </c>
      <c r="H46" s="242">
        <v>8</v>
      </c>
      <c r="I46" s="242">
        <v>8</v>
      </c>
      <c r="J46" s="242">
        <v>6.5</v>
      </c>
      <c r="K46" s="242">
        <v>8</v>
      </c>
      <c r="L46" s="242">
        <v>7</v>
      </c>
      <c r="M46" s="242">
        <v>7</v>
      </c>
      <c r="N46" s="242">
        <v>7</v>
      </c>
      <c r="O46" s="242">
        <v>7</v>
      </c>
      <c r="P46" s="242">
        <v>7</v>
      </c>
      <c r="Q46" s="242">
        <v>7.5</v>
      </c>
      <c r="R46" s="242">
        <v>7</v>
      </c>
      <c r="S46" s="243">
        <f t="shared" si="1"/>
        <v>7.2692307692307692</v>
      </c>
      <c r="T46" s="242"/>
      <c r="U46" s="242"/>
      <c r="V46" s="242"/>
      <c r="W46" s="277">
        <f t="shared" si="4"/>
        <v>0</v>
      </c>
      <c r="X46" s="277">
        <f t="shared" si="3"/>
        <v>3.6346153846153846</v>
      </c>
      <c r="Y46" s="252"/>
      <c r="Z46" s="273"/>
      <c r="AA46" s="263" t="s">
        <v>240</v>
      </c>
      <c r="AB46" s="545"/>
      <c r="AC46" s="357">
        <f t="shared" si="0"/>
        <v>7.2692307692307692</v>
      </c>
    </row>
    <row r="47" spans="1:29" s="256" customFormat="1" ht="16.5" customHeight="1" x14ac:dyDescent="0.2">
      <c r="A47" s="287">
        <v>40</v>
      </c>
      <c r="B47" s="245"/>
      <c r="C47" s="246">
        <v>2022</v>
      </c>
      <c r="D47" s="269" t="s">
        <v>1128</v>
      </c>
      <c r="E47" s="270" t="s">
        <v>712</v>
      </c>
      <c r="F47" s="242">
        <v>7.8</v>
      </c>
      <c r="G47" s="242">
        <v>8</v>
      </c>
      <c r="H47" s="242">
        <v>8</v>
      </c>
      <c r="I47" s="242">
        <v>7</v>
      </c>
      <c r="J47" s="242">
        <v>8</v>
      </c>
      <c r="K47" s="242">
        <v>7</v>
      </c>
      <c r="L47" s="242">
        <v>6</v>
      </c>
      <c r="M47" s="242">
        <v>7</v>
      </c>
      <c r="N47" s="242">
        <v>7</v>
      </c>
      <c r="O47" s="242">
        <v>8</v>
      </c>
      <c r="P47" s="242">
        <v>7</v>
      </c>
      <c r="Q47" s="242">
        <v>7.5</v>
      </c>
      <c r="R47" s="242">
        <v>7</v>
      </c>
      <c r="S47" s="243">
        <f t="shared" si="1"/>
        <v>7.3307692307692305</v>
      </c>
      <c r="T47" s="242"/>
      <c r="U47" s="242"/>
      <c r="V47" s="242"/>
      <c r="W47" s="277">
        <f t="shared" si="4"/>
        <v>0</v>
      </c>
      <c r="X47" s="277">
        <f t="shared" si="3"/>
        <v>3.6653846153846152</v>
      </c>
      <c r="Y47" s="252"/>
      <c r="Z47" s="273"/>
      <c r="AA47" s="263" t="s">
        <v>178</v>
      </c>
      <c r="AB47" s="545"/>
      <c r="AC47" s="357">
        <f t="shared" si="0"/>
        <v>7.3307692307692305</v>
      </c>
    </row>
    <row r="48" spans="1:29" s="256" customFormat="1" ht="16.5" customHeight="1" x14ac:dyDescent="0.2">
      <c r="A48" s="287">
        <v>41</v>
      </c>
      <c r="B48" s="245"/>
      <c r="C48" s="246">
        <v>2022</v>
      </c>
      <c r="D48" s="269" t="s">
        <v>1129</v>
      </c>
      <c r="E48" s="270" t="s">
        <v>1130</v>
      </c>
      <c r="F48" s="242">
        <v>6.4</v>
      </c>
      <c r="G48" s="242">
        <v>6</v>
      </c>
      <c r="H48" s="242">
        <v>7.5</v>
      </c>
      <c r="I48" s="242">
        <v>6.5</v>
      </c>
      <c r="J48" s="242">
        <v>7</v>
      </c>
      <c r="K48" s="242">
        <v>7.5</v>
      </c>
      <c r="L48" s="242">
        <v>8</v>
      </c>
      <c r="M48" s="242">
        <v>7</v>
      </c>
      <c r="N48" s="242">
        <v>7</v>
      </c>
      <c r="O48" s="242">
        <v>8</v>
      </c>
      <c r="P48" s="242">
        <v>7</v>
      </c>
      <c r="Q48" s="242">
        <v>6.5</v>
      </c>
      <c r="R48" s="242">
        <v>7</v>
      </c>
      <c r="S48" s="243">
        <f t="shared" si="1"/>
        <v>7.0307692307692315</v>
      </c>
      <c r="T48" s="242"/>
      <c r="U48" s="242"/>
      <c r="V48" s="242"/>
      <c r="W48" s="277">
        <f t="shared" si="4"/>
        <v>0</v>
      </c>
      <c r="X48" s="277">
        <f t="shared" si="3"/>
        <v>3.5153846153846158</v>
      </c>
      <c r="Y48" s="252"/>
      <c r="Z48" s="273"/>
      <c r="AA48" s="263" t="s">
        <v>241</v>
      </c>
      <c r="AB48" s="545"/>
      <c r="AC48" s="357">
        <f t="shared" si="0"/>
        <v>7.0307692307692315</v>
      </c>
    </row>
    <row r="49" spans="1:29" s="256" customFormat="1" ht="16.5" customHeight="1" x14ac:dyDescent="0.2">
      <c r="A49" s="287">
        <v>42</v>
      </c>
      <c r="B49" s="245"/>
      <c r="C49" s="246">
        <v>2022</v>
      </c>
      <c r="D49" s="269" t="s">
        <v>1131</v>
      </c>
      <c r="E49" s="270" t="s">
        <v>871</v>
      </c>
      <c r="F49" s="242">
        <v>7</v>
      </c>
      <c r="G49" s="242">
        <v>8</v>
      </c>
      <c r="H49" s="242">
        <v>8</v>
      </c>
      <c r="I49" s="242">
        <v>8</v>
      </c>
      <c r="J49" s="242">
        <v>8</v>
      </c>
      <c r="K49" s="242">
        <v>7.5</v>
      </c>
      <c r="L49" s="242">
        <v>5.5</v>
      </c>
      <c r="M49" s="242">
        <v>7.5</v>
      </c>
      <c r="N49" s="242">
        <v>6.5</v>
      </c>
      <c r="O49" s="242">
        <v>6.5</v>
      </c>
      <c r="P49" s="242">
        <v>7</v>
      </c>
      <c r="Q49" s="242">
        <v>6</v>
      </c>
      <c r="R49" s="242">
        <v>7</v>
      </c>
      <c r="S49" s="243">
        <f t="shared" si="1"/>
        <v>7.115384615384615</v>
      </c>
      <c r="T49" s="242"/>
      <c r="U49" s="242"/>
      <c r="V49" s="242"/>
      <c r="W49" s="277">
        <f t="shared" si="4"/>
        <v>0</v>
      </c>
      <c r="X49" s="277">
        <f t="shared" si="3"/>
        <v>3.5576923076923075</v>
      </c>
      <c r="Y49" s="252"/>
      <c r="Z49" s="273"/>
      <c r="AA49" s="263" t="s">
        <v>185</v>
      </c>
      <c r="AB49" s="545"/>
      <c r="AC49" s="357">
        <f t="shared" si="0"/>
        <v>7.115384615384615</v>
      </c>
    </row>
    <row r="50" spans="1:29" s="256" customFormat="1" ht="16.5" customHeight="1" x14ac:dyDescent="0.2">
      <c r="A50" s="287">
        <v>43</v>
      </c>
      <c r="B50" s="245"/>
      <c r="C50" s="246">
        <v>2022</v>
      </c>
      <c r="D50" s="269" t="s">
        <v>1132</v>
      </c>
      <c r="E50" s="270" t="s">
        <v>1133</v>
      </c>
      <c r="F50" s="242">
        <v>7.6</v>
      </c>
      <c r="G50" s="242">
        <v>8</v>
      </c>
      <c r="H50" s="242">
        <v>7.5</v>
      </c>
      <c r="I50" s="242">
        <v>7.5</v>
      </c>
      <c r="J50" s="242">
        <v>7</v>
      </c>
      <c r="K50" s="242">
        <v>6.5</v>
      </c>
      <c r="L50" s="242">
        <v>7</v>
      </c>
      <c r="M50" s="242">
        <v>7</v>
      </c>
      <c r="N50" s="242">
        <v>6.5</v>
      </c>
      <c r="O50" s="242">
        <v>7.5</v>
      </c>
      <c r="P50" s="242">
        <v>7</v>
      </c>
      <c r="Q50" s="242">
        <v>7</v>
      </c>
      <c r="R50" s="242">
        <v>6.5</v>
      </c>
      <c r="S50" s="243">
        <f t="shared" si="1"/>
        <v>7.1230769230769226</v>
      </c>
      <c r="T50" s="242"/>
      <c r="U50" s="242"/>
      <c r="V50" s="242"/>
      <c r="W50" s="277">
        <f t="shared" si="4"/>
        <v>0</v>
      </c>
      <c r="X50" s="277">
        <f t="shared" si="3"/>
        <v>3.5615384615384613</v>
      </c>
      <c r="Y50" s="252"/>
      <c r="Z50" s="273"/>
      <c r="AA50" s="263" t="s">
        <v>173</v>
      </c>
      <c r="AB50" s="545"/>
      <c r="AC50" s="357">
        <f t="shared" si="0"/>
        <v>7.1230769230769226</v>
      </c>
    </row>
    <row r="51" spans="1:29" s="256" customFormat="1" ht="16.5" customHeight="1" x14ac:dyDescent="0.2">
      <c r="A51" s="287">
        <v>44</v>
      </c>
      <c r="B51" s="245"/>
      <c r="C51" s="246">
        <v>2022</v>
      </c>
      <c r="D51" s="269" t="s">
        <v>1134</v>
      </c>
      <c r="E51" s="270" t="s">
        <v>1135</v>
      </c>
      <c r="F51" s="242">
        <v>7</v>
      </c>
      <c r="G51" s="242">
        <v>7</v>
      </c>
      <c r="H51" s="242">
        <v>8</v>
      </c>
      <c r="I51" s="242">
        <v>7</v>
      </c>
      <c r="J51" s="242">
        <v>7</v>
      </c>
      <c r="K51" s="242">
        <v>7</v>
      </c>
      <c r="L51" s="242">
        <v>6</v>
      </c>
      <c r="M51" s="242">
        <v>7.5</v>
      </c>
      <c r="N51" s="242">
        <v>7</v>
      </c>
      <c r="O51" s="242">
        <v>7</v>
      </c>
      <c r="P51" s="242">
        <v>7</v>
      </c>
      <c r="Q51" s="242">
        <v>8</v>
      </c>
      <c r="R51" s="242">
        <v>6.5</v>
      </c>
      <c r="S51" s="243">
        <f t="shared" si="1"/>
        <v>7.0769230769230766</v>
      </c>
      <c r="T51" s="242"/>
      <c r="U51" s="242"/>
      <c r="V51" s="242"/>
      <c r="W51" s="277">
        <f t="shared" si="4"/>
        <v>0</v>
      </c>
      <c r="X51" s="277">
        <f t="shared" si="3"/>
        <v>3.5384615384615383</v>
      </c>
      <c r="Y51" s="252"/>
      <c r="Z51" s="273"/>
      <c r="AA51" s="263" t="s">
        <v>190</v>
      </c>
      <c r="AB51" s="545"/>
      <c r="AC51" s="357">
        <f t="shared" si="0"/>
        <v>7.0769230769230766</v>
      </c>
    </row>
    <row r="52" spans="1:29" s="256" customFormat="1" ht="16.5" customHeight="1" x14ac:dyDescent="0.3">
      <c r="A52" s="287">
        <v>45</v>
      </c>
      <c r="B52" s="245"/>
      <c r="C52" s="246">
        <v>2022</v>
      </c>
      <c r="D52" s="269" t="s">
        <v>1136</v>
      </c>
      <c r="E52" s="270" t="s">
        <v>1137</v>
      </c>
      <c r="F52" s="242">
        <v>7</v>
      </c>
      <c r="G52" s="242">
        <v>7</v>
      </c>
      <c r="H52" s="242">
        <v>8</v>
      </c>
      <c r="I52" s="242">
        <v>8</v>
      </c>
      <c r="J52" s="242">
        <v>6</v>
      </c>
      <c r="K52" s="242">
        <v>6.5</v>
      </c>
      <c r="L52" s="242">
        <v>7</v>
      </c>
      <c r="M52" s="242">
        <v>7.5</v>
      </c>
      <c r="N52" s="242">
        <v>7</v>
      </c>
      <c r="O52" s="242">
        <v>6</v>
      </c>
      <c r="P52" s="242">
        <v>7</v>
      </c>
      <c r="Q52" s="242">
        <v>7.5</v>
      </c>
      <c r="R52" s="242">
        <v>7</v>
      </c>
      <c r="S52" s="243">
        <f t="shared" si="1"/>
        <v>7.0384615384615383</v>
      </c>
      <c r="T52" s="242"/>
      <c r="U52" s="242"/>
      <c r="V52" s="242"/>
      <c r="W52" s="277">
        <f t="shared" si="4"/>
        <v>0</v>
      </c>
      <c r="X52" s="277">
        <f t="shared" si="3"/>
        <v>3.5192307692307692</v>
      </c>
      <c r="Y52" s="252"/>
      <c r="Z52" s="273"/>
      <c r="AA52" s="263" t="s">
        <v>1792</v>
      </c>
      <c r="AB52" s="545"/>
      <c r="AC52" s="357">
        <f t="shared" si="0"/>
        <v>7.0384615384615383</v>
      </c>
    </row>
    <row r="53" spans="1:29" s="256" customFormat="1" ht="16.5" customHeight="1" x14ac:dyDescent="0.3">
      <c r="A53" s="287">
        <v>46</v>
      </c>
      <c r="B53" s="245"/>
      <c r="C53" s="246">
        <v>2022</v>
      </c>
      <c r="D53" s="269" t="s">
        <v>1138</v>
      </c>
      <c r="E53" s="270" t="s">
        <v>1139</v>
      </c>
      <c r="F53" s="242">
        <v>6.4</v>
      </c>
      <c r="G53" s="242">
        <v>7</v>
      </c>
      <c r="H53" s="242">
        <v>6.5</v>
      </c>
      <c r="I53" s="242">
        <v>7.5</v>
      </c>
      <c r="J53" s="242">
        <v>7.5</v>
      </c>
      <c r="K53" s="242">
        <v>6.5</v>
      </c>
      <c r="L53" s="242">
        <v>7</v>
      </c>
      <c r="M53" s="242">
        <v>7</v>
      </c>
      <c r="N53" s="242">
        <v>7</v>
      </c>
      <c r="O53" s="242">
        <v>7.5</v>
      </c>
      <c r="P53" s="242">
        <v>7</v>
      </c>
      <c r="Q53" s="242">
        <v>7</v>
      </c>
      <c r="R53" s="242">
        <v>7</v>
      </c>
      <c r="S53" s="243">
        <f t="shared" si="1"/>
        <v>6.9923076923076923</v>
      </c>
      <c r="T53" s="242"/>
      <c r="U53" s="242"/>
      <c r="V53" s="242"/>
      <c r="W53" s="277">
        <f t="shared" si="4"/>
        <v>0</v>
      </c>
      <c r="X53" s="277">
        <f t="shared" si="3"/>
        <v>3.4961538461538462</v>
      </c>
      <c r="Y53" s="252"/>
      <c r="Z53" s="273"/>
      <c r="AA53" s="263" t="s">
        <v>1792</v>
      </c>
      <c r="AB53" s="545"/>
      <c r="AC53" s="628">
        <f t="shared" si="0"/>
        <v>6.9923076923076923</v>
      </c>
    </row>
    <row r="54" spans="1:29" s="256" customFormat="1" ht="16.5" customHeight="1" x14ac:dyDescent="0.2">
      <c r="A54" s="287">
        <v>47</v>
      </c>
      <c r="B54" s="245"/>
      <c r="C54" s="246">
        <v>2022</v>
      </c>
      <c r="D54" s="269" t="s">
        <v>593</v>
      </c>
      <c r="E54" s="270" t="s">
        <v>1140</v>
      </c>
      <c r="F54" s="292">
        <v>7.8</v>
      </c>
      <c r="G54" s="242">
        <v>7</v>
      </c>
      <c r="H54" s="242">
        <v>8</v>
      </c>
      <c r="I54" s="242">
        <v>7.5</v>
      </c>
      <c r="J54" s="242">
        <v>7</v>
      </c>
      <c r="K54" s="242">
        <v>7</v>
      </c>
      <c r="L54" s="242">
        <v>6.5</v>
      </c>
      <c r="M54" s="242">
        <v>7</v>
      </c>
      <c r="N54" s="242">
        <v>7</v>
      </c>
      <c r="O54" s="242">
        <v>7.5</v>
      </c>
      <c r="P54" s="242">
        <v>6</v>
      </c>
      <c r="Q54" s="242">
        <v>7</v>
      </c>
      <c r="R54" s="242">
        <v>6.5</v>
      </c>
      <c r="S54" s="243">
        <f t="shared" si="1"/>
        <v>7.0615384615384613</v>
      </c>
      <c r="T54" s="242"/>
      <c r="U54" s="242"/>
      <c r="V54" s="242"/>
      <c r="W54" s="277">
        <f t="shared" si="4"/>
        <v>0</v>
      </c>
      <c r="X54" s="277">
        <f t="shared" si="3"/>
        <v>3.5307692307692307</v>
      </c>
      <c r="Y54" s="252"/>
      <c r="Z54" s="273"/>
      <c r="AA54" s="263" t="s">
        <v>182</v>
      </c>
      <c r="AB54" s="545"/>
      <c r="AC54" s="357">
        <f t="shared" si="0"/>
        <v>7.0615384615384613</v>
      </c>
    </row>
    <row r="55" spans="1:29" s="256" customFormat="1" ht="16.5" customHeight="1" x14ac:dyDescent="0.2">
      <c r="A55" s="287">
        <v>48</v>
      </c>
      <c r="B55" s="245"/>
      <c r="C55" s="246">
        <v>2022</v>
      </c>
      <c r="D55" s="269" t="s">
        <v>1141</v>
      </c>
      <c r="E55" s="270" t="s">
        <v>1016</v>
      </c>
      <c r="F55" s="242">
        <v>7</v>
      </c>
      <c r="G55" s="242">
        <v>7</v>
      </c>
      <c r="H55" s="242">
        <v>7.5</v>
      </c>
      <c r="I55" s="242">
        <v>7</v>
      </c>
      <c r="J55" s="242">
        <v>7</v>
      </c>
      <c r="K55" s="242">
        <v>7</v>
      </c>
      <c r="L55" s="242">
        <v>6</v>
      </c>
      <c r="M55" s="242">
        <v>6.5</v>
      </c>
      <c r="N55" s="242">
        <v>7</v>
      </c>
      <c r="O55" s="242">
        <v>8</v>
      </c>
      <c r="P55" s="242">
        <v>7</v>
      </c>
      <c r="Q55" s="242">
        <v>7</v>
      </c>
      <c r="R55" s="242">
        <v>7</v>
      </c>
      <c r="S55" s="243">
        <f t="shared" si="1"/>
        <v>7</v>
      </c>
      <c r="T55" s="242"/>
      <c r="U55" s="242"/>
      <c r="V55" s="242"/>
      <c r="W55" s="277">
        <f t="shared" ref="W55:W77" si="5">SUM(T55:V55)/3</f>
        <v>0</v>
      </c>
      <c r="X55" s="277">
        <f t="shared" si="3"/>
        <v>3.5</v>
      </c>
      <c r="Y55" s="252"/>
      <c r="Z55" s="273"/>
      <c r="AA55" s="263" t="s">
        <v>192</v>
      </c>
      <c r="AB55" s="545"/>
      <c r="AC55" s="357">
        <f t="shared" si="0"/>
        <v>7</v>
      </c>
    </row>
    <row r="56" spans="1:29" s="256" customFormat="1" ht="16.5" customHeight="1" x14ac:dyDescent="0.2">
      <c r="A56" s="287">
        <v>49</v>
      </c>
      <c r="B56" s="245"/>
      <c r="C56" s="246">
        <v>2022</v>
      </c>
      <c r="D56" s="293" t="s">
        <v>1142</v>
      </c>
      <c r="E56" s="270" t="s">
        <v>272</v>
      </c>
      <c r="F56" s="242">
        <v>8</v>
      </c>
      <c r="G56" s="242">
        <v>8</v>
      </c>
      <c r="H56" s="242">
        <v>6.5</v>
      </c>
      <c r="I56" s="242">
        <v>8</v>
      </c>
      <c r="J56" s="242">
        <v>8</v>
      </c>
      <c r="K56" s="242">
        <v>8</v>
      </c>
      <c r="L56" s="242">
        <v>8</v>
      </c>
      <c r="M56" s="242">
        <v>8</v>
      </c>
      <c r="N56" s="242">
        <v>8</v>
      </c>
      <c r="O56" s="242">
        <v>8</v>
      </c>
      <c r="P56" s="242">
        <v>7</v>
      </c>
      <c r="Q56" s="242">
        <v>8</v>
      </c>
      <c r="R56" s="242">
        <v>8</v>
      </c>
      <c r="S56" s="243">
        <f t="shared" si="1"/>
        <v>7.8076923076923075</v>
      </c>
      <c r="T56" s="242"/>
      <c r="U56" s="242"/>
      <c r="V56" s="242"/>
      <c r="W56" s="277">
        <f t="shared" si="5"/>
        <v>0</v>
      </c>
      <c r="X56" s="277">
        <f t="shared" si="3"/>
        <v>3.9038461538461537</v>
      </c>
      <c r="Y56" s="252"/>
      <c r="Z56" s="273"/>
      <c r="AA56" s="263" t="s">
        <v>218</v>
      </c>
      <c r="AB56" s="545"/>
      <c r="AC56" s="357">
        <f t="shared" si="0"/>
        <v>7.8076923076923075</v>
      </c>
    </row>
    <row r="57" spans="1:29" s="256" customFormat="1" ht="16.5" customHeight="1" x14ac:dyDescent="0.2">
      <c r="A57" s="287">
        <v>50</v>
      </c>
      <c r="B57" s="245"/>
      <c r="C57" s="246">
        <v>2022</v>
      </c>
      <c r="D57" s="269" t="s">
        <v>1143</v>
      </c>
      <c r="E57" s="270" t="s">
        <v>1144</v>
      </c>
      <c r="F57" s="292">
        <v>8.4</v>
      </c>
      <c r="G57" s="242">
        <v>7.5</v>
      </c>
      <c r="H57" s="242">
        <v>8</v>
      </c>
      <c r="I57" s="242">
        <v>8</v>
      </c>
      <c r="J57" s="242">
        <v>7</v>
      </c>
      <c r="K57" s="242">
        <v>8</v>
      </c>
      <c r="L57" s="242">
        <v>7</v>
      </c>
      <c r="M57" s="242">
        <v>7</v>
      </c>
      <c r="N57" s="242">
        <v>7.5</v>
      </c>
      <c r="O57" s="242">
        <v>7.5</v>
      </c>
      <c r="P57" s="242">
        <v>7.5</v>
      </c>
      <c r="Q57" s="242">
        <v>8</v>
      </c>
      <c r="R57" s="242">
        <v>7.5</v>
      </c>
      <c r="S57" s="243">
        <f t="shared" si="1"/>
        <v>7.6076923076923082</v>
      </c>
      <c r="T57" s="242"/>
      <c r="U57" s="242"/>
      <c r="V57" s="242"/>
      <c r="W57" s="277">
        <f t="shared" si="5"/>
        <v>0</v>
      </c>
      <c r="X57" s="277">
        <f t="shared" si="3"/>
        <v>3.8038461538461541</v>
      </c>
      <c r="Y57" s="252"/>
      <c r="Z57" s="273"/>
      <c r="AA57" s="263" t="s">
        <v>218</v>
      </c>
      <c r="AB57" s="545"/>
      <c r="AC57" s="357">
        <f t="shared" si="0"/>
        <v>7.6076923076923082</v>
      </c>
    </row>
    <row r="58" spans="1:29" s="256" customFormat="1" ht="16.5" customHeight="1" x14ac:dyDescent="0.2">
      <c r="A58" s="287">
        <v>51</v>
      </c>
      <c r="B58" s="245"/>
      <c r="C58" s="246">
        <v>2022</v>
      </c>
      <c r="D58" s="269" t="s">
        <v>1145</v>
      </c>
      <c r="E58" s="270" t="s">
        <v>152</v>
      </c>
      <c r="F58" s="242">
        <v>7.6</v>
      </c>
      <c r="G58" s="242">
        <v>8</v>
      </c>
      <c r="H58" s="242">
        <v>7.5</v>
      </c>
      <c r="I58" s="242">
        <v>7.5</v>
      </c>
      <c r="J58" s="242">
        <v>7.5</v>
      </c>
      <c r="K58" s="242">
        <v>7.5</v>
      </c>
      <c r="L58" s="242">
        <v>7</v>
      </c>
      <c r="M58" s="242">
        <v>6.5</v>
      </c>
      <c r="N58" s="242">
        <v>7.5</v>
      </c>
      <c r="O58" s="242">
        <v>7</v>
      </c>
      <c r="P58" s="242">
        <v>7</v>
      </c>
      <c r="Q58" s="242">
        <v>7.5</v>
      </c>
      <c r="R58" s="242">
        <v>7.5</v>
      </c>
      <c r="S58" s="243">
        <f t="shared" si="1"/>
        <v>7.3538461538461535</v>
      </c>
      <c r="T58" s="242"/>
      <c r="U58" s="242"/>
      <c r="V58" s="242"/>
      <c r="W58" s="277">
        <f t="shared" si="5"/>
        <v>0</v>
      </c>
      <c r="X58" s="277">
        <f t="shared" si="3"/>
        <v>3.6769230769230767</v>
      </c>
      <c r="Y58" s="252"/>
      <c r="Z58" s="273"/>
      <c r="AA58" s="263" t="s">
        <v>208</v>
      </c>
      <c r="AB58" s="545"/>
      <c r="AC58" s="357">
        <f t="shared" si="0"/>
        <v>7.3538461538461535</v>
      </c>
    </row>
    <row r="59" spans="1:29" s="256" customFormat="1" ht="16.5" customHeight="1" x14ac:dyDescent="0.2">
      <c r="A59" s="287">
        <v>52</v>
      </c>
      <c r="B59" s="245"/>
      <c r="C59" s="246">
        <v>2022</v>
      </c>
      <c r="D59" s="269" t="s">
        <v>1146</v>
      </c>
      <c r="E59" s="270" t="s">
        <v>152</v>
      </c>
      <c r="F59" s="242">
        <v>7</v>
      </c>
      <c r="G59" s="242">
        <v>7.5</v>
      </c>
      <c r="H59" s="242">
        <v>6</v>
      </c>
      <c r="I59" s="242">
        <v>7</v>
      </c>
      <c r="J59" s="242">
        <v>7</v>
      </c>
      <c r="K59" s="242">
        <v>7.5</v>
      </c>
      <c r="L59" s="242">
        <v>7</v>
      </c>
      <c r="M59" s="242">
        <v>7</v>
      </c>
      <c r="N59" s="242">
        <v>7.5</v>
      </c>
      <c r="O59" s="242">
        <v>7.5</v>
      </c>
      <c r="P59" s="242">
        <v>7</v>
      </c>
      <c r="Q59" s="242">
        <v>7</v>
      </c>
      <c r="R59" s="242">
        <v>7</v>
      </c>
      <c r="S59" s="243">
        <f t="shared" si="1"/>
        <v>7.0769230769230766</v>
      </c>
      <c r="T59" s="242"/>
      <c r="U59" s="242"/>
      <c r="V59" s="242"/>
      <c r="W59" s="277">
        <f t="shared" si="5"/>
        <v>0</v>
      </c>
      <c r="X59" s="277">
        <f t="shared" si="3"/>
        <v>3.5384615384615383</v>
      </c>
      <c r="Y59" s="252"/>
      <c r="Z59" s="273"/>
      <c r="AA59" s="263" t="s">
        <v>219</v>
      </c>
      <c r="AB59" s="545"/>
      <c r="AC59" s="357">
        <f t="shared" si="0"/>
        <v>7.0769230769230766</v>
      </c>
    </row>
    <row r="60" spans="1:29" s="256" customFormat="1" ht="16.5" customHeight="1" x14ac:dyDescent="0.2">
      <c r="A60" s="287">
        <v>53</v>
      </c>
      <c r="B60" s="245"/>
      <c r="C60" s="246">
        <v>2022</v>
      </c>
      <c r="D60" s="269" t="s">
        <v>1147</v>
      </c>
      <c r="E60" s="270" t="s">
        <v>1148</v>
      </c>
      <c r="F60" s="242">
        <v>7</v>
      </c>
      <c r="G60" s="242">
        <v>7.5</v>
      </c>
      <c r="H60" s="242">
        <v>7</v>
      </c>
      <c r="I60" s="242">
        <v>8</v>
      </c>
      <c r="J60" s="242">
        <v>7.5</v>
      </c>
      <c r="K60" s="242">
        <v>7.5</v>
      </c>
      <c r="L60" s="242">
        <v>7</v>
      </c>
      <c r="M60" s="242">
        <v>7.5</v>
      </c>
      <c r="N60" s="242">
        <v>8</v>
      </c>
      <c r="O60" s="242">
        <v>6</v>
      </c>
      <c r="P60" s="242">
        <v>6.5</v>
      </c>
      <c r="Q60" s="242">
        <v>6</v>
      </c>
      <c r="R60" s="242">
        <v>7</v>
      </c>
      <c r="S60" s="243">
        <f t="shared" si="1"/>
        <v>7.115384615384615</v>
      </c>
      <c r="T60" s="242"/>
      <c r="U60" s="242"/>
      <c r="V60" s="242"/>
      <c r="W60" s="277"/>
      <c r="X60" s="277"/>
      <c r="Y60" s="252"/>
      <c r="Z60" s="273"/>
      <c r="AA60" s="263" t="s">
        <v>179</v>
      </c>
      <c r="AB60" s="545"/>
      <c r="AC60" s="357">
        <f t="shared" si="0"/>
        <v>7.115384615384615</v>
      </c>
    </row>
    <row r="61" spans="1:29" s="256" customFormat="1" ht="16.5" customHeight="1" x14ac:dyDescent="0.2">
      <c r="A61" s="287">
        <v>54</v>
      </c>
      <c r="B61" s="245"/>
      <c r="C61" s="246">
        <v>2022</v>
      </c>
      <c r="D61" s="269" t="s">
        <v>1149</v>
      </c>
      <c r="E61" s="270" t="s">
        <v>748</v>
      </c>
      <c r="F61" s="242">
        <v>7</v>
      </c>
      <c r="G61" s="242">
        <v>6.5</v>
      </c>
      <c r="H61" s="242">
        <v>7.5</v>
      </c>
      <c r="I61" s="242">
        <v>7</v>
      </c>
      <c r="J61" s="242">
        <v>7</v>
      </c>
      <c r="K61" s="242">
        <v>6</v>
      </c>
      <c r="L61" s="242">
        <v>6</v>
      </c>
      <c r="M61" s="242">
        <v>7</v>
      </c>
      <c r="N61" s="242">
        <v>7</v>
      </c>
      <c r="O61" s="242">
        <v>7</v>
      </c>
      <c r="P61" s="242">
        <v>6.5</v>
      </c>
      <c r="Q61" s="242">
        <v>7</v>
      </c>
      <c r="R61" s="242">
        <v>7</v>
      </c>
      <c r="S61" s="243">
        <f t="shared" si="1"/>
        <v>6.8076923076923075</v>
      </c>
      <c r="T61" s="242"/>
      <c r="U61" s="242"/>
      <c r="V61" s="242"/>
      <c r="W61" s="277"/>
      <c r="X61" s="277"/>
      <c r="Y61" s="252"/>
      <c r="Z61" s="273"/>
      <c r="AA61" s="263" t="s">
        <v>217</v>
      </c>
      <c r="AB61" s="545"/>
      <c r="AC61" s="628">
        <f t="shared" si="0"/>
        <v>6.8076923076923075</v>
      </c>
    </row>
    <row r="62" spans="1:29" s="256" customFormat="1" ht="16.5" customHeight="1" x14ac:dyDescent="0.2">
      <c r="A62" s="287">
        <v>55</v>
      </c>
      <c r="B62" s="245"/>
      <c r="C62" s="246">
        <v>2022</v>
      </c>
      <c r="D62" s="269" t="s">
        <v>1150</v>
      </c>
      <c r="E62" s="270" t="s">
        <v>985</v>
      </c>
      <c r="F62" s="242">
        <v>7</v>
      </c>
      <c r="G62" s="242">
        <v>7</v>
      </c>
      <c r="H62" s="242">
        <v>8</v>
      </c>
      <c r="I62" s="242">
        <v>8</v>
      </c>
      <c r="J62" s="242">
        <v>7.5</v>
      </c>
      <c r="K62" s="242">
        <v>8</v>
      </c>
      <c r="L62" s="242">
        <v>7</v>
      </c>
      <c r="M62" s="242">
        <v>7</v>
      </c>
      <c r="N62" s="242">
        <v>7</v>
      </c>
      <c r="O62" s="242">
        <v>7.5</v>
      </c>
      <c r="P62" s="242">
        <v>7</v>
      </c>
      <c r="Q62" s="242">
        <v>8</v>
      </c>
      <c r="R62" s="242">
        <v>7</v>
      </c>
      <c r="S62" s="243">
        <f t="shared" si="1"/>
        <v>7.384615384615385</v>
      </c>
      <c r="T62" s="242"/>
      <c r="U62" s="242"/>
      <c r="V62" s="242"/>
      <c r="W62" s="277"/>
      <c r="X62" s="277"/>
      <c r="Y62" s="252"/>
      <c r="Z62" s="273"/>
      <c r="AA62" s="263" t="s">
        <v>12</v>
      </c>
      <c r="AB62" s="545"/>
      <c r="AC62" s="357">
        <f t="shared" si="0"/>
        <v>7.384615384615385</v>
      </c>
    </row>
    <row r="63" spans="1:29" s="256" customFormat="1" ht="16.5" customHeight="1" x14ac:dyDescent="0.2">
      <c r="A63" s="287">
        <v>56</v>
      </c>
      <c r="B63" s="245"/>
      <c r="C63" s="246">
        <v>2022</v>
      </c>
      <c r="D63" s="269" t="s">
        <v>1151</v>
      </c>
      <c r="E63" s="270" t="s">
        <v>1152</v>
      </c>
      <c r="F63" s="242">
        <v>7</v>
      </c>
      <c r="G63" s="242">
        <v>6</v>
      </c>
      <c r="H63" s="242">
        <v>8</v>
      </c>
      <c r="I63" s="242">
        <v>6</v>
      </c>
      <c r="J63" s="242">
        <v>7</v>
      </c>
      <c r="K63" s="242">
        <v>7</v>
      </c>
      <c r="L63" s="242">
        <v>8</v>
      </c>
      <c r="M63" s="242">
        <v>7</v>
      </c>
      <c r="N63" s="242">
        <v>6.5</v>
      </c>
      <c r="O63" s="242">
        <v>8</v>
      </c>
      <c r="P63" s="242">
        <v>7</v>
      </c>
      <c r="Q63" s="242">
        <v>7</v>
      </c>
      <c r="R63" s="242">
        <v>7</v>
      </c>
      <c r="S63" s="243">
        <f t="shared" si="1"/>
        <v>7.0384615384615383</v>
      </c>
      <c r="T63" s="242"/>
      <c r="U63" s="242"/>
      <c r="V63" s="242"/>
      <c r="W63" s="277"/>
      <c r="X63" s="277"/>
      <c r="Y63" s="252"/>
      <c r="Z63" s="273"/>
      <c r="AA63" s="263" t="s">
        <v>181</v>
      </c>
      <c r="AB63" s="545"/>
      <c r="AC63" s="357">
        <f t="shared" si="0"/>
        <v>7.0384615384615383</v>
      </c>
    </row>
    <row r="64" spans="1:29" s="256" customFormat="1" ht="16.5" customHeight="1" x14ac:dyDescent="0.2">
      <c r="A64" s="287">
        <v>57</v>
      </c>
      <c r="B64" s="245"/>
      <c r="C64" s="246">
        <v>2022</v>
      </c>
      <c r="D64" s="269" t="s">
        <v>1153</v>
      </c>
      <c r="E64" s="270" t="s">
        <v>1154</v>
      </c>
      <c r="F64" s="242">
        <v>7</v>
      </c>
      <c r="G64" s="242">
        <v>8</v>
      </c>
      <c r="H64" s="242">
        <v>7.5</v>
      </c>
      <c r="I64" s="242">
        <v>6.5</v>
      </c>
      <c r="J64" s="242">
        <v>7.5</v>
      </c>
      <c r="K64" s="242">
        <v>7</v>
      </c>
      <c r="L64" s="242">
        <v>7</v>
      </c>
      <c r="M64" s="242">
        <v>6</v>
      </c>
      <c r="N64" s="242">
        <v>6</v>
      </c>
      <c r="O64" s="242">
        <v>6</v>
      </c>
      <c r="P64" s="242">
        <v>7</v>
      </c>
      <c r="Q64" s="242">
        <v>6</v>
      </c>
      <c r="R64" s="242">
        <v>7</v>
      </c>
      <c r="S64" s="243">
        <f t="shared" si="1"/>
        <v>6.8076923076923075</v>
      </c>
      <c r="T64" s="242"/>
      <c r="U64" s="242"/>
      <c r="V64" s="242"/>
      <c r="W64" s="277"/>
      <c r="X64" s="277"/>
      <c r="Y64" s="252"/>
      <c r="Z64" s="273"/>
      <c r="AA64" s="263" t="s">
        <v>184</v>
      </c>
      <c r="AB64" s="545"/>
      <c r="AC64" s="628">
        <f t="shared" si="0"/>
        <v>6.8076923076923075</v>
      </c>
    </row>
    <row r="65" spans="1:30" s="256" customFormat="1" ht="16.5" customHeight="1" x14ac:dyDescent="0.2">
      <c r="A65" s="287">
        <v>58</v>
      </c>
      <c r="B65" s="245"/>
      <c r="C65" s="246">
        <v>2022</v>
      </c>
      <c r="D65" s="269" t="s">
        <v>1155</v>
      </c>
      <c r="E65" s="270" t="s">
        <v>139</v>
      </c>
      <c r="F65" s="242">
        <v>8.6</v>
      </c>
      <c r="G65" s="242">
        <v>7.5</v>
      </c>
      <c r="H65" s="242">
        <v>8</v>
      </c>
      <c r="I65" s="242">
        <v>6.5</v>
      </c>
      <c r="J65" s="242">
        <v>7</v>
      </c>
      <c r="K65" s="242">
        <v>7</v>
      </c>
      <c r="L65" s="242">
        <v>7</v>
      </c>
      <c r="M65" s="242">
        <v>7</v>
      </c>
      <c r="N65" s="242">
        <v>6</v>
      </c>
      <c r="O65" s="242">
        <v>6</v>
      </c>
      <c r="P65" s="242">
        <v>5.5</v>
      </c>
      <c r="Q65" s="242">
        <v>6</v>
      </c>
      <c r="R65" s="242">
        <v>6.5</v>
      </c>
      <c r="S65" s="243">
        <f t="shared" si="1"/>
        <v>6.8153846153846152</v>
      </c>
      <c r="T65" s="242"/>
      <c r="U65" s="242"/>
      <c r="V65" s="242"/>
      <c r="W65" s="277"/>
      <c r="X65" s="277"/>
      <c r="Y65" s="252"/>
      <c r="Z65" s="273"/>
      <c r="AA65" s="263" t="s">
        <v>1197</v>
      </c>
      <c r="AB65" s="545"/>
      <c r="AC65" s="628">
        <f t="shared" si="0"/>
        <v>6.8153846153846152</v>
      </c>
    </row>
    <row r="66" spans="1:30" s="256" customFormat="1" ht="16.5" customHeight="1" x14ac:dyDescent="0.2">
      <c r="A66" s="287">
        <v>59</v>
      </c>
      <c r="B66" s="245"/>
      <c r="C66" s="246">
        <v>2022</v>
      </c>
      <c r="D66" s="269" t="s">
        <v>1156</v>
      </c>
      <c r="E66" s="270" t="s">
        <v>1157</v>
      </c>
      <c r="F66" s="242">
        <v>7.5</v>
      </c>
      <c r="G66" s="242">
        <v>8</v>
      </c>
      <c r="H66" s="242">
        <v>8</v>
      </c>
      <c r="I66" s="242">
        <v>7</v>
      </c>
      <c r="J66" s="242">
        <v>7</v>
      </c>
      <c r="K66" s="242">
        <v>7</v>
      </c>
      <c r="L66" s="242">
        <v>8</v>
      </c>
      <c r="M66" s="242">
        <v>7.5</v>
      </c>
      <c r="N66" s="242">
        <v>7</v>
      </c>
      <c r="O66" s="242">
        <v>8</v>
      </c>
      <c r="P66" s="242">
        <v>7</v>
      </c>
      <c r="Q66" s="242">
        <v>7</v>
      </c>
      <c r="R66" s="242">
        <v>7</v>
      </c>
      <c r="S66" s="243">
        <f t="shared" si="1"/>
        <v>7.384615384615385</v>
      </c>
      <c r="T66" s="242"/>
      <c r="U66" s="242"/>
      <c r="V66" s="242"/>
      <c r="W66" s="277"/>
      <c r="X66" s="277"/>
      <c r="Y66" s="252"/>
      <c r="Z66" s="273"/>
      <c r="AA66" s="263" t="s">
        <v>219</v>
      </c>
      <c r="AB66" s="545"/>
      <c r="AC66" s="357">
        <f t="shared" si="0"/>
        <v>7.384615384615385</v>
      </c>
    </row>
    <row r="67" spans="1:30" s="256" customFormat="1" ht="16.5" customHeight="1" x14ac:dyDescent="0.2">
      <c r="A67" s="287">
        <v>60</v>
      </c>
      <c r="B67" s="245"/>
      <c r="C67" s="246">
        <v>2022</v>
      </c>
      <c r="D67" s="269" t="s">
        <v>1158</v>
      </c>
      <c r="E67" s="270" t="s">
        <v>1159</v>
      </c>
      <c r="F67" s="242">
        <v>7.4</v>
      </c>
      <c r="G67" s="242">
        <v>8</v>
      </c>
      <c r="H67" s="242">
        <v>8</v>
      </c>
      <c r="I67" s="242">
        <v>6.5</v>
      </c>
      <c r="J67" s="242">
        <v>7</v>
      </c>
      <c r="K67" s="242">
        <v>7.5</v>
      </c>
      <c r="L67" s="242">
        <v>6</v>
      </c>
      <c r="M67" s="242">
        <v>7.5</v>
      </c>
      <c r="N67" s="242">
        <v>7</v>
      </c>
      <c r="O67" s="242">
        <v>7</v>
      </c>
      <c r="P67" s="242">
        <v>6</v>
      </c>
      <c r="Q67" s="242">
        <v>7</v>
      </c>
      <c r="R67" s="242">
        <v>7</v>
      </c>
      <c r="S67" s="243">
        <f t="shared" si="1"/>
        <v>7.0692307692307699</v>
      </c>
      <c r="T67" s="242"/>
      <c r="U67" s="242"/>
      <c r="V67" s="242"/>
      <c r="W67" s="277"/>
      <c r="X67" s="277"/>
      <c r="Y67" s="252"/>
      <c r="Z67" s="273"/>
      <c r="AA67" s="263" t="s">
        <v>171</v>
      </c>
      <c r="AB67" s="545"/>
      <c r="AC67" s="357">
        <f t="shared" si="0"/>
        <v>7.0692307692307699</v>
      </c>
    </row>
    <row r="68" spans="1:30" s="256" customFormat="1" ht="16.5" customHeight="1" x14ac:dyDescent="0.2">
      <c r="A68" s="287">
        <v>61</v>
      </c>
      <c r="B68" s="245"/>
      <c r="C68" s="246">
        <v>2022</v>
      </c>
      <c r="D68" s="269" t="s">
        <v>1160</v>
      </c>
      <c r="E68" s="270" t="s">
        <v>1161</v>
      </c>
      <c r="F68" s="242">
        <v>7.4</v>
      </c>
      <c r="G68" s="242">
        <v>7.5</v>
      </c>
      <c r="H68" s="242">
        <v>8</v>
      </c>
      <c r="I68" s="242">
        <v>7</v>
      </c>
      <c r="J68" s="242">
        <v>6</v>
      </c>
      <c r="K68" s="242">
        <v>7</v>
      </c>
      <c r="L68" s="242">
        <v>7</v>
      </c>
      <c r="M68" s="242">
        <v>7</v>
      </c>
      <c r="N68" s="242">
        <v>7</v>
      </c>
      <c r="O68" s="242">
        <v>7</v>
      </c>
      <c r="P68" s="242">
        <v>7</v>
      </c>
      <c r="Q68" s="242">
        <v>7</v>
      </c>
      <c r="R68" s="242">
        <v>7</v>
      </c>
      <c r="S68" s="243">
        <f t="shared" si="1"/>
        <v>7.0692307692307699</v>
      </c>
      <c r="T68" s="242"/>
      <c r="U68" s="242"/>
      <c r="V68" s="242"/>
      <c r="W68" s="277"/>
      <c r="X68" s="277"/>
      <c r="Y68" s="252"/>
      <c r="Z68" s="273"/>
      <c r="AA68" s="263" t="s">
        <v>190</v>
      </c>
      <c r="AB68" s="545"/>
      <c r="AC68" s="357">
        <f t="shared" si="0"/>
        <v>7.0692307692307699</v>
      </c>
    </row>
    <row r="69" spans="1:30" s="256" customFormat="1" ht="16.5" customHeight="1" x14ac:dyDescent="0.2">
      <c r="A69" s="287">
        <v>62</v>
      </c>
      <c r="B69" s="245"/>
      <c r="C69" s="246">
        <v>2022</v>
      </c>
      <c r="D69" s="269" t="s">
        <v>1162</v>
      </c>
      <c r="E69" s="270" t="s">
        <v>287</v>
      </c>
      <c r="F69" s="242">
        <v>7.8</v>
      </c>
      <c r="G69" s="242">
        <v>6.5</v>
      </c>
      <c r="H69" s="242">
        <v>8</v>
      </c>
      <c r="I69" s="242">
        <v>8</v>
      </c>
      <c r="J69" s="242">
        <v>7.5</v>
      </c>
      <c r="K69" s="242">
        <v>7.5</v>
      </c>
      <c r="L69" s="242">
        <v>8</v>
      </c>
      <c r="M69" s="242">
        <v>7</v>
      </c>
      <c r="N69" s="242">
        <v>8</v>
      </c>
      <c r="O69" s="242">
        <v>8</v>
      </c>
      <c r="P69" s="242">
        <v>7</v>
      </c>
      <c r="Q69" s="242">
        <v>8</v>
      </c>
      <c r="R69" s="242">
        <v>7</v>
      </c>
      <c r="S69" s="243">
        <f t="shared" si="1"/>
        <v>7.5615384615384613</v>
      </c>
      <c r="T69" s="242"/>
      <c r="U69" s="242"/>
      <c r="V69" s="242"/>
      <c r="W69" s="277"/>
      <c r="X69" s="277"/>
      <c r="Y69" s="252"/>
      <c r="Z69" s="273"/>
      <c r="AA69" s="263" t="s">
        <v>1198</v>
      </c>
      <c r="AB69" s="545"/>
      <c r="AC69" s="357">
        <f t="shared" si="0"/>
        <v>7.5615384615384613</v>
      </c>
    </row>
    <row r="70" spans="1:30" s="256" customFormat="1" ht="16.5" customHeight="1" x14ac:dyDescent="0.2">
      <c r="A70" s="287">
        <v>63</v>
      </c>
      <c r="B70" s="245"/>
      <c r="C70" s="246">
        <v>2022</v>
      </c>
      <c r="D70" s="269" t="s">
        <v>1163</v>
      </c>
      <c r="E70" s="270" t="s">
        <v>1164</v>
      </c>
      <c r="F70" s="242">
        <v>7.4</v>
      </c>
      <c r="G70" s="242">
        <v>8</v>
      </c>
      <c r="H70" s="242">
        <v>8</v>
      </c>
      <c r="I70" s="242">
        <v>7.5</v>
      </c>
      <c r="J70" s="242">
        <v>7</v>
      </c>
      <c r="K70" s="242">
        <v>7</v>
      </c>
      <c r="L70" s="242">
        <v>7</v>
      </c>
      <c r="M70" s="242">
        <v>7</v>
      </c>
      <c r="N70" s="242">
        <v>7</v>
      </c>
      <c r="O70" s="242">
        <v>7</v>
      </c>
      <c r="P70" s="242">
        <v>7</v>
      </c>
      <c r="Q70" s="242">
        <v>7</v>
      </c>
      <c r="R70" s="242">
        <v>7</v>
      </c>
      <c r="S70" s="243">
        <f t="shared" si="1"/>
        <v>7.2230769230769232</v>
      </c>
      <c r="T70" s="242"/>
      <c r="U70" s="242"/>
      <c r="V70" s="242"/>
      <c r="W70" s="277"/>
      <c r="X70" s="277"/>
      <c r="Y70" s="252"/>
      <c r="Z70" s="273"/>
      <c r="AA70" s="263" t="s">
        <v>179</v>
      </c>
      <c r="AB70" s="545"/>
      <c r="AC70" s="357">
        <f t="shared" si="0"/>
        <v>7.2230769230769232</v>
      </c>
    </row>
    <row r="71" spans="1:30" s="256" customFormat="1" ht="16.5" customHeight="1" x14ac:dyDescent="0.2">
      <c r="A71" s="287">
        <v>64</v>
      </c>
      <c r="B71" s="245"/>
      <c r="C71" s="246">
        <v>2022</v>
      </c>
      <c r="D71" s="269" t="s">
        <v>1165</v>
      </c>
      <c r="E71" s="270" t="s">
        <v>970</v>
      </c>
      <c r="F71" s="242">
        <v>7.6</v>
      </c>
      <c r="G71" s="242">
        <v>7</v>
      </c>
      <c r="H71" s="242">
        <v>8</v>
      </c>
      <c r="I71" s="242">
        <v>8</v>
      </c>
      <c r="J71" s="242">
        <v>7.5</v>
      </c>
      <c r="K71" s="242">
        <v>8</v>
      </c>
      <c r="L71" s="242">
        <v>7</v>
      </c>
      <c r="M71" s="242">
        <v>7</v>
      </c>
      <c r="N71" s="242">
        <v>7</v>
      </c>
      <c r="O71" s="242">
        <v>7</v>
      </c>
      <c r="P71" s="242">
        <v>7</v>
      </c>
      <c r="Q71" s="242">
        <v>7</v>
      </c>
      <c r="R71" s="242">
        <v>7</v>
      </c>
      <c r="S71" s="243">
        <f t="shared" si="1"/>
        <v>7.3153846153846152</v>
      </c>
      <c r="T71" s="242"/>
      <c r="U71" s="242"/>
      <c r="V71" s="242"/>
      <c r="W71" s="277"/>
      <c r="X71" s="277"/>
      <c r="Y71" s="252"/>
      <c r="Z71" s="273"/>
      <c r="AA71" s="263" t="s">
        <v>192</v>
      </c>
      <c r="AB71" s="545"/>
      <c r="AC71" s="357">
        <f t="shared" si="0"/>
        <v>7.3153846153846152</v>
      </c>
    </row>
    <row r="72" spans="1:30" s="256" customFormat="1" ht="16.5" customHeight="1" x14ac:dyDescent="0.2">
      <c r="A72" s="287">
        <v>65</v>
      </c>
      <c r="B72" s="245"/>
      <c r="C72" s="246">
        <v>2022</v>
      </c>
      <c r="D72" s="269" t="s">
        <v>1166</v>
      </c>
      <c r="E72" s="270" t="s">
        <v>1167</v>
      </c>
      <c r="F72" s="242">
        <v>8</v>
      </c>
      <c r="G72" s="242">
        <v>7.5</v>
      </c>
      <c r="H72" s="242">
        <v>7.5</v>
      </c>
      <c r="I72" s="242">
        <v>7</v>
      </c>
      <c r="J72" s="242">
        <v>8</v>
      </c>
      <c r="K72" s="242">
        <v>7.5</v>
      </c>
      <c r="L72" s="242">
        <v>7</v>
      </c>
      <c r="M72" s="242">
        <v>7</v>
      </c>
      <c r="N72" s="242">
        <v>7.5</v>
      </c>
      <c r="O72" s="242">
        <v>7.5</v>
      </c>
      <c r="P72" s="242">
        <v>7</v>
      </c>
      <c r="Q72" s="242">
        <v>7</v>
      </c>
      <c r="R72" s="242">
        <v>7.5</v>
      </c>
      <c r="S72" s="243">
        <f t="shared" si="1"/>
        <v>7.384615384615385</v>
      </c>
      <c r="T72" s="242"/>
      <c r="U72" s="242"/>
      <c r="V72" s="242"/>
      <c r="W72" s="277">
        <f t="shared" si="5"/>
        <v>0</v>
      </c>
      <c r="X72" s="277">
        <f t="shared" si="3"/>
        <v>3.6923076923076925</v>
      </c>
      <c r="Y72" s="252"/>
      <c r="Z72" s="273"/>
      <c r="AA72" s="263" t="s">
        <v>198</v>
      </c>
      <c r="AB72" s="545"/>
      <c r="AC72" s="357">
        <f t="shared" ref="AC72:AC92" si="6">AVERAGE(F72:R72)</f>
        <v>7.384615384615385</v>
      </c>
    </row>
    <row r="73" spans="1:30" s="256" customFormat="1" ht="16.5" customHeight="1" x14ac:dyDescent="0.2">
      <c r="A73" s="287">
        <v>66</v>
      </c>
      <c r="B73" s="245"/>
      <c r="C73" s="246">
        <v>2022</v>
      </c>
      <c r="D73" s="269" t="s">
        <v>1168</v>
      </c>
      <c r="E73" s="270" t="s">
        <v>1169</v>
      </c>
      <c r="F73" s="242">
        <v>8.6</v>
      </c>
      <c r="G73" s="242">
        <v>8</v>
      </c>
      <c r="H73" s="242">
        <v>8</v>
      </c>
      <c r="I73" s="242">
        <v>8</v>
      </c>
      <c r="J73" s="242">
        <v>8</v>
      </c>
      <c r="K73" s="242">
        <v>8</v>
      </c>
      <c r="L73" s="627">
        <v>7.5</v>
      </c>
      <c r="M73" s="242">
        <v>8</v>
      </c>
      <c r="N73" s="242">
        <v>8</v>
      </c>
      <c r="O73" s="242">
        <v>8</v>
      </c>
      <c r="P73" s="242">
        <v>8</v>
      </c>
      <c r="Q73" s="242">
        <v>8</v>
      </c>
      <c r="R73" s="242">
        <v>8</v>
      </c>
      <c r="S73" s="243">
        <f t="shared" ref="S73:S92" si="7">SUM(F73:R73)/13</f>
        <v>8.0076923076923077</v>
      </c>
      <c r="T73" s="242"/>
      <c r="U73" s="242"/>
      <c r="V73" s="242"/>
      <c r="W73" s="277">
        <f t="shared" si="5"/>
        <v>0</v>
      </c>
      <c r="X73" s="277">
        <f t="shared" ref="X73:X77" si="8">SUM(S73+W73)/2</f>
        <v>4.0038461538461538</v>
      </c>
      <c r="Y73" s="252"/>
      <c r="Z73" s="273"/>
      <c r="AA73" s="263" t="s">
        <v>171</v>
      </c>
      <c r="AB73" s="545"/>
      <c r="AC73" s="613">
        <f t="shared" si="6"/>
        <v>8.0076923076923077</v>
      </c>
      <c r="AD73" s="545"/>
    </row>
    <row r="74" spans="1:30" s="256" customFormat="1" ht="16.5" customHeight="1" x14ac:dyDescent="0.2">
      <c r="A74" s="287">
        <v>67</v>
      </c>
      <c r="B74" s="245"/>
      <c r="C74" s="246">
        <v>2022</v>
      </c>
      <c r="D74" s="269" t="s">
        <v>1170</v>
      </c>
      <c r="E74" s="270" t="s">
        <v>1171</v>
      </c>
      <c r="F74" s="292">
        <v>8</v>
      </c>
      <c r="G74" s="242">
        <v>7</v>
      </c>
      <c r="H74" s="242">
        <v>7.5</v>
      </c>
      <c r="I74" s="242">
        <v>7</v>
      </c>
      <c r="J74" s="242">
        <v>6.5</v>
      </c>
      <c r="K74" s="242">
        <v>6.5</v>
      </c>
      <c r="L74" s="242">
        <v>7</v>
      </c>
      <c r="M74" s="242">
        <v>7</v>
      </c>
      <c r="N74" s="242">
        <v>8</v>
      </c>
      <c r="O74" s="242">
        <v>7.5</v>
      </c>
      <c r="P74" s="242">
        <v>7</v>
      </c>
      <c r="Q74" s="242">
        <v>8</v>
      </c>
      <c r="R74" s="242">
        <v>7.5</v>
      </c>
      <c r="S74" s="243">
        <f t="shared" si="7"/>
        <v>7.2692307692307692</v>
      </c>
      <c r="T74" s="242"/>
      <c r="U74" s="242"/>
      <c r="V74" s="242"/>
      <c r="W74" s="277">
        <f t="shared" si="5"/>
        <v>0</v>
      </c>
      <c r="X74" s="277">
        <f t="shared" si="8"/>
        <v>3.6346153846153846</v>
      </c>
      <c r="Y74" s="252"/>
      <c r="Z74" s="273"/>
      <c r="AA74" s="263" t="s">
        <v>219</v>
      </c>
      <c r="AB74" s="545"/>
      <c r="AC74" s="357">
        <f t="shared" si="6"/>
        <v>7.2692307692307692</v>
      </c>
    </row>
    <row r="75" spans="1:30" s="256" customFormat="1" ht="16.5" customHeight="1" x14ac:dyDescent="0.2">
      <c r="A75" s="287">
        <v>68</v>
      </c>
      <c r="B75" s="245"/>
      <c r="C75" s="246">
        <v>2022</v>
      </c>
      <c r="D75" s="269" t="s">
        <v>1172</v>
      </c>
      <c r="E75" s="270" t="s">
        <v>1173</v>
      </c>
      <c r="F75" s="242">
        <v>7</v>
      </c>
      <c r="G75" s="242">
        <v>7.5</v>
      </c>
      <c r="H75" s="242">
        <v>6.5</v>
      </c>
      <c r="I75" s="242">
        <v>7.5</v>
      </c>
      <c r="J75" s="242">
        <v>7</v>
      </c>
      <c r="K75" s="242">
        <v>7</v>
      </c>
      <c r="L75" s="242">
        <v>6</v>
      </c>
      <c r="M75" s="242">
        <v>7</v>
      </c>
      <c r="N75" s="242">
        <v>7</v>
      </c>
      <c r="O75" s="242">
        <v>7</v>
      </c>
      <c r="P75" s="242">
        <v>7</v>
      </c>
      <c r="Q75" s="242">
        <v>7</v>
      </c>
      <c r="R75" s="242">
        <v>7</v>
      </c>
      <c r="S75" s="243">
        <f t="shared" si="7"/>
        <v>6.9615384615384617</v>
      </c>
      <c r="T75" s="242"/>
      <c r="U75" s="242"/>
      <c r="V75" s="242"/>
      <c r="W75" s="277">
        <f t="shared" si="5"/>
        <v>0</v>
      </c>
      <c r="X75" s="277">
        <f t="shared" si="8"/>
        <v>3.4807692307692308</v>
      </c>
      <c r="Y75" s="252"/>
      <c r="Z75" s="273"/>
      <c r="AA75" s="263" t="s">
        <v>18</v>
      </c>
      <c r="AB75" s="545"/>
      <c r="AC75" s="628">
        <f t="shared" si="6"/>
        <v>6.9615384615384617</v>
      </c>
    </row>
    <row r="76" spans="1:30" s="256" customFormat="1" ht="16.5" customHeight="1" x14ac:dyDescent="0.2">
      <c r="A76" s="287">
        <v>69</v>
      </c>
      <c r="B76" s="245"/>
      <c r="C76" s="246">
        <v>2022</v>
      </c>
      <c r="D76" s="269" t="s">
        <v>1174</v>
      </c>
      <c r="E76" s="270" t="s">
        <v>167</v>
      </c>
      <c r="F76" s="242">
        <v>7.8</v>
      </c>
      <c r="G76" s="242">
        <v>6</v>
      </c>
      <c r="H76" s="242">
        <v>8</v>
      </c>
      <c r="I76" s="242">
        <v>7.5</v>
      </c>
      <c r="J76" s="242">
        <v>7</v>
      </c>
      <c r="K76" s="242">
        <v>7.5</v>
      </c>
      <c r="L76" s="242">
        <v>8</v>
      </c>
      <c r="M76" s="242">
        <v>6.5</v>
      </c>
      <c r="N76" s="242">
        <v>7</v>
      </c>
      <c r="O76" s="242">
        <v>7</v>
      </c>
      <c r="P76" s="242">
        <v>7</v>
      </c>
      <c r="Q76" s="242">
        <v>6</v>
      </c>
      <c r="R76" s="242">
        <v>6.5</v>
      </c>
      <c r="S76" s="243">
        <f t="shared" si="7"/>
        <v>7.0615384615384613</v>
      </c>
      <c r="T76" s="242"/>
      <c r="U76" s="242"/>
      <c r="V76" s="242"/>
      <c r="W76" s="277">
        <f t="shared" si="5"/>
        <v>0</v>
      </c>
      <c r="X76" s="277">
        <f t="shared" si="8"/>
        <v>3.5307692307692307</v>
      </c>
      <c r="Y76" s="252"/>
      <c r="Z76" s="273"/>
      <c r="AA76" s="263" t="s">
        <v>1199</v>
      </c>
      <c r="AB76" s="545"/>
      <c r="AC76" s="357">
        <f t="shared" si="6"/>
        <v>7.0615384615384613</v>
      </c>
    </row>
    <row r="77" spans="1:30" s="256" customFormat="1" ht="16.5" customHeight="1" x14ac:dyDescent="0.2">
      <c r="A77" s="287">
        <v>70</v>
      </c>
      <c r="B77" s="245"/>
      <c r="C77" s="246">
        <v>2022</v>
      </c>
      <c r="D77" s="269" t="s">
        <v>151</v>
      </c>
      <c r="E77" s="270" t="s">
        <v>581</v>
      </c>
      <c r="F77" s="242">
        <v>7.5</v>
      </c>
      <c r="G77" s="242">
        <v>7.5</v>
      </c>
      <c r="H77" s="242">
        <v>8</v>
      </c>
      <c r="I77" s="242">
        <v>8</v>
      </c>
      <c r="J77" s="242">
        <v>7</v>
      </c>
      <c r="K77" s="242">
        <v>7</v>
      </c>
      <c r="L77" s="242">
        <v>5.5</v>
      </c>
      <c r="M77" s="242">
        <v>7</v>
      </c>
      <c r="N77" s="242">
        <v>6.5</v>
      </c>
      <c r="O77" s="242">
        <v>6.5</v>
      </c>
      <c r="P77" s="242">
        <v>6</v>
      </c>
      <c r="Q77" s="242">
        <v>7</v>
      </c>
      <c r="R77" s="242">
        <v>7.5</v>
      </c>
      <c r="S77" s="243">
        <f t="shared" si="7"/>
        <v>7</v>
      </c>
      <c r="T77" s="242"/>
      <c r="U77" s="242"/>
      <c r="V77" s="242"/>
      <c r="W77" s="277">
        <f t="shared" si="5"/>
        <v>0</v>
      </c>
      <c r="X77" s="277">
        <f t="shared" si="8"/>
        <v>3.5</v>
      </c>
      <c r="Y77" s="252"/>
      <c r="Z77" s="273"/>
      <c r="AA77" s="263" t="s">
        <v>215</v>
      </c>
      <c r="AB77" s="545"/>
      <c r="AC77" s="357">
        <f t="shared" si="6"/>
        <v>7</v>
      </c>
    </row>
    <row r="78" spans="1:30" s="256" customFormat="1" ht="16.5" customHeight="1" x14ac:dyDescent="0.2">
      <c r="A78" s="287">
        <v>71</v>
      </c>
      <c r="B78" s="245"/>
      <c r="C78" s="246">
        <v>2022</v>
      </c>
      <c r="D78" s="269" t="s">
        <v>1175</v>
      </c>
      <c r="E78" s="270" t="s">
        <v>947</v>
      </c>
      <c r="F78" s="242">
        <v>8.6</v>
      </c>
      <c r="G78" s="242">
        <v>8</v>
      </c>
      <c r="H78" s="242">
        <v>7.5</v>
      </c>
      <c r="I78" s="242">
        <v>7</v>
      </c>
      <c r="J78" s="242">
        <v>6</v>
      </c>
      <c r="K78" s="242">
        <v>7</v>
      </c>
      <c r="L78" s="242">
        <v>7</v>
      </c>
      <c r="M78" s="242">
        <v>6.5</v>
      </c>
      <c r="N78" s="242">
        <v>8</v>
      </c>
      <c r="O78" s="242">
        <v>7</v>
      </c>
      <c r="P78" s="242">
        <v>7</v>
      </c>
      <c r="Q78" s="242">
        <v>7</v>
      </c>
      <c r="R78" s="242">
        <v>7</v>
      </c>
      <c r="S78" s="243">
        <f t="shared" si="7"/>
        <v>7.1999999999999993</v>
      </c>
      <c r="T78" s="242"/>
      <c r="U78" s="242"/>
      <c r="V78" s="242"/>
      <c r="W78" s="277"/>
      <c r="X78" s="277"/>
      <c r="Y78" s="252"/>
      <c r="Z78" s="273"/>
      <c r="AA78" s="263" t="s">
        <v>173</v>
      </c>
      <c r="AB78" s="545"/>
      <c r="AC78" s="357">
        <f t="shared" si="6"/>
        <v>7.1999999999999993</v>
      </c>
    </row>
    <row r="79" spans="1:30" s="256" customFormat="1" ht="16.5" customHeight="1" x14ac:dyDescent="0.2">
      <c r="A79" s="287">
        <v>72</v>
      </c>
      <c r="B79" s="245"/>
      <c r="C79" s="246">
        <v>2022</v>
      </c>
      <c r="D79" s="269" t="s">
        <v>1176</v>
      </c>
      <c r="E79" s="270" t="s">
        <v>1177</v>
      </c>
      <c r="F79" s="242">
        <v>7</v>
      </c>
      <c r="G79" s="242">
        <v>7</v>
      </c>
      <c r="H79" s="242">
        <v>7.5</v>
      </c>
      <c r="I79" s="242">
        <v>6</v>
      </c>
      <c r="J79" s="242">
        <v>6</v>
      </c>
      <c r="K79" s="242">
        <v>6.5</v>
      </c>
      <c r="L79" s="242">
        <v>8</v>
      </c>
      <c r="M79" s="242">
        <v>7</v>
      </c>
      <c r="N79" s="242">
        <v>7</v>
      </c>
      <c r="O79" s="242">
        <v>7</v>
      </c>
      <c r="P79" s="242">
        <v>6</v>
      </c>
      <c r="Q79" s="242">
        <v>7.5</v>
      </c>
      <c r="R79" s="242">
        <v>7</v>
      </c>
      <c r="S79" s="243">
        <f t="shared" si="7"/>
        <v>6.884615384615385</v>
      </c>
      <c r="T79" s="242"/>
      <c r="U79" s="242"/>
      <c r="V79" s="242"/>
      <c r="W79" s="277"/>
      <c r="X79" s="277"/>
      <c r="Y79" s="252"/>
      <c r="Z79" s="273"/>
      <c r="AA79" s="263" t="s">
        <v>1200</v>
      </c>
      <c r="AB79" s="545"/>
      <c r="AC79" s="628">
        <f t="shared" si="6"/>
        <v>6.884615384615385</v>
      </c>
    </row>
    <row r="80" spans="1:30" s="256" customFormat="1" ht="16.5" customHeight="1" x14ac:dyDescent="0.2">
      <c r="A80" s="287">
        <v>73</v>
      </c>
      <c r="B80" s="245"/>
      <c r="C80" s="246">
        <v>2022</v>
      </c>
      <c r="D80" s="269" t="s">
        <v>1178</v>
      </c>
      <c r="E80" s="270" t="s">
        <v>1179</v>
      </c>
      <c r="F80" s="242">
        <v>8</v>
      </c>
      <c r="G80" s="242">
        <v>7</v>
      </c>
      <c r="H80" s="242">
        <v>7</v>
      </c>
      <c r="I80" s="242">
        <v>7</v>
      </c>
      <c r="J80" s="242">
        <v>7</v>
      </c>
      <c r="K80" s="242">
        <v>7</v>
      </c>
      <c r="L80" s="242">
        <v>7</v>
      </c>
      <c r="M80" s="242">
        <v>7</v>
      </c>
      <c r="N80" s="242">
        <v>7.5</v>
      </c>
      <c r="O80" s="242">
        <v>6.5</v>
      </c>
      <c r="P80" s="242">
        <v>7</v>
      </c>
      <c r="Q80" s="242">
        <v>7.5</v>
      </c>
      <c r="R80" s="242">
        <v>7</v>
      </c>
      <c r="S80" s="243">
        <f t="shared" si="7"/>
        <v>7.115384615384615</v>
      </c>
      <c r="T80" s="242"/>
      <c r="U80" s="242"/>
      <c r="V80" s="242"/>
      <c r="W80" s="277"/>
      <c r="X80" s="277"/>
      <c r="Y80" s="252"/>
      <c r="Z80" s="273"/>
      <c r="AA80" s="263" t="s">
        <v>208</v>
      </c>
      <c r="AB80" s="545"/>
      <c r="AC80" s="357">
        <f t="shared" si="6"/>
        <v>7.115384615384615</v>
      </c>
    </row>
    <row r="81" spans="1:29" s="256" customFormat="1" ht="16.5" customHeight="1" x14ac:dyDescent="0.2">
      <c r="A81" s="287">
        <v>74</v>
      </c>
      <c r="B81" s="245"/>
      <c r="C81" s="246">
        <v>2022</v>
      </c>
      <c r="D81" s="269" t="s">
        <v>1180</v>
      </c>
      <c r="E81" s="270" t="s">
        <v>1181</v>
      </c>
      <c r="F81" s="242">
        <v>6.6</v>
      </c>
      <c r="G81" s="242">
        <v>7</v>
      </c>
      <c r="H81" s="242">
        <v>7.5</v>
      </c>
      <c r="I81" s="242">
        <v>7.5</v>
      </c>
      <c r="J81" s="242">
        <v>7</v>
      </c>
      <c r="K81" s="242">
        <v>7.5</v>
      </c>
      <c r="L81" s="242">
        <v>7</v>
      </c>
      <c r="M81" s="242">
        <v>6.5</v>
      </c>
      <c r="N81" s="242">
        <v>7</v>
      </c>
      <c r="O81" s="242">
        <v>7.5</v>
      </c>
      <c r="P81" s="242">
        <v>7</v>
      </c>
      <c r="Q81" s="242">
        <v>8</v>
      </c>
      <c r="R81" s="242">
        <v>7.5</v>
      </c>
      <c r="S81" s="243">
        <f t="shared" si="7"/>
        <v>7.1999999999999993</v>
      </c>
      <c r="T81" s="242"/>
      <c r="U81" s="242"/>
      <c r="V81" s="242"/>
      <c r="W81" s="277"/>
      <c r="X81" s="277"/>
      <c r="Y81" s="252"/>
      <c r="Z81" s="273"/>
      <c r="AA81" s="263" t="s">
        <v>216</v>
      </c>
      <c r="AB81" s="545"/>
      <c r="AC81" s="357">
        <f t="shared" si="6"/>
        <v>7.1999999999999993</v>
      </c>
    </row>
    <row r="82" spans="1:29" s="256" customFormat="1" ht="16.5" customHeight="1" x14ac:dyDescent="0.2">
      <c r="A82" s="287">
        <v>75</v>
      </c>
      <c r="B82" s="245"/>
      <c r="C82" s="246">
        <v>2022</v>
      </c>
      <c r="D82" s="269" t="s">
        <v>250</v>
      </c>
      <c r="E82" s="270" t="s">
        <v>1182</v>
      </c>
      <c r="F82" s="242">
        <v>6.5</v>
      </c>
      <c r="G82" s="242">
        <v>6</v>
      </c>
      <c r="H82" s="242">
        <v>8</v>
      </c>
      <c r="I82" s="242">
        <v>6.5</v>
      </c>
      <c r="J82" s="242">
        <v>8</v>
      </c>
      <c r="K82" s="242">
        <v>7.5</v>
      </c>
      <c r="L82" s="242">
        <v>8</v>
      </c>
      <c r="M82" s="242">
        <v>7</v>
      </c>
      <c r="N82" s="242">
        <v>7</v>
      </c>
      <c r="O82" s="242">
        <v>7</v>
      </c>
      <c r="P82" s="242">
        <v>5.5</v>
      </c>
      <c r="Q82" s="242">
        <v>8</v>
      </c>
      <c r="R82" s="242">
        <v>7</v>
      </c>
      <c r="S82" s="243">
        <f t="shared" si="7"/>
        <v>7.0769230769230766</v>
      </c>
      <c r="T82" s="242"/>
      <c r="U82" s="242"/>
      <c r="V82" s="242"/>
      <c r="W82" s="277"/>
      <c r="X82" s="277"/>
      <c r="Y82" s="252"/>
      <c r="Z82" s="273"/>
      <c r="AA82" s="263" t="s">
        <v>18</v>
      </c>
      <c r="AB82" s="545"/>
      <c r="AC82" s="357">
        <f t="shared" si="6"/>
        <v>7.0769230769230766</v>
      </c>
    </row>
    <row r="83" spans="1:29" s="256" customFormat="1" ht="16.5" customHeight="1" x14ac:dyDescent="0.2">
      <c r="A83" s="287">
        <v>76</v>
      </c>
      <c r="B83" s="245"/>
      <c r="C83" s="246">
        <v>2022</v>
      </c>
      <c r="D83" s="269" t="s">
        <v>1183</v>
      </c>
      <c r="E83" s="270" t="s">
        <v>1184</v>
      </c>
      <c r="F83" s="242">
        <v>8</v>
      </c>
      <c r="G83" s="242">
        <v>7</v>
      </c>
      <c r="H83" s="242">
        <v>6.5</v>
      </c>
      <c r="I83" s="242">
        <v>7.5</v>
      </c>
      <c r="J83" s="242">
        <v>7</v>
      </c>
      <c r="K83" s="242">
        <v>6</v>
      </c>
      <c r="L83" s="242">
        <v>7</v>
      </c>
      <c r="M83" s="242">
        <v>7.5</v>
      </c>
      <c r="N83" s="242">
        <v>6.5</v>
      </c>
      <c r="O83" s="242">
        <v>7</v>
      </c>
      <c r="P83" s="242">
        <v>7</v>
      </c>
      <c r="Q83" s="242">
        <v>7</v>
      </c>
      <c r="R83" s="242">
        <v>7</v>
      </c>
      <c r="S83" s="243">
        <f t="shared" si="7"/>
        <v>7</v>
      </c>
      <c r="T83" s="242"/>
      <c r="U83" s="242"/>
      <c r="V83" s="242"/>
      <c r="W83" s="277"/>
      <c r="X83" s="277"/>
      <c r="Y83" s="252"/>
      <c r="Z83" s="273"/>
      <c r="AA83" s="263" t="s">
        <v>196</v>
      </c>
      <c r="AB83" s="545"/>
      <c r="AC83" s="357">
        <f t="shared" si="6"/>
        <v>7</v>
      </c>
    </row>
    <row r="84" spans="1:29" s="256" customFormat="1" ht="16.5" customHeight="1" x14ac:dyDescent="0.2">
      <c r="A84" s="287">
        <v>77</v>
      </c>
      <c r="B84" s="245"/>
      <c r="C84" s="246">
        <v>2022</v>
      </c>
      <c r="D84" s="269" t="s">
        <v>1185</v>
      </c>
      <c r="E84" s="270" t="s">
        <v>1186</v>
      </c>
      <c r="F84" s="242">
        <v>6.5</v>
      </c>
      <c r="G84" s="242">
        <v>8</v>
      </c>
      <c r="H84" s="242">
        <v>8</v>
      </c>
      <c r="I84" s="242">
        <v>7.5</v>
      </c>
      <c r="J84" s="242">
        <v>7.5</v>
      </c>
      <c r="K84" s="242">
        <v>8</v>
      </c>
      <c r="L84" s="242">
        <v>6</v>
      </c>
      <c r="M84" s="242">
        <v>7.5</v>
      </c>
      <c r="N84" s="242">
        <v>6.5</v>
      </c>
      <c r="O84" s="242">
        <v>7.5</v>
      </c>
      <c r="P84" s="242">
        <v>7</v>
      </c>
      <c r="Q84" s="242">
        <v>7.5</v>
      </c>
      <c r="R84" s="242">
        <v>8</v>
      </c>
      <c r="S84" s="243">
        <f t="shared" si="7"/>
        <v>7.3461538461538458</v>
      </c>
      <c r="T84" s="242"/>
      <c r="U84" s="242"/>
      <c r="V84" s="242"/>
      <c r="W84" s="277"/>
      <c r="X84" s="277"/>
      <c r="Y84" s="252"/>
      <c r="Z84" s="273"/>
      <c r="AA84" s="263" t="s">
        <v>173</v>
      </c>
      <c r="AB84" s="545"/>
      <c r="AC84" s="357">
        <f t="shared" si="6"/>
        <v>7.3461538461538458</v>
      </c>
    </row>
    <row r="85" spans="1:29" s="256" customFormat="1" ht="16.5" customHeight="1" x14ac:dyDescent="0.2">
      <c r="A85" s="287">
        <v>78</v>
      </c>
      <c r="B85" s="245"/>
      <c r="C85" s="246">
        <v>2022</v>
      </c>
      <c r="D85" s="269" t="s">
        <v>1187</v>
      </c>
      <c r="E85" s="270" t="s">
        <v>707</v>
      </c>
      <c r="F85" s="242">
        <v>7</v>
      </c>
      <c r="G85" s="242">
        <v>8</v>
      </c>
      <c r="H85" s="242">
        <v>7.5</v>
      </c>
      <c r="I85" s="242">
        <v>7</v>
      </c>
      <c r="J85" s="242">
        <v>7.5</v>
      </c>
      <c r="K85" s="242">
        <v>7.5</v>
      </c>
      <c r="L85" s="242">
        <v>8</v>
      </c>
      <c r="M85" s="242">
        <v>8</v>
      </c>
      <c r="N85" s="242">
        <v>7</v>
      </c>
      <c r="O85" s="242">
        <v>8</v>
      </c>
      <c r="P85" s="242">
        <v>6</v>
      </c>
      <c r="Q85" s="242">
        <v>8</v>
      </c>
      <c r="R85" s="242">
        <v>7.5</v>
      </c>
      <c r="S85" s="243">
        <f t="shared" si="7"/>
        <v>7.4615384615384617</v>
      </c>
      <c r="T85" s="242"/>
      <c r="U85" s="242"/>
      <c r="V85" s="242"/>
      <c r="W85" s="277"/>
      <c r="X85" s="277"/>
      <c r="Y85" s="252"/>
      <c r="Z85" s="273"/>
      <c r="AA85" s="263" t="s">
        <v>190</v>
      </c>
      <c r="AB85" s="545"/>
      <c r="AC85" s="357">
        <f t="shared" si="6"/>
        <v>7.4615384615384617</v>
      </c>
    </row>
    <row r="86" spans="1:29" s="256" customFormat="1" ht="16.5" customHeight="1" x14ac:dyDescent="0.2">
      <c r="A86" s="287">
        <v>79</v>
      </c>
      <c r="B86" s="245"/>
      <c r="C86" s="246">
        <v>2022</v>
      </c>
      <c r="D86" s="269" t="s">
        <v>1188</v>
      </c>
      <c r="E86" s="270" t="s">
        <v>836</v>
      </c>
      <c r="F86" s="242">
        <v>7.4</v>
      </c>
      <c r="G86" s="242">
        <v>7</v>
      </c>
      <c r="H86" s="242">
        <v>7.5</v>
      </c>
      <c r="I86" s="242">
        <v>8</v>
      </c>
      <c r="J86" s="242">
        <v>7</v>
      </c>
      <c r="K86" s="242">
        <v>7.5</v>
      </c>
      <c r="L86" s="242">
        <v>6</v>
      </c>
      <c r="M86" s="242">
        <v>7</v>
      </c>
      <c r="N86" s="242">
        <v>7</v>
      </c>
      <c r="O86" s="242">
        <v>7.5</v>
      </c>
      <c r="P86" s="242">
        <v>7</v>
      </c>
      <c r="Q86" s="242">
        <v>7.5</v>
      </c>
      <c r="R86" s="242">
        <v>6.5</v>
      </c>
      <c r="S86" s="243">
        <f t="shared" si="7"/>
        <v>7.1461538461538465</v>
      </c>
      <c r="T86" s="242"/>
      <c r="U86" s="242"/>
      <c r="V86" s="242"/>
      <c r="W86" s="277"/>
      <c r="X86" s="277"/>
      <c r="Y86" s="252"/>
      <c r="Z86" s="273"/>
      <c r="AA86" s="263" t="s">
        <v>666</v>
      </c>
      <c r="AB86" s="545"/>
      <c r="AC86" s="357">
        <f t="shared" si="6"/>
        <v>7.1461538461538465</v>
      </c>
    </row>
    <row r="87" spans="1:29" s="256" customFormat="1" ht="16.5" customHeight="1" x14ac:dyDescent="0.2">
      <c r="A87" s="287">
        <v>80</v>
      </c>
      <c r="B87" s="245"/>
      <c r="C87" s="246">
        <v>2022</v>
      </c>
      <c r="D87" s="269" t="s">
        <v>1189</v>
      </c>
      <c r="E87" s="270" t="s">
        <v>1190</v>
      </c>
      <c r="F87" s="242">
        <v>6.5</v>
      </c>
      <c r="G87" s="242">
        <v>8</v>
      </c>
      <c r="H87" s="242">
        <v>6.5</v>
      </c>
      <c r="I87" s="242">
        <v>7.5</v>
      </c>
      <c r="J87" s="242">
        <v>8</v>
      </c>
      <c r="K87" s="242">
        <v>7.5</v>
      </c>
      <c r="L87" s="242">
        <v>7</v>
      </c>
      <c r="M87" s="242">
        <v>7</v>
      </c>
      <c r="N87" s="242">
        <v>7</v>
      </c>
      <c r="O87" s="242">
        <v>7</v>
      </c>
      <c r="P87" s="242">
        <v>7.5</v>
      </c>
      <c r="Q87" s="242">
        <v>7</v>
      </c>
      <c r="R87" s="242">
        <v>7</v>
      </c>
      <c r="S87" s="243">
        <f t="shared" si="7"/>
        <v>7.1923076923076925</v>
      </c>
      <c r="T87" s="242"/>
      <c r="U87" s="242"/>
      <c r="V87" s="242"/>
      <c r="W87" s="277"/>
      <c r="X87" s="277"/>
      <c r="Y87" s="252"/>
      <c r="Z87" s="273"/>
      <c r="AA87" s="263" t="s">
        <v>18</v>
      </c>
      <c r="AB87" s="545"/>
      <c r="AC87" s="357">
        <f t="shared" si="6"/>
        <v>7.1923076923076925</v>
      </c>
    </row>
    <row r="88" spans="1:29" s="256" customFormat="1" ht="16.5" customHeight="1" x14ac:dyDescent="0.2">
      <c r="A88" s="287">
        <v>81</v>
      </c>
      <c r="B88" s="245"/>
      <c r="C88" s="246">
        <v>2022</v>
      </c>
      <c r="D88" s="269" t="s">
        <v>1191</v>
      </c>
      <c r="E88" s="270" t="s">
        <v>581</v>
      </c>
      <c r="F88" s="242">
        <v>6.5</v>
      </c>
      <c r="G88" s="242">
        <v>7</v>
      </c>
      <c r="H88" s="242">
        <v>6.5</v>
      </c>
      <c r="I88" s="242">
        <v>7.5</v>
      </c>
      <c r="J88" s="242">
        <v>7.5</v>
      </c>
      <c r="K88" s="242">
        <v>7.5</v>
      </c>
      <c r="L88" s="242">
        <v>7</v>
      </c>
      <c r="M88" s="242">
        <v>7.5</v>
      </c>
      <c r="N88" s="242">
        <v>7</v>
      </c>
      <c r="O88" s="242">
        <v>7</v>
      </c>
      <c r="P88" s="242">
        <v>6</v>
      </c>
      <c r="Q88" s="242">
        <v>6</v>
      </c>
      <c r="R88" s="242">
        <v>7</v>
      </c>
      <c r="S88" s="243">
        <f t="shared" si="7"/>
        <v>6.9230769230769234</v>
      </c>
      <c r="T88" s="242"/>
      <c r="U88" s="242"/>
      <c r="V88" s="242"/>
      <c r="W88" s="277"/>
      <c r="X88" s="277"/>
      <c r="Y88" s="252"/>
      <c r="Z88" s="273"/>
      <c r="AA88" s="263" t="s">
        <v>173</v>
      </c>
      <c r="AB88" s="545"/>
      <c r="AC88" s="628">
        <f t="shared" si="6"/>
        <v>6.9230769230769234</v>
      </c>
    </row>
    <row r="89" spans="1:29" s="256" customFormat="1" ht="16.5" customHeight="1" x14ac:dyDescent="0.2">
      <c r="A89" s="287">
        <v>82</v>
      </c>
      <c r="B89" s="245"/>
      <c r="C89" s="246">
        <v>2022</v>
      </c>
      <c r="D89" s="269" t="s">
        <v>1192</v>
      </c>
      <c r="E89" s="270" t="s">
        <v>1193</v>
      </c>
      <c r="F89" s="242">
        <v>8</v>
      </c>
      <c r="G89" s="242">
        <v>8</v>
      </c>
      <c r="H89" s="242">
        <v>8</v>
      </c>
      <c r="I89" s="242">
        <v>8</v>
      </c>
      <c r="J89" s="242">
        <v>8</v>
      </c>
      <c r="K89" s="242">
        <v>8</v>
      </c>
      <c r="L89" s="242">
        <v>8</v>
      </c>
      <c r="M89" s="242">
        <v>8</v>
      </c>
      <c r="N89" s="242">
        <v>8</v>
      </c>
      <c r="O89" s="242">
        <v>8</v>
      </c>
      <c r="P89" s="242">
        <v>8</v>
      </c>
      <c r="Q89" s="242">
        <v>8</v>
      </c>
      <c r="R89" s="242">
        <v>7</v>
      </c>
      <c r="S89" s="243">
        <f t="shared" si="7"/>
        <v>7.9230769230769234</v>
      </c>
      <c r="T89" s="242"/>
      <c r="U89" s="242"/>
      <c r="V89" s="242"/>
      <c r="W89" s="277"/>
      <c r="X89" s="277"/>
      <c r="Y89" s="252"/>
      <c r="Z89" s="273"/>
      <c r="AA89" s="263" t="s">
        <v>171</v>
      </c>
      <c r="AB89" s="545"/>
      <c r="AC89" s="357">
        <f t="shared" si="6"/>
        <v>7.9230769230769234</v>
      </c>
    </row>
    <row r="90" spans="1:29" s="256" customFormat="1" ht="16.5" customHeight="1" x14ac:dyDescent="0.2">
      <c r="A90" s="287">
        <v>83</v>
      </c>
      <c r="B90" s="245"/>
      <c r="C90" s="246">
        <v>2022</v>
      </c>
      <c r="D90" s="269" t="s">
        <v>1194</v>
      </c>
      <c r="E90" s="270" t="s">
        <v>152</v>
      </c>
      <c r="F90" s="242">
        <v>7</v>
      </c>
      <c r="G90" s="242">
        <v>7.5</v>
      </c>
      <c r="H90" s="242">
        <v>8</v>
      </c>
      <c r="I90" s="242">
        <v>7.5</v>
      </c>
      <c r="J90" s="242">
        <v>7</v>
      </c>
      <c r="K90" s="242">
        <v>7</v>
      </c>
      <c r="L90" s="242">
        <v>6</v>
      </c>
      <c r="M90" s="242">
        <v>7</v>
      </c>
      <c r="N90" s="242">
        <v>7</v>
      </c>
      <c r="O90" s="242">
        <v>7</v>
      </c>
      <c r="P90" s="242">
        <v>6</v>
      </c>
      <c r="Q90" s="242">
        <v>7.5</v>
      </c>
      <c r="R90" s="242">
        <v>7</v>
      </c>
      <c r="S90" s="243">
        <f t="shared" si="7"/>
        <v>7.0384615384615383</v>
      </c>
      <c r="T90" s="242"/>
      <c r="U90" s="242"/>
      <c r="V90" s="242"/>
      <c r="W90" s="277"/>
      <c r="X90" s="277"/>
      <c r="Y90" s="252"/>
      <c r="Z90" s="273"/>
      <c r="AA90" s="263" t="s">
        <v>171</v>
      </c>
      <c r="AB90" s="545"/>
      <c r="AC90" s="357">
        <f t="shared" si="6"/>
        <v>7.0384615384615383</v>
      </c>
    </row>
    <row r="91" spans="1:29" s="256" customFormat="1" ht="16.5" customHeight="1" x14ac:dyDescent="0.2">
      <c r="A91" s="287">
        <v>84</v>
      </c>
      <c r="B91" s="245"/>
      <c r="C91" s="246">
        <v>2022</v>
      </c>
      <c r="D91" s="269" t="s">
        <v>1195</v>
      </c>
      <c r="E91" s="270" t="s">
        <v>551</v>
      </c>
      <c r="F91" s="242">
        <v>7</v>
      </c>
      <c r="G91" s="242">
        <v>7.5</v>
      </c>
      <c r="H91" s="242">
        <v>7</v>
      </c>
      <c r="I91" s="242">
        <v>7.5</v>
      </c>
      <c r="J91" s="242">
        <v>6.5</v>
      </c>
      <c r="K91" s="242">
        <v>6.5</v>
      </c>
      <c r="L91" s="242">
        <v>7</v>
      </c>
      <c r="M91" s="242">
        <v>7</v>
      </c>
      <c r="N91" s="242">
        <v>7</v>
      </c>
      <c r="O91" s="242">
        <v>6.5</v>
      </c>
      <c r="P91" s="242">
        <v>5.5</v>
      </c>
      <c r="Q91" s="242">
        <v>7</v>
      </c>
      <c r="R91" s="242">
        <v>7</v>
      </c>
      <c r="S91" s="243">
        <f t="shared" si="7"/>
        <v>6.8461538461538458</v>
      </c>
      <c r="T91" s="242"/>
      <c r="U91" s="242"/>
      <c r="V91" s="242"/>
      <c r="W91" s="277"/>
      <c r="X91" s="277"/>
      <c r="Y91" s="252"/>
      <c r="Z91" s="273"/>
      <c r="AA91" s="263" t="s">
        <v>192</v>
      </c>
      <c r="AB91" s="545"/>
      <c r="AC91" s="628">
        <f t="shared" si="6"/>
        <v>6.8461538461538458</v>
      </c>
    </row>
    <row r="92" spans="1:29" s="256" customFormat="1" ht="16.5" customHeight="1" x14ac:dyDescent="0.2">
      <c r="A92" s="287">
        <v>85</v>
      </c>
      <c r="B92" s="245"/>
      <c r="C92" s="246">
        <v>2022</v>
      </c>
      <c r="D92" s="269" t="s">
        <v>1196</v>
      </c>
      <c r="E92" s="270" t="s">
        <v>600</v>
      </c>
      <c r="F92" s="242">
        <v>7</v>
      </c>
      <c r="G92" s="242">
        <v>7.5</v>
      </c>
      <c r="H92" s="242">
        <v>8</v>
      </c>
      <c r="I92" s="242">
        <v>7.5</v>
      </c>
      <c r="J92" s="242">
        <v>7.5</v>
      </c>
      <c r="K92" s="242">
        <v>7</v>
      </c>
      <c r="L92" s="242">
        <v>6</v>
      </c>
      <c r="M92" s="242">
        <v>6.5</v>
      </c>
      <c r="N92" s="242">
        <v>7</v>
      </c>
      <c r="O92" s="242">
        <v>8</v>
      </c>
      <c r="P92" s="242">
        <v>6</v>
      </c>
      <c r="Q92" s="242">
        <v>6</v>
      </c>
      <c r="R92" s="242">
        <v>7</v>
      </c>
      <c r="S92" s="243">
        <f t="shared" si="7"/>
        <v>7</v>
      </c>
      <c r="T92" s="242"/>
      <c r="U92" s="242"/>
      <c r="V92" s="242"/>
      <c r="W92" s="277"/>
      <c r="X92" s="277"/>
      <c r="Y92" s="252"/>
      <c r="Z92" s="273"/>
      <c r="AA92" s="263" t="s">
        <v>179</v>
      </c>
      <c r="AB92" s="545"/>
      <c r="AC92" s="357">
        <f t="shared" si="6"/>
        <v>7</v>
      </c>
    </row>
    <row r="93" spans="1:29" s="368" customFormat="1" ht="15" customHeight="1" thickBot="1" x14ac:dyDescent="0.3">
      <c r="A93" s="548"/>
      <c r="B93" s="546"/>
      <c r="C93" s="547"/>
      <c r="D93" s="538"/>
      <c r="E93" s="538"/>
      <c r="F93" s="538"/>
      <c r="G93" s="538"/>
      <c r="H93" s="538"/>
      <c r="I93" s="538"/>
      <c r="J93" s="538"/>
      <c r="K93" s="538"/>
      <c r="L93" s="538"/>
      <c r="M93" s="538"/>
      <c r="N93" s="538"/>
      <c r="O93" s="538"/>
      <c r="P93" s="538"/>
      <c r="Q93" s="538"/>
      <c r="R93" s="538"/>
      <c r="S93" s="539"/>
      <c r="T93" s="539"/>
      <c r="U93" s="539"/>
      <c r="V93" s="539"/>
      <c r="W93" s="539"/>
      <c r="X93" s="539"/>
      <c r="Y93" s="539"/>
      <c r="Z93" s="539"/>
      <c r="AA93" s="540"/>
    </row>
    <row r="94" spans="1:29" s="368" customFormat="1" ht="19.5" thickTop="1" x14ac:dyDescent="0.3">
      <c r="A94" s="369"/>
      <c r="B94" s="369"/>
      <c r="C94" s="369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69"/>
      <c r="P94" s="369"/>
      <c r="Q94" s="369"/>
      <c r="R94" s="369"/>
      <c r="S94" s="1065"/>
      <c r="T94" s="1065"/>
      <c r="U94" s="1065"/>
      <c r="V94" s="371"/>
      <c r="W94" s="369"/>
      <c r="X94" s="369"/>
      <c r="Y94" s="369"/>
      <c r="Z94" s="372"/>
      <c r="AA94" s="369"/>
    </row>
    <row r="95" spans="1:29" s="368" customFormat="1" x14ac:dyDescent="0.3">
      <c r="A95" s="369"/>
      <c r="B95" s="369"/>
      <c r="C95" s="369"/>
      <c r="E95" s="369"/>
      <c r="F95" s="369"/>
      <c r="G95" s="369"/>
      <c r="H95" s="369"/>
      <c r="I95" s="369"/>
      <c r="J95" s="369"/>
      <c r="K95" s="369"/>
      <c r="L95" s="369"/>
      <c r="M95" s="369"/>
      <c r="N95" s="369"/>
      <c r="O95" s="369"/>
      <c r="P95" s="369"/>
      <c r="Q95" s="369"/>
      <c r="R95" s="369"/>
      <c r="S95" s="373"/>
      <c r="T95" s="374"/>
      <c r="U95" s="374"/>
      <c r="V95" s="371"/>
      <c r="W95" s="369"/>
      <c r="X95" s="369"/>
      <c r="Y95" s="369"/>
      <c r="Z95" s="372"/>
      <c r="AA95" s="369"/>
    </row>
    <row r="96" spans="1:29" s="368" customFormat="1" x14ac:dyDescent="0.3">
      <c r="A96" s="369"/>
      <c r="B96" s="369"/>
      <c r="C96" s="369"/>
      <c r="E96" s="369"/>
      <c r="F96" s="369"/>
      <c r="G96" s="369"/>
      <c r="H96" s="369"/>
      <c r="I96" s="369"/>
      <c r="J96" s="369"/>
      <c r="K96" s="369"/>
      <c r="L96" s="369"/>
      <c r="M96" s="369"/>
      <c r="N96" s="369"/>
      <c r="O96" s="369"/>
      <c r="P96" s="369"/>
      <c r="Q96" s="369"/>
      <c r="R96" s="369"/>
      <c r="S96" s="373"/>
      <c r="T96" s="374"/>
      <c r="U96" s="374"/>
      <c r="V96" s="371"/>
      <c r="W96" s="369"/>
      <c r="X96" s="369"/>
      <c r="Y96" s="369"/>
      <c r="Z96" s="372"/>
      <c r="AA96" s="369"/>
    </row>
    <row r="97" spans="1:27" s="3" customFormat="1" x14ac:dyDescent="0.3">
      <c r="A97" s="236"/>
      <c r="B97" s="236"/>
      <c r="C97" s="236"/>
      <c r="E97" s="236"/>
      <c r="F97" s="236"/>
      <c r="G97" s="236"/>
      <c r="H97" s="236"/>
      <c r="I97" s="236"/>
      <c r="J97" s="236"/>
      <c r="K97" s="236"/>
      <c r="L97" s="236"/>
      <c r="M97" s="236"/>
      <c r="N97" s="236"/>
      <c r="O97" s="236"/>
      <c r="P97" s="236"/>
      <c r="Q97" s="39"/>
      <c r="R97" s="43"/>
      <c r="S97" s="1221"/>
      <c r="T97" s="1221"/>
      <c r="U97" s="1221"/>
      <c r="V97" s="20"/>
      <c r="W97" s="235"/>
      <c r="X97" s="235"/>
      <c r="Y97" s="235"/>
      <c r="Z97" s="14"/>
      <c r="AA97" s="235"/>
    </row>
    <row r="98" spans="1:27" s="3" customFormat="1" ht="18" x14ac:dyDescent="0.25">
      <c r="A98" s="236"/>
      <c r="B98" s="236"/>
      <c r="C98" s="236"/>
      <c r="E98" s="236"/>
      <c r="F98" s="236"/>
      <c r="G98" s="236"/>
      <c r="H98" s="236"/>
      <c r="I98" s="236"/>
      <c r="J98" s="236"/>
      <c r="K98" s="236"/>
      <c r="L98" s="236"/>
      <c r="M98" s="236"/>
      <c r="N98" s="236"/>
      <c r="O98" s="236"/>
      <c r="P98" s="236"/>
      <c r="Q98" s="39"/>
      <c r="R98" s="39"/>
      <c r="S98" s="1200"/>
      <c r="T98" s="1200"/>
      <c r="U98" s="1200"/>
      <c r="V98" s="1200"/>
      <c r="W98" s="1200"/>
      <c r="X98" s="1200"/>
      <c r="Y98" s="1200"/>
      <c r="Z98" s="1200"/>
      <c r="AA98" s="1200"/>
    </row>
    <row r="99" spans="1:27" x14ac:dyDescent="0.3">
      <c r="A99" s="236"/>
      <c r="B99" s="236"/>
      <c r="C99" s="236"/>
      <c r="D99" s="3"/>
      <c r="E99" s="236"/>
      <c r="F99" s="236"/>
      <c r="G99" s="236"/>
      <c r="H99" s="236"/>
      <c r="I99" s="236"/>
      <c r="J99" s="236"/>
      <c r="K99" s="236"/>
      <c r="L99" s="236"/>
      <c r="M99" s="236"/>
      <c r="N99" s="236"/>
      <c r="O99" s="236"/>
      <c r="P99" s="236"/>
      <c r="Q99" s="39"/>
      <c r="R99" s="39"/>
    </row>
    <row r="100" spans="1:27" x14ac:dyDescent="0.3">
      <c r="A100" s="236"/>
      <c r="B100" s="236"/>
      <c r="C100" s="236"/>
      <c r="D100" s="3"/>
      <c r="E100" s="236"/>
      <c r="F100" s="236"/>
      <c r="G100" s="236"/>
      <c r="H100" s="236"/>
      <c r="I100" s="236"/>
      <c r="J100" s="236"/>
      <c r="K100" s="236"/>
      <c r="L100" s="236"/>
      <c r="M100" s="236"/>
      <c r="N100" s="236"/>
      <c r="O100" s="236"/>
      <c r="P100" s="236"/>
      <c r="Q100" s="39"/>
      <c r="R100" s="39"/>
    </row>
    <row r="101" spans="1:27" x14ac:dyDescent="0.3">
      <c r="A101" s="236"/>
      <c r="B101" s="236"/>
      <c r="C101" s="236"/>
      <c r="D101" s="3"/>
      <c r="E101" s="236"/>
      <c r="F101" s="236"/>
      <c r="G101" s="236"/>
      <c r="H101" s="236"/>
      <c r="I101" s="236"/>
      <c r="J101" s="236"/>
      <c r="K101" s="236"/>
      <c r="L101" s="236"/>
      <c r="M101" s="236"/>
      <c r="N101" s="236"/>
      <c r="O101" s="236"/>
      <c r="P101" s="236"/>
      <c r="Q101" s="39"/>
      <c r="R101" s="39"/>
    </row>
  </sheetData>
  <autoFilter ref="S6:AB92">
    <filterColumn colId="1" showButton="0"/>
    <filterColumn colId="2" showButton="0"/>
    <filterColumn colId="3" showButton="0"/>
  </autoFilter>
  <mergeCells count="18">
    <mergeCell ref="E1:AA1"/>
    <mergeCell ref="E2:AA2"/>
    <mergeCell ref="E3:AA3"/>
    <mergeCell ref="E4:AI4"/>
    <mergeCell ref="A6:A7"/>
    <mergeCell ref="B6:C7"/>
    <mergeCell ref="D6:D7"/>
    <mergeCell ref="E6:E7"/>
    <mergeCell ref="F6:Q6"/>
    <mergeCell ref="S6:S7"/>
    <mergeCell ref="S97:U97"/>
    <mergeCell ref="S98:AA98"/>
    <mergeCell ref="T6:W6"/>
    <mergeCell ref="X6:X7"/>
    <mergeCell ref="Y6:Y7"/>
    <mergeCell ref="Z6:Z7"/>
    <mergeCell ref="AA6:AA7"/>
    <mergeCell ref="S94:U94"/>
  </mergeCells>
  <printOptions horizontalCentered="1"/>
  <pageMargins left="0.56999999999999995" right="0.16" top="0.27" bottom="0.31" header="0.23" footer="0.27"/>
  <pageSetup scale="98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C118"/>
  <sheetViews>
    <sheetView topLeftCell="A8" zoomScale="120" zoomScaleNormal="120" workbookViewId="0">
      <selection activeCell="K17" sqref="K17"/>
    </sheetView>
  </sheetViews>
  <sheetFormatPr defaultRowHeight="18.75" x14ac:dyDescent="0.3"/>
  <cols>
    <col min="1" max="1" width="3.8984375" style="1" customWidth="1"/>
    <col min="2" max="2" width="4.09765625" style="1" customWidth="1"/>
    <col min="3" max="3" width="4.5" style="1" customWidth="1"/>
    <col min="4" max="4" width="17.5" customWidth="1"/>
    <col min="5" max="5" width="8.3984375" style="1" customWidth="1"/>
    <col min="6" max="9" width="2.796875" style="1" customWidth="1"/>
    <col min="10" max="10" width="2.796875" style="237" customWidth="1"/>
    <col min="11" max="14" width="2.796875" style="1" customWidth="1"/>
    <col min="15" max="15" width="4.796875" style="25" customWidth="1"/>
    <col min="16" max="18" width="2.19921875" style="20" hidden="1" customWidth="1"/>
    <col min="19" max="20" width="3.3984375" style="235" hidden="1" customWidth="1"/>
    <col min="21" max="21" width="4.59765625" style="235" customWidth="1"/>
    <col min="22" max="22" width="5.296875" style="14" hidden="1" customWidth="1"/>
    <col min="23" max="23" width="24" style="235" customWidth="1"/>
    <col min="24" max="24" width="2" customWidth="1"/>
    <col min="25" max="25" width="4.19921875" style="461" customWidth="1"/>
  </cols>
  <sheetData>
    <row r="1" spans="1:29" s="6" customFormat="1" ht="17.25" x14ac:dyDescent="0.3">
      <c r="B1" s="8"/>
      <c r="C1" s="8"/>
      <c r="D1" s="8"/>
      <c r="E1" s="1199" t="s">
        <v>30</v>
      </c>
      <c r="F1" s="1199"/>
      <c r="G1" s="1199"/>
      <c r="H1" s="1199"/>
      <c r="I1" s="1199"/>
      <c r="J1" s="1199"/>
      <c r="K1" s="1199"/>
      <c r="L1" s="1199"/>
      <c r="M1" s="1199"/>
      <c r="N1" s="1199"/>
      <c r="O1" s="1199"/>
      <c r="P1" s="1199"/>
      <c r="Q1" s="1199"/>
      <c r="R1" s="1199"/>
      <c r="S1" s="1199"/>
      <c r="T1" s="1199"/>
      <c r="U1" s="1199"/>
      <c r="V1" s="1199"/>
      <c r="W1" s="1199"/>
      <c r="X1" s="8"/>
      <c r="Y1" s="8"/>
      <c r="Z1" s="8"/>
      <c r="AA1" s="8"/>
    </row>
    <row r="2" spans="1:29" s="6" customFormat="1" ht="15.75" x14ac:dyDescent="0.25">
      <c r="B2" s="10"/>
      <c r="C2" s="10"/>
      <c r="D2" s="10"/>
      <c r="E2" s="1200" t="s">
        <v>470</v>
      </c>
      <c r="F2" s="1200"/>
      <c r="G2" s="1200"/>
      <c r="H2" s="1200"/>
      <c r="I2" s="1200"/>
      <c r="J2" s="1200"/>
      <c r="K2" s="1200"/>
      <c r="L2" s="1200"/>
      <c r="M2" s="1200"/>
      <c r="N2" s="1200"/>
      <c r="O2" s="1200"/>
      <c r="P2" s="1200"/>
      <c r="Q2" s="1200"/>
      <c r="R2" s="1200"/>
      <c r="S2" s="1200"/>
      <c r="T2" s="1200"/>
      <c r="U2" s="1200"/>
      <c r="V2" s="1200"/>
      <c r="W2" s="1200"/>
    </row>
    <row r="3" spans="1:29" s="6" customFormat="1" ht="15.75" hidden="1" x14ac:dyDescent="0.25">
      <c r="B3" s="11"/>
      <c r="C3" s="11"/>
      <c r="D3" s="11"/>
      <c r="E3" s="1201" t="s">
        <v>34</v>
      </c>
      <c r="F3" s="1201"/>
      <c r="G3" s="1201"/>
      <c r="H3" s="1201"/>
      <c r="I3" s="1201"/>
      <c r="J3" s="1201"/>
      <c r="K3" s="1201"/>
      <c r="L3" s="1201"/>
      <c r="M3" s="1201"/>
      <c r="N3" s="1201"/>
      <c r="O3" s="1201"/>
      <c r="P3" s="1201"/>
      <c r="Q3" s="1201"/>
      <c r="R3" s="1201"/>
      <c r="S3" s="1201"/>
      <c r="T3" s="1201"/>
      <c r="U3" s="1201"/>
      <c r="V3" s="11"/>
      <c r="W3" s="11"/>
    </row>
    <row r="4" spans="1:29" s="6" customFormat="1" ht="15.75" customHeight="1" x14ac:dyDescent="0.25">
      <c r="B4" s="10"/>
      <c r="C4" s="10"/>
      <c r="D4" s="10"/>
      <c r="E4" s="1202" t="s">
        <v>468</v>
      </c>
      <c r="F4" s="1202"/>
      <c r="G4" s="1202"/>
      <c r="H4" s="1202"/>
      <c r="I4" s="1202"/>
      <c r="J4" s="1202"/>
      <c r="K4" s="1202"/>
      <c r="L4" s="1202"/>
      <c r="M4" s="1202"/>
      <c r="N4" s="1202"/>
      <c r="O4" s="1202"/>
      <c r="P4" s="1202"/>
      <c r="Q4" s="1202"/>
      <c r="R4" s="1202"/>
      <c r="S4" s="1202"/>
      <c r="T4" s="1202"/>
      <c r="U4" s="1202"/>
      <c r="V4" s="1202"/>
      <c r="W4" s="1202"/>
      <c r="X4" s="1202"/>
      <c r="Y4" s="1202"/>
      <c r="Z4" s="1202"/>
      <c r="AA4" s="1202"/>
      <c r="AB4" s="1202"/>
      <c r="AC4" s="1202"/>
    </row>
    <row r="5" spans="1:29" ht="1.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34"/>
      <c r="K5" s="2"/>
      <c r="L5" s="2"/>
      <c r="M5" s="2"/>
      <c r="N5" s="2"/>
      <c r="O5" s="234"/>
      <c r="P5" s="177"/>
      <c r="Q5" s="177"/>
      <c r="R5" s="177"/>
      <c r="S5" s="234"/>
      <c r="T5" s="234"/>
      <c r="U5" s="234"/>
      <c r="V5" s="234"/>
      <c r="W5" s="234"/>
      <c r="X5" s="112">
        <v>14</v>
      </c>
    </row>
    <row r="6" spans="1:29" s="6" customFormat="1" ht="23.25" customHeight="1" thickTop="1" x14ac:dyDescent="0.2">
      <c r="A6" s="1268" t="s">
        <v>91</v>
      </c>
      <c r="B6" s="1270" t="s">
        <v>106</v>
      </c>
      <c r="C6" s="1271"/>
      <c r="D6" s="1274" t="s">
        <v>92</v>
      </c>
      <c r="E6" s="1274" t="s">
        <v>93</v>
      </c>
      <c r="F6" s="1261" t="s">
        <v>2078</v>
      </c>
      <c r="G6" s="1262"/>
      <c r="H6" s="1262"/>
      <c r="I6" s="1262"/>
      <c r="J6" s="1262"/>
      <c r="K6" s="1262"/>
      <c r="L6" s="1262"/>
      <c r="M6" s="1262"/>
      <c r="N6" s="671"/>
      <c r="O6" s="1277" t="s">
        <v>102</v>
      </c>
      <c r="P6" s="1261" t="s">
        <v>104</v>
      </c>
      <c r="Q6" s="1262"/>
      <c r="R6" s="1262"/>
      <c r="S6" s="1263"/>
      <c r="T6" s="1264" t="s">
        <v>99</v>
      </c>
      <c r="U6" s="1264" t="s">
        <v>100</v>
      </c>
      <c r="V6" s="1050" t="s">
        <v>103</v>
      </c>
      <c r="W6" s="1266" t="s">
        <v>90</v>
      </c>
      <c r="X6" s="6">
        <v>14</v>
      </c>
    </row>
    <row r="7" spans="1:29" s="6" customFormat="1" ht="149.25" customHeight="1" x14ac:dyDescent="0.2">
      <c r="A7" s="1269"/>
      <c r="B7" s="1272"/>
      <c r="C7" s="1273"/>
      <c r="D7" s="1289"/>
      <c r="E7" s="1289"/>
      <c r="F7" s="454" t="s">
        <v>309</v>
      </c>
      <c r="G7" s="459" t="s">
        <v>330</v>
      </c>
      <c r="H7" s="454" t="s">
        <v>310</v>
      </c>
      <c r="I7" s="453" t="s">
        <v>311</v>
      </c>
      <c r="J7" s="454" t="s">
        <v>107</v>
      </c>
      <c r="K7" s="455" t="s">
        <v>127</v>
      </c>
      <c r="L7" s="456" t="s">
        <v>1783</v>
      </c>
      <c r="M7" s="460" t="s">
        <v>312</v>
      </c>
      <c r="N7" s="456" t="s">
        <v>1784</v>
      </c>
      <c r="O7" s="1278"/>
      <c r="P7" s="279" t="s">
        <v>108</v>
      </c>
      <c r="Q7" s="279" t="s">
        <v>97</v>
      </c>
      <c r="R7" s="279" t="s">
        <v>96</v>
      </c>
      <c r="S7" s="284" t="s">
        <v>98</v>
      </c>
      <c r="T7" s="1290"/>
      <c r="U7" s="1265"/>
      <c r="V7" s="1291"/>
      <c r="W7" s="1267"/>
      <c r="X7" s="6" t="s">
        <v>94</v>
      </c>
    </row>
    <row r="8" spans="1:29" s="256" customFormat="1" ht="16.5" customHeight="1" x14ac:dyDescent="0.2">
      <c r="A8" s="285">
        <v>1</v>
      </c>
      <c r="B8" s="245" t="s">
        <v>20</v>
      </c>
      <c r="C8" s="246">
        <v>2022</v>
      </c>
      <c r="D8" s="264" t="s">
        <v>1201</v>
      </c>
      <c r="E8" s="296" t="s">
        <v>630</v>
      </c>
      <c r="F8" s="266">
        <v>7</v>
      </c>
      <c r="G8" s="266">
        <v>7</v>
      </c>
      <c r="H8" s="266">
        <v>7.5</v>
      </c>
      <c r="I8" s="266">
        <v>7.5</v>
      </c>
      <c r="J8" s="266">
        <v>6</v>
      </c>
      <c r="K8" s="266">
        <v>7</v>
      </c>
      <c r="L8" s="266">
        <v>7</v>
      </c>
      <c r="M8" s="266">
        <v>7</v>
      </c>
      <c r="N8" s="297">
        <v>7</v>
      </c>
      <c r="O8" s="243">
        <f>SUM(F8:N8)/9</f>
        <v>7</v>
      </c>
      <c r="P8" s="266"/>
      <c r="Q8" s="266"/>
      <c r="R8" s="266"/>
      <c r="S8" s="286">
        <f>SUM(P8:R8)/3</f>
        <v>0</v>
      </c>
      <c r="T8" s="286">
        <f>SUM(O8+S8)/2</f>
        <v>3.5</v>
      </c>
      <c r="U8" s="257"/>
      <c r="V8" s="271"/>
      <c r="W8" s="298" t="s">
        <v>206</v>
      </c>
      <c r="X8" s="374"/>
      <c r="Y8" s="357">
        <f t="shared" ref="Y8:Y70" si="0">AVERAGE(F8:N8)</f>
        <v>7</v>
      </c>
    </row>
    <row r="9" spans="1:29" s="256" customFormat="1" ht="16.5" customHeight="1" x14ac:dyDescent="0.2">
      <c r="A9" s="287">
        <v>2</v>
      </c>
      <c r="B9" s="245"/>
      <c r="C9" s="246">
        <v>2022</v>
      </c>
      <c r="D9" s="269" t="s">
        <v>722</v>
      </c>
      <c r="E9" s="299" t="s">
        <v>913</v>
      </c>
      <c r="F9" s="242">
        <v>7</v>
      </c>
      <c r="G9" s="242">
        <v>6.5</v>
      </c>
      <c r="H9" s="242">
        <v>6.5</v>
      </c>
      <c r="I9" s="242">
        <v>7</v>
      </c>
      <c r="J9" s="242">
        <v>8</v>
      </c>
      <c r="K9" s="242">
        <v>7</v>
      </c>
      <c r="L9" s="242">
        <v>7</v>
      </c>
      <c r="M9" s="242">
        <v>7</v>
      </c>
      <c r="N9" s="242">
        <v>7</v>
      </c>
      <c r="O9" s="243">
        <f t="shared" ref="O9:O70" si="1">SUM(F9:N9)/9</f>
        <v>7</v>
      </c>
      <c r="P9" s="242"/>
      <c r="Q9" s="242"/>
      <c r="R9" s="242"/>
      <c r="S9" s="277">
        <f t="shared" ref="S9:S26" si="2">SUM(P9:R9)/3</f>
        <v>0</v>
      </c>
      <c r="T9" s="277">
        <f t="shared" ref="T9:T26" si="3">SUM(O9+S9)/2</f>
        <v>3.5</v>
      </c>
      <c r="U9" s="252"/>
      <c r="V9" s="273"/>
      <c r="W9" s="263" t="s">
        <v>178</v>
      </c>
      <c r="X9" s="374"/>
      <c r="Y9" s="357">
        <f t="shared" si="0"/>
        <v>7</v>
      </c>
    </row>
    <row r="10" spans="1:29" s="256" customFormat="1" ht="16.5" customHeight="1" x14ac:dyDescent="0.2">
      <c r="A10" s="287">
        <v>3</v>
      </c>
      <c r="B10" s="245"/>
      <c r="C10" s="246">
        <v>2022</v>
      </c>
      <c r="D10" s="269" t="s">
        <v>495</v>
      </c>
      <c r="E10" s="292" t="s">
        <v>1202</v>
      </c>
      <c r="F10" s="242">
        <v>8</v>
      </c>
      <c r="G10" s="242">
        <v>8</v>
      </c>
      <c r="H10" s="242">
        <v>8</v>
      </c>
      <c r="I10" s="242">
        <v>8</v>
      </c>
      <c r="J10" s="242">
        <v>7</v>
      </c>
      <c r="K10" s="242">
        <v>7.5</v>
      </c>
      <c r="L10" s="242">
        <v>7</v>
      </c>
      <c r="M10" s="242">
        <v>6</v>
      </c>
      <c r="N10" s="242">
        <v>7.5</v>
      </c>
      <c r="O10" s="243">
        <f t="shared" si="1"/>
        <v>7.4444444444444446</v>
      </c>
      <c r="P10" s="242"/>
      <c r="Q10" s="242"/>
      <c r="R10" s="242"/>
      <c r="S10" s="277">
        <f t="shared" si="2"/>
        <v>0</v>
      </c>
      <c r="T10" s="277">
        <f t="shared" si="3"/>
        <v>3.7222222222222223</v>
      </c>
      <c r="U10" s="252"/>
      <c r="V10" s="273"/>
      <c r="W10" s="263" t="s">
        <v>201</v>
      </c>
      <c r="X10" s="374"/>
      <c r="Y10" s="357">
        <f t="shared" si="0"/>
        <v>7.4444444444444446</v>
      </c>
    </row>
    <row r="11" spans="1:29" s="256" customFormat="1" ht="16.5" customHeight="1" x14ac:dyDescent="0.2">
      <c r="A11" s="287">
        <v>4</v>
      </c>
      <c r="B11" s="245"/>
      <c r="C11" s="246">
        <v>2022</v>
      </c>
      <c r="D11" s="269" t="s">
        <v>1203</v>
      </c>
      <c r="E11" s="294" t="s">
        <v>724</v>
      </c>
      <c r="F11" s="242">
        <v>7.5</v>
      </c>
      <c r="G11" s="242">
        <v>7.4</v>
      </c>
      <c r="H11" s="242">
        <v>8</v>
      </c>
      <c r="I11" s="242">
        <v>7</v>
      </c>
      <c r="J11" s="242">
        <v>7</v>
      </c>
      <c r="K11" s="242">
        <v>7</v>
      </c>
      <c r="L11" s="242">
        <v>7</v>
      </c>
      <c r="M11" s="242">
        <v>8</v>
      </c>
      <c r="N11" s="242">
        <v>7</v>
      </c>
      <c r="O11" s="243">
        <f t="shared" si="1"/>
        <v>7.3222222222222229</v>
      </c>
      <c r="P11" s="242"/>
      <c r="Q11" s="242"/>
      <c r="R11" s="242"/>
      <c r="S11" s="277">
        <f t="shared" si="2"/>
        <v>0</v>
      </c>
      <c r="T11" s="277">
        <f t="shared" si="3"/>
        <v>3.6611111111111114</v>
      </c>
      <c r="U11" s="252"/>
      <c r="V11" s="273"/>
      <c r="W11" s="300" t="s">
        <v>1278</v>
      </c>
      <c r="X11" s="374"/>
      <c r="Y11" s="357">
        <f t="shared" si="0"/>
        <v>7.3222222222222229</v>
      </c>
    </row>
    <row r="12" spans="1:29" s="256" customFormat="1" ht="16.5" customHeight="1" x14ac:dyDescent="0.2">
      <c r="A12" s="287">
        <v>5</v>
      </c>
      <c r="B12" s="245"/>
      <c r="C12" s="246">
        <v>2022</v>
      </c>
      <c r="D12" s="269" t="s">
        <v>1204</v>
      </c>
      <c r="E12" s="292" t="s">
        <v>152</v>
      </c>
      <c r="F12" s="242">
        <v>8</v>
      </c>
      <c r="G12" s="242">
        <v>7</v>
      </c>
      <c r="H12" s="242">
        <v>7.5</v>
      </c>
      <c r="I12" s="242">
        <v>6</v>
      </c>
      <c r="J12" s="242">
        <v>8</v>
      </c>
      <c r="K12" s="242">
        <v>6</v>
      </c>
      <c r="L12" s="242">
        <v>7.5</v>
      </c>
      <c r="M12" s="242">
        <v>7</v>
      </c>
      <c r="N12" s="242">
        <v>7</v>
      </c>
      <c r="O12" s="243">
        <f t="shared" si="1"/>
        <v>7.1111111111111107</v>
      </c>
      <c r="P12" s="242"/>
      <c r="Q12" s="242"/>
      <c r="R12" s="242"/>
      <c r="S12" s="277">
        <f t="shared" si="2"/>
        <v>0</v>
      </c>
      <c r="T12" s="277">
        <f t="shared" si="3"/>
        <v>3.5555555555555554</v>
      </c>
      <c r="U12" s="252"/>
      <c r="V12" s="273"/>
      <c r="W12" s="263" t="s">
        <v>12</v>
      </c>
      <c r="X12" s="374"/>
      <c r="Y12" s="357">
        <f t="shared" si="0"/>
        <v>7.1111111111111107</v>
      </c>
    </row>
    <row r="13" spans="1:29" s="256" customFormat="1" ht="16.5" customHeight="1" x14ac:dyDescent="0.2">
      <c r="A13" s="287">
        <v>6</v>
      </c>
      <c r="B13" s="245"/>
      <c r="C13" s="246">
        <v>2022</v>
      </c>
      <c r="D13" s="269" t="s">
        <v>1205</v>
      </c>
      <c r="E13" s="294" t="s">
        <v>1066</v>
      </c>
      <c r="F13" s="242">
        <v>7.5</v>
      </c>
      <c r="G13" s="242">
        <v>7.5</v>
      </c>
      <c r="H13" s="242">
        <v>7</v>
      </c>
      <c r="I13" s="242">
        <v>7.5</v>
      </c>
      <c r="J13" s="242">
        <v>6</v>
      </c>
      <c r="K13" s="242">
        <v>6</v>
      </c>
      <c r="L13" s="242">
        <v>7</v>
      </c>
      <c r="M13" s="242">
        <v>7.5</v>
      </c>
      <c r="N13" s="242">
        <v>7</v>
      </c>
      <c r="O13" s="243">
        <f t="shared" si="1"/>
        <v>7</v>
      </c>
      <c r="P13" s="242"/>
      <c r="Q13" s="242"/>
      <c r="R13" s="242"/>
      <c r="S13" s="277">
        <f t="shared" si="2"/>
        <v>0</v>
      </c>
      <c r="T13" s="277">
        <f t="shared" si="3"/>
        <v>3.5</v>
      </c>
      <c r="U13" s="252"/>
      <c r="V13" s="273"/>
      <c r="W13" s="263" t="s">
        <v>18</v>
      </c>
      <c r="X13" s="374"/>
      <c r="Y13" s="357">
        <f t="shared" si="0"/>
        <v>7</v>
      </c>
    </row>
    <row r="14" spans="1:29" s="256" customFormat="1" ht="16.5" customHeight="1" x14ac:dyDescent="0.2">
      <c r="A14" s="287">
        <v>7</v>
      </c>
      <c r="B14" s="245"/>
      <c r="C14" s="246">
        <v>2022</v>
      </c>
      <c r="D14" s="269" t="s">
        <v>1206</v>
      </c>
      <c r="E14" s="294" t="s">
        <v>975</v>
      </c>
      <c r="F14" s="242">
        <v>7.5</v>
      </c>
      <c r="G14" s="242">
        <v>7</v>
      </c>
      <c r="H14" s="242">
        <v>7</v>
      </c>
      <c r="I14" s="242">
        <v>7.5</v>
      </c>
      <c r="J14" s="242">
        <v>7</v>
      </c>
      <c r="K14" s="242">
        <v>7.5</v>
      </c>
      <c r="L14" s="242">
        <v>7.5</v>
      </c>
      <c r="M14" s="242">
        <v>7.5</v>
      </c>
      <c r="N14" s="242">
        <v>7</v>
      </c>
      <c r="O14" s="243">
        <f t="shared" si="1"/>
        <v>7.2777777777777777</v>
      </c>
      <c r="P14" s="242"/>
      <c r="Q14" s="242"/>
      <c r="R14" s="242"/>
      <c r="S14" s="277">
        <f t="shared" si="2"/>
        <v>0</v>
      </c>
      <c r="T14" s="277">
        <f t="shared" si="3"/>
        <v>3.6388888888888888</v>
      </c>
      <c r="U14" s="252"/>
      <c r="V14" s="273"/>
      <c r="W14" s="300" t="s">
        <v>184</v>
      </c>
      <c r="X14" s="374"/>
      <c r="Y14" s="357">
        <f t="shared" si="0"/>
        <v>7.2777777777777777</v>
      </c>
    </row>
    <row r="15" spans="1:29" s="256" customFormat="1" ht="16.5" customHeight="1" x14ac:dyDescent="0.2">
      <c r="A15" s="287">
        <v>8</v>
      </c>
      <c r="B15" s="245"/>
      <c r="C15" s="246">
        <v>2022</v>
      </c>
      <c r="D15" s="269" t="s">
        <v>1207</v>
      </c>
      <c r="E15" s="294" t="s">
        <v>1208</v>
      </c>
      <c r="F15" s="242">
        <v>7.5</v>
      </c>
      <c r="G15" s="242">
        <v>7</v>
      </c>
      <c r="H15" s="242">
        <v>6.5</v>
      </c>
      <c r="I15" s="242">
        <v>6.5</v>
      </c>
      <c r="J15" s="242">
        <v>7</v>
      </c>
      <c r="K15" s="242">
        <v>7</v>
      </c>
      <c r="L15" s="242">
        <v>7</v>
      </c>
      <c r="M15" s="242">
        <v>8</v>
      </c>
      <c r="N15" s="242">
        <v>7</v>
      </c>
      <c r="O15" s="243">
        <f t="shared" si="1"/>
        <v>7.0555555555555554</v>
      </c>
      <c r="P15" s="242"/>
      <c r="Q15" s="242"/>
      <c r="R15" s="242"/>
      <c r="S15" s="277">
        <f t="shared" si="2"/>
        <v>0</v>
      </c>
      <c r="T15" s="277">
        <f t="shared" si="3"/>
        <v>3.5277777777777777</v>
      </c>
      <c r="U15" s="252"/>
      <c r="V15" s="273"/>
      <c r="W15" s="511" t="s">
        <v>169</v>
      </c>
      <c r="X15" s="374"/>
      <c r="Y15" s="357">
        <f t="shared" si="0"/>
        <v>7.0555555555555554</v>
      </c>
    </row>
    <row r="16" spans="1:29" s="256" customFormat="1" ht="16.5" customHeight="1" x14ac:dyDescent="0.2">
      <c r="A16" s="287">
        <v>9</v>
      </c>
      <c r="B16" s="245"/>
      <c r="C16" s="246">
        <v>2022</v>
      </c>
      <c r="D16" s="269" t="s">
        <v>1209</v>
      </c>
      <c r="E16" s="294" t="s">
        <v>152</v>
      </c>
      <c r="F16" s="242">
        <v>6.5</v>
      </c>
      <c r="G16" s="242">
        <v>8</v>
      </c>
      <c r="H16" s="242">
        <v>8</v>
      </c>
      <c r="I16" s="242">
        <v>7.5</v>
      </c>
      <c r="J16" s="242">
        <v>8</v>
      </c>
      <c r="K16" s="242">
        <v>7</v>
      </c>
      <c r="L16" s="242">
        <v>7</v>
      </c>
      <c r="M16" s="242">
        <v>8</v>
      </c>
      <c r="N16" s="242">
        <v>7</v>
      </c>
      <c r="O16" s="243">
        <f t="shared" si="1"/>
        <v>7.4444444444444446</v>
      </c>
      <c r="P16" s="242"/>
      <c r="Q16" s="242"/>
      <c r="R16" s="242"/>
      <c r="S16" s="277">
        <f t="shared" si="2"/>
        <v>0</v>
      </c>
      <c r="T16" s="277">
        <f t="shared" si="3"/>
        <v>3.7222222222222223</v>
      </c>
      <c r="U16" s="252"/>
      <c r="V16" s="273"/>
      <c r="W16" s="263" t="s">
        <v>171</v>
      </c>
      <c r="X16" s="374"/>
      <c r="Y16" s="357">
        <f t="shared" si="0"/>
        <v>7.4444444444444446</v>
      </c>
    </row>
    <row r="17" spans="1:25" s="256" customFormat="1" ht="16.5" customHeight="1" x14ac:dyDescent="0.2">
      <c r="A17" s="287">
        <v>10</v>
      </c>
      <c r="B17" s="245"/>
      <c r="C17" s="246">
        <v>2022</v>
      </c>
      <c r="D17" s="269" t="s">
        <v>1210</v>
      </c>
      <c r="E17" s="299" t="s">
        <v>1211</v>
      </c>
      <c r="F17" s="242">
        <v>7.5</v>
      </c>
      <c r="G17" s="242">
        <v>7.5</v>
      </c>
      <c r="H17" s="242">
        <v>8</v>
      </c>
      <c r="I17" s="242">
        <v>6</v>
      </c>
      <c r="J17" s="242">
        <v>6</v>
      </c>
      <c r="K17" s="242">
        <v>7</v>
      </c>
      <c r="L17" s="242">
        <v>7</v>
      </c>
      <c r="M17" s="242">
        <v>7</v>
      </c>
      <c r="N17" s="242">
        <v>7</v>
      </c>
      <c r="O17" s="243">
        <f t="shared" si="1"/>
        <v>7</v>
      </c>
      <c r="P17" s="242"/>
      <c r="Q17" s="242"/>
      <c r="R17" s="242"/>
      <c r="S17" s="277">
        <f t="shared" si="2"/>
        <v>0</v>
      </c>
      <c r="T17" s="277">
        <f t="shared" si="3"/>
        <v>3.5</v>
      </c>
      <c r="U17" s="252"/>
      <c r="V17" s="273"/>
      <c r="W17" s="261" t="s">
        <v>1279</v>
      </c>
      <c r="X17" s="374"/>
      <c r="Y17" s="357">
        <f t="shared" si="0"/>
        <v>7</v>
      </c>
    </row>
    <row r="18" spans="1:25" s="256" customFormat="1" ht="16.5" customHeight="1" x14ac:dyDescent="0.2">
      <c r="A18" s="287">
        <v>11</v>
      </c>
      <c r="B18" s="617"/>
      <c r="C18" s="246">
        <v>2022</v>
      </c>
      <c r="D18" s="514" t="s">
        <v>1786</v>
      </c>
      <c r="E18" s="292"/>
      <c r="F18" s="624">
        <v>7.5</v>
      </c>
      <c r="G18" s="320">
        <v>6.4</v>
      </c>
      <c r="H18" s="320">
        <v>8</v>
      </c>
      <c r="I18" s="320">
        <v>7</v>
      </c>
      <c r="J18" s="320">
        <v>7</v>
      </c>
      <c r="K18" s="320">
        <v>7</v>
      </c>
      <c r="L18" s="624">
        <v>6.5</v>
      </c>
      <c r="M18" s="320">
        <v>7.5</v>
      </c>
      <c r="N18" s="320">
        <v>7</v>
      </c>
      <c r="O18" s="243">
        <f t="shared" si="1"/>
        <v>7.1</v>
      </c>
      <c r="P18" s="320"/>
      <c r="Q18" s="320"/>
      <c r="R18" s="320"/>
      <c r="S18" s="518"/>
      <c r="T18" s="518"/>
      <c r="U18" s="519"/>
      <c r="V18" s="520"/>
      <c r="W18" s="300"/>
      <c r="X18" s="374"/>
      <c r="Y18" s="357">
        <f t="shared" si="0"/>
        <v>7.1</v>
      </c>
    </row>
    <row r="19" spans="1:25" s="256" customFormat="1" ht="16.5" customHeight="1" x14ac:dyDescent="0.2">
      <c r="A19" s="287">
        <v>12</v>
      </c>
      <c r="B19" s="618"/>
      <c r="C19" s="246">
        <v>2022</v>
      </c>
      <c r="D19" s="269" t="s">
        <v>1212</v>
      </c>
      <c r="E19" s="301" t="s">
        <v>1213</v>
      </c>
      <c r="F19" s="242">
        <v>8</v>
      </c>
      <c r="G19" s="242">
        <v>7</v>
      </c>
      <c r="H19" s="242">
        <v>7.5</v>
      </c>
      <c r="I19" s="242">
        <v>7.5</v>
      </c>
      <c r="J19" s="242">
        <v>7</v>
      </c>
      <c r="K19" s="242">
        <v>7</v>
      </c>
      <c r="L19" s="242">
        <v>7.5</v>
      </c>
      <c r="M19" s="242">
        <v>7</v>
      </c>
      <c r="N19" s="242">
        <v>7.5</v>
      </c>
      <c r="O19" s="243">
        <f t="shared" si="1"/>
        <v>7.333333333333333</v>
      </c>
      <c r="P19" s="242"/>
      <c r="Q19" s="242"/>
      <c r="R19" s="242"/>
      <c r="S19" s="277">
        <f t="shared" si="2"/>
        <v>0</v>
      </c>
      <c r="T19" s="277">
        <f t="shared" si="3"/>
        <v>3.6666666666666665</v>
      </c>
      <c r="U19" s="379"/>
      <c r="V19" s="273"/>
      <c r="W19" s="305" t="s">
        <v>241</v>
      </c>
      <c r="X19" s="374"/>
      <c r="Y19" s="357">
        <f t="shared" si="0"/>
        <v>7.333333333333333</v>
      </c>
    </row>
    <row r="20" spans="1:25" s="256" customFormat="1" ht="16.5" customHeight="1" x14ac:dyDescent="0.2">
      <c r="A20" s="287">
        <v>13</v>
      </c>
      <c r="B20" s="245"/>
      <c r="C20" s="246">
        <v>2022</v>
      </c>
      <c r="D20" s="269" t="s">
        <v>1214</v>
      </c>
      <c r="E20" s="294" t="s">
        <v>579</v>
      </c>
      <c r="F20" s="242">
        <v>6.5</v>
      </c>
      <c r="G20" s="242">
        <v>7.6</v>
      </c>
      <c r="H20" s="242">
        <v>8</v>
      </c>
      <c r="I20" s="242">
        <v>8</v>
      </c>
      <c r="J20" s="242">
        <v>6</v>
      </c>
      <c r="K20" s="242">
        <v>7</v>
      </c>
      <c r="L20" s="242">
        <v>7</v>
      </c>
      <c r="M20" s="242">
        <v>7.5</v>
      </c>
      <c r="N20" s="242">
        <v>7</v>
      </c>
      <c r="O20" s="243">
        <f t="shared" si="1"/>
        <v>7.1777777777777771</v>
      </c>
      <c r="P20" s="242"/>
      <c r="Q20" s="242"/>
      <c r="R20" s="242"/>
      <c r="S20" s="277">
        <f t="shared" si="2"/>
        <v>0</v>
      </c>
      <c r="T20" s="277">
        <f t="shared" si="3"/>
        <v>3.5888888888888886</v>
      </c>
      <c r="U20" s="252"/>
      <c r="V20" s="273"/>
      <c r="W20" s="263" t="s">
        <v>180</v>
      </c>
      <c r="X20" s="374"/>
      <c r="Y20" s="357">
        <f t="shared" si="0"/>
        <v>7.1777777777777771</v>
      </c>
    </row>
    <row r="21" spans="1:25" s="256" customFormat="1" ht="16.5" customHeight="1" x14ac:dyDescent="0.2">
      <c r="A21" s="287">
        <v>14</v>
      </c>
      <c r="B21" s="245"/>
      <c r="C21" s="246">
        <v>2022</v>
      </c>
      <c r="D21" s="269" t="s">
        <v>1215</v>
      </c>
      <c r="E21" s="294" t="s">
        <v>952</v>
      </c>
      <c r="F21" s="242">
        <v>8</v>
      </c>
      <c r="G21" s="242">
        <v>6.5</v>
      </c>
      <c r="H21" s="242">
        <v>6.5</v>
      </c>
      <c r="I21" s="242">
        <v>7</v>
      </c>
      <c r="J21" s="242">
        <v>6</v>
      </c>
      <c r="K21" s="242">
        <v>7.5</v>
      </c>
      <c r="L21" s="242">
        <v>7</v>
      </c>
      <c r="M21" s="242">
        <v>8</v>
      </c>
      <c r="N21" s="242">
        <v>7</v>
      </c>
      <c r="O21" s="243">
        <f t="shared" si="1"/>
        <v>7.0555555555555554</v>
      </c>
      <c r="P21" s="242"/>
      <c r="Q21" s="242"/>
      <c r="R21" s="242"/>
      <c r="S21" s="277">
        <f t="shared" si="2"/>
        <v>0</v>
      </c>
      <c r="T21" s="277">
        <f t="shared" si="3"/>
        <v>3.5277777777777777</v>
      </c>
      <c r="U21" s="252"/>
      <c r="V21" s="273"/>
      <c r="W21" s="263" t="s">
        <v>12</v>
      </c>
      <c r="X21" s="374"/>
      <c r="Y21" s="357">
        <f t="shared" si="0"/>
        <v>7.0555555555555554</v>
      </c>
    </row>
    <row r="22" spans="1:25" s="256" customFormat="1" ht="16.5" customHeight="1" x14ac:dyDescent="0.2">
      <c r="A22" s="287">
        <v>15</v>
      </c>
      <c r="B22" s="245"/>
      <c r="C22" s="246">
        <v>2022</v>
      </c>
      <c r="D22" s="269" t="s">
        <v>1216</v>
      </c>
      <c r="E22" s="294" t="s">
        <v>802</v>
      </c>
      <c r="F22" s="242">
        <v>7.5</v>
      </c>
      <c r="G22" s="242">
        <v>8.5</v>
      </c>
      <c r="H22" s="242">
        <v>8</v>
      </c>
      <c r="I22" s="242">
        <v>8</v>
      </c>
      <c r="J22" s="242">
        <v>8</v>
      </c>
      <c r="K22" s="242">
        <v>8</v>
      </c>
      <c r="L22" s="242">
        <v>8</v>
      </c>
      <c r="M22" s="242">
        <v>8</v>
      </c>
      <c r="N22" s="242">
        <v>8</v>
      </c>
      <c r="O22" s="243">
        <f t="shared" si="1"/>
        <v>8</v>
      </c>
      <c r="P22" s="242"/>
      <c r="Q22" s="242"/>
      <c r="R22" s="242"/>
      <c r="S22" s="277">
        <f t="shared" si="2"/>
        <v>0</v>
      </c>
      <c r="T22" s="277">
        <f t="shared" si="3"/>
        <v>4</v>
      </c>
      <c r="U22" s="252"/>
      <c r="V22" s="273"/>
      <c r="W22" s="263" t="s">
        <v>171</v>
      </c>
      <c r="X22" s="374"/>
      <c r="Y22" s="613">
        <f t="shared" si="0"/>
        <v>8</v>
      </c>
    </row>
    <row r="23" spans="1:25" s="256" customFormat="1" ht="16.5" customHeight="1" x14ac:dyDescent="0.2">
      <c r="A23" s="287">
        <v>16</v>
      </c>
      <c r="B23" s="245"/>
      <c r="C23" s="246">
        <v>2022</v>
      </c>
      <c r="D23" s="269" t="s">
        <v>1217</v>
      </c>
      <c r="E23" s="292" t="s">
        <v>1218</v>
      </c>
      <c r="F23" s="242">
        <v>8</v>
      </c>
      <c r="G23" s="242">
        <v>8</v>
      </c>
      <c r="H23" s="242">
        <v>8</v>
      </c>
      <c r="I23" s="242">
        <v>8</v>
      </c>
      <c r="J23" s="242">
        <v>8</v>
      </c>
      <c r="K23" s="242">
        <v>8</v>
      </c>
      <c r="L23" s="242">
        <v>8</v>
      </c>
      <c r="M23" s="242">
        <v>8</v>
      </c>
      <c r="N23" s="242">
        <v>8</v>
      </c>
      <c r="O23" s="243">
        <f t="shared" si="1"/>
        <v>8</v>
      </c>
      <c r="P23" s="242"/>
      <c r="Q23" s="242"/>
      <c r="R23" s="242"/>
      <c r="S23" s="277">
        <f t="shared" si="2"/>
        <v>0</v>
      </c>
      <c r="T23" s="277">
        <f t="shared" si="3"/>
        <v>4</v>
      </c>
      <c r="U23" s="252"/>
      <c r="V23" s="273"/>
      <c r="W23" s="263" t="s">
        <v>1197</v>
      </c>
      <c r="X23" s="374"/>
      <c r="Y23" s="613">
        <f t="shared" si="0"/>
        <v>8</v>
      </c>
    </row>
    <row r="24" spans="1:25" s="256" customFormat="1" ht="16.5" customHeight="1" x14ac:dyDescent="0.2">
      <c r="A24" s="287">
        <v>17</v>
      </c>
      <c r="B24" s="245"/>
      <c r="C24" s="246">
        <v>2022</v>
      </c>
      <c r="D24" s="269" t="s">
        <v>1219</v>
      </c>
      <c r="E24" s="302" t="s">
        <v>1220</v>
      </c>
      <c r="F24" s="242">
        <v>6.5</v>
      </c>
      <c r="G24" s="242">
        <v>7</v>
      </c>
      <c r="H24" s="242">
        <v>7.5</v>
      </c>
      <c r="I24" s="242">
        <v>8</v>
      </c>
      <c r="J24" s="242">
        <v>7</v>
      </c>
      <c r="K24" s="242">
        <v>7</v>
      </c>
      <c r="L24" s="242">
        <v>7</v>
      </c>
      <c r="M24" s="242">
        <v>8</v>
      </c>
      <c r="N24" s="242">
        <v>7</v>
      </c>
      <c r="O24" s="243">
        <f t="shared" si="1"/>
        <v>7.2222222222222223</v>
      </c>
      <c r="P24" s="242"/>
      <c r="Q24" s="242"/>
      <c r="R24" s="242"/>
      <c r="S24" s="277">
        <f t="shared" si="2"/>
        <v>0</v>
      </c>
      <c r="T24" s="277">
        <f t="shared" si="3"/>
        <v>3.6111111111111112</v>
      </c>
      <c r="U24" s="252"/>
      <c r="V24" s="273"/>
      <c r="W24" s="263" t="s">
        <v>206</v>
      </c>
      <c r="X24" s="374"/>
      <c r="Y24" s="357">
        <f t="shared" si="0"/>
        <v>7.2222222222222223</v>
      </c>
    </row>
    <row r="25" spans="1:25" s="256" customFormat="1" ht="16.5" customHeight="1" x14ac:dyDescent="0.2">
      <c r="A25" s="287">
        <v>18</v>
      </c>
      <c r="B25" s="245"/>
      <c r="C25" s="246">
        <v>2022</v>
      </c>
      <c r="D25" s="269" t="s">
        <v>1221</v>
      </c>
      <c r="E25" s="292" t="s">
        <v>1222</v>
      </c>
      <c r="F25" s="242">
        <v>7.5</v>
      </c>
      <c r="G25" s="242">
        <v>7.5</v>
      </c>
      <c r="H25" s="242">
        <v>8</v>
      </c>
      <c r="I25" s="242">
        <v>8</v>
      </c>
      <c r="J25" s="242">
        <v>6</v>
      </c>
      <c r="K25" s="242">
        <v>6.5</v>
      </c>
      <c r="L25" s="242">
        <v>7</v>
      </c>
      <c r="M25" s="242">
        <v>7</v>
      </c>
      <c r="N25" s="242">
        <v>7</v>
      </c>
      <c r="O25" s="243">
        <f t="shared" si="1"/>
        <v>7.166666666666667</v>
      </c>
      <c r="P25" s="242"/>
      <c r="Q25" s="242"/>
      <c r="R25" s="242"/>
      <c r="S25" s="277">
        <f t="shared" si="2"/>
        <v>0</v>
      </c>
      <c r="T25" s="277">
        <f t="shared" si="3"/>
        <v>3.5833333333333335</v>
      </c>
      <c r="U25" s="252"/>
      <c r="V25" s="273"/>
      <c r="W25" s="300" t="s">
        <v>1280</v>
      </c>
      <c r="X25" s="374"/>
      <c r="Y25" s="357">
        <f t="shared" si="0"/>
        <v>7.166666666666667</v>
      </c>
    </row>
    <row r="26" spans="1:25" s="256" customFormat="1" ht="16.5" customHeight="1" x14ac:dyDescent="0.2">
      <c r="A26" s="287">
        <v>19</v>
      </c>
      <c r="B26" s="245"/>
      <c r="C26" s="246">
        <v>2022</v>
      </c>
      <c r="D26" s="269" t="s">
        <v>1223</v>
      </c>
      <c r="E26" s="292" t="s">
        <v>707</v>
      </c>
      <c r="F26" s="242">
        <v>7.5</v>
      </c>
      <c r="G26" s="242">
        <v>7</v>
      </c>
      <c r="H26" s="242">
        <v>7</v>
      </c>
      <c r="I26" s="242">
        <v>6.5</v>
      </c>
      <c r="J26" s="242">
        <v>6</v>
      </c>
      <c r="K26" s="242">
        <v>6.5</v>
      </c>
      <c r="L26" s="242">
        <v>7</v>
      </c>
      <c r="M26" s="242">
        <v>7</v>
      </c>
      <c r="N26" s="242">
        <v>7</v>
      </c>
      <c r="O26" s="243">
        <f t="shared" si="1"/>
        <v>6.833333333333333</v>
      </c>
      <c r="P26" s="242"/>
      <c r="Q26" s="242"/>
      <c r="R26" s="242"/>
      <c r="S26" s="277">
        <f t="shared" si="2"/>
        <v>0</v>
      </c>
      <c r="T26" s="277">
        <f t="shared" si="3"/>
        <v>3.4166666666666665</v>
      </c>
      <c r="U26" s="252"/>
      <c r="V26" s="273"/>
      <c r="W26" s="263" t="s">
        <v>193</v>
      </c>
      <c r="X26" s="374"/>
      <c r="Y26" s="628">
        <f t="shared" si="0"/>
        <v>6.833333333333333</v>
      </c>
    </row>
    <row r="27" spans="1:25" s="256" customFormat="1" ht="16.5" customHeight="1" x14ac:dyDescent="0.2">
      <c r="A27" s="287">
        <v>20</v>
      </c>
      <c r="B27" s="245"/>
      <c r="C27" s="246">
        <v>2022</v>
      </c>
      <c r="D27" s="269" t="s">
        <v>1224</v>
      </c>
      <c r="E27" s="303" t="s">
        <v>1225</v>
      </c>
      <c r="F27" s="242">
        <v>8</v>
      </c>
      <c r="G27" s="242">
        <v>8</v>
      </c>
      <c r="H27" s="242">
        <v>8</v>
      </c>
      <c r="I27" s="242">
        <v>6</v>
      </c>
      <c r="J27" s="242">
        <v>7</v>
      </c>
      <c r="K27" s="242">
        <v>7.5</v>
      </c>
      <c r="L27" s="242">
        <v>7.5</v>
      </c>
      <c r="M27" s="242">
        <v>7</v>
      </c>
      <c r="N27" s="242">
        <v>7.5</v>
      </c>
      <c r="O27" s="243">
        <f t="shared" si="1"/>
        <v>7.3888888888888893</v>
      </c>
      <c r="P27" s="242"/>
      <c r="Q27" s="242"/>
      <c r="R27" s="242"/>
      <c r="S27" s="277">
        <f>SUM(P27:R27)/3</f>
        <v>0</v>
      </c>
      <c r="T27" s="277">
        <f>SUM(O27+S27)/2</f>
        <v>3.6944444444444446</v>
      </c>
      <c r="U27" s="252"/>
      <c r="V27" s="273"/>
      <c r="W27" s="263" t="s">
        <v>174</v>
      </c>
      <c r="X27" s="374"/>
      <c r="Y27" s="357">
        <f t="shared" si="0"/>
        <v>7.3888888888888893</v>
      </c>
    </row>
    <row r="28" spans="1:25" s="256" customFormat="1" ht="16.5" customHeight="1" x14ac:dyDescent="0.2">
      <c r="A28" s="287">
        <v>21</v>
      </c>
      <c r="B28" s="245"/>
      <c r="C28" s="246">
        <v>2022</v>
      </c>
      <c r="D28" s="269" t="s">
        <v>1226</v>
      </c>
      <c r="E28" s="292" t="s">
        <v>836</v>
      </c>
      <c r="F28" s="242">
        <v>7.5</v>
      </c>
      <c r="G28" s="242">
        <v>7</v>
      </c>
      <c r="H28" s="242">
        <v>6.5</v>
      </c>
      <c r="I28" s="242">
        <v>7.5</v>
      </c>
      <c r="J28" s="242">
        <v>6.5</v>
      </c>
      <c r="K28" s="242">
        <v>7</v>
      </c>
      <c r="L28" s="242">
        <v>7</v>
      </c>
      <c r="M28" s="242">
        <v>6.5</v>
      </c>
      <c r="N28" s="242">
        <v>7</v>
      </c>
      <c r="O28" s="243">
        <f t="shared" si="1"/>
        <v>6.9444444444444446</v>
      </c>
      <c r="P28" s="242"/>
      <c r="Q28" s="242"/>
      <c r="R28" s="242"/>
      <c r="S28" s="277">
        <f t="shared" ref="S28:S33" si="4">SUM(P28:R28)/3</f>
        <v>0</v>
      </c>
      <c r="T28" s="277">
        <f t="shared" ref="T28:T33" si="5">SUM(O28+S28)/2</f>
        <v>3.4722222222222223</v>
      </c>
      <c r="U28" s="252"/>
      <c r="V28" s="273"/>
      <c r="W28" s="300" t="s">
        <v>141</v>
      </c>
      <c r="X28" s="374"/>
      <c r="Y28" s="628">
        <f t="shared" si="0"/>
        <v>6.9444444444444446</v>
      </c>
    </row>
    <row r="29" spans="1:25" s="256" customFormat="1" ht="16.5" customHeight="1" x14ac:dyDescent="0.2">
      <c r="A29" s="287">
        <v>22</v>
      </c>
      <c r="B29" s="245"/>
      <c r="C29" s="246">
        <v>2022</v>
      </c>
      <c r="D29" s="269" t="s">
        <v>1227</v>
      </c>
      <c r="E29" s="292" t="s">
        <v>1228</v>
      </c>
      <c r="F29" s="242">
        <v>7.5</v>
      </c>
      <c r="G29" s="242">
        <v>7</v>
      </c>
      <c r="H29" s="242">
        <v>8</v>
      </c>
      <c r="I29" s="242">
        <v>7.5</v>
      </c>
      <c r="J29" s="242">
        <v>7</v>
      </c>
      <c r="K29" s="242">
        <v>7</v>
      </c>
      <c r="L29" s="242">
        <v>7</v>
      </c>
      <c r="M29" s="242">
        <v>6.5</v>
      </c>
      <c r="N29" s="242">
        <v>7</v>
      </c>
      <c r="O29" s="243">
        <f t="shared" si="1"/>
        <v>7.166666666666667</v>
      </c>
      <c r="P29" s="242"/>
      <c r="Q29" s="242"/>
      <c r="R29" s="242"/>
      <c r="S29" s="277">
        <f t="shared" si="4"/>
        <v>0</v>
      </c>
      <c r="T29" s="277">
        <f t="shared" si="5"/>
        <v>3.5833333333333335</v>
      </c>
      <c r="U29" s="252"/>
      <c r="V29" s="273"/>
      <c r="W29" s="263" t="s">
        <v>184</v>
      </c>
      <c r="X29" s="374"/>
      <c r="Y29" s="357">
        <f t="shared" si="0"/>
        <v>7.166666666666667</v>
      </c>
    </row>
    <row r="30" spans="1:25" s="256" customFormat="1" ht="16.5" customHeight="1" x14ac:dyDescent="0.2">
      <c r="A30" s="287">
        <v>23</v>
      </c>
      <c r="B30" s="245"/>
      <c r="C30" s="246">
        <v>2022</v>
      </c>
      <c r="D30" s="269" t="s">
        <v>1229</v>
      </c>
      <c r="E30" s="294" t="s">
        <v>287</v>
      </c>
      <c r="F30" s="242">
        <v>7.5</v>
      </c>
      <c r="G30" s="242">
        <v>7.6</v>
      </c>
      <c r="H30" s="242">
        <v>7.5</v>
      </c>
      <c r="I30" s="242">
        <v>7</v>
      </c>
      <c r="J30" s="242">
        <v>6</v>
      </c>
      <c r="K30" s="242">
        <v>7.5</v>
      </c>
      <c r="L30" s="242">
        <v>7</v>
      </c>
      <c r="M30" s="242">
        <v>6.5</v>
      </c>
      <c r="N30" s="242">
        <v>7</v>
      </c>
      <c r="O30" s="243">
        <f t="shared" si="1"/>
        <v>7.0666666666666664</v>
      </c>
      <c r="P30" s="242"/>
      <c r="Q30" s="242"/>
      <c r="R30" s="242"/>
      <c r="S30" s="277">
        <f t="shared" si="4"/>
        <v>0</v>
      </c>
      <c r="T30" s="277">
        <f t="shared" si="5"/>
        <v>3.5333333333333332</v>
      </c>
      <c r="U30" s="252"/>
      <c r="V30" s="273"/>
      <c r="W30" s="263" t="s">
        <v>182</v>
      </c>
      <c r="X30" s="374"/>
      <c r="Y30" s="357">
        <f t="shared" si="0"/>
        <v>7.0666666666666664</v>
      </c>
    </row>
    <row r="31" spans="1:25" s="256" customFormat="1" ht="16.5" customHeight="1" x14ac:dyDescent="0.2">
      <c r="A31" s="287">
        <v>24</v>
      </c>
      <c r="B31" s="245"/>
      <c r="C31" s="246">
        <v>2022</v>
      </c>
      <c r="D31" s="269" t="s">
        <v>1230</v>
      </c>
      <c r="E31" s="292" t="s">
        <v>1231</v>
      </c>
      <c r="F31" s="242">
        <v>7.5</v>
      </c>
      <c r="G31" s="242">
        <v>8</v>
      </c>
      <c r="H31" s="242">
        <v>8</v>
      </c>
      <c r="I31" s="242">
        <v>8</v>
      </c>
      <c r="J31" s="242">
        <v>8</v>
      </c>
      <c r="K31" s="242">
        <v>7.5</v>
      </c>
      <c r="L31" s="242">
        <v>7</v>
      </c>
      <c r="M31" s="242">
        <v>8</v>
      </c>
      <c r="N31" s="242">
        <v>7.5</v>
      </c>
      <c r="O31" s="243">
        <f t="shared" si="1"/>
        <v>7.7222222222222223</v>
      </c>
      <c r="P31" s="242"/>
      <c r="Q31" s="242"/>
      <c r="R31" s="242"/>
      <c r="S31" s="277">
        <f t="shared" si="4"/>
        <v>0</v>
      </c>
      <c r="T31" s="277">
        <f t="shared" si="5"/>
        <v>3.8611111111111112</v>
      </c>
      <c r="U31" s="252"/>
      <c r="V31" s="273"/>
      <c r="W31" s="263" t="s">
        <v>178</v>
      </c>
      <c r="X31" s="374"/>
      <c r="Y31" s="357">
        <f t="shared" si="0"/>
        <v>7.7222222222222223</v>
      </c>
    </row>
    <row r="32" spans="1:25" s="256" customFormat="1" ht="16.5" customHeight="1" x14ac:dyDescent="0.2">
      <c r="A32" s="287">
        <v>25</v>
      </c>
      <c r="B32" s="245"/>
      <c r="C32" s="246">
        <v>2022</v>
      </c>
      <c r="D32" s="269" t="s">
        <v>1232</v>
      </c>
      <c r="E32" s="302" t="s">
        <v>572</v>
      </c>
      <c r="F32" s="242">
        <v>7.5</v>
      </c>
      <c r="G32" s="242">
        <v>7</v>
      </c>
      <c r="H32" s="242">
        <v>7</v>
      </c>
      <c r="I32" s="242">
        <v>7.5</v>
      </c>
      <c r="J32" s="242">
        <v>6</v>
      </c>
      <c r="K32" s="242">
        <v>6</v>
      </c>
      <c r="L32" s="242">
        <v>7</v>
      </c>
      <c r="M32" s="242">
        <v>7</v>
      </c>
      <c r="N32" s="242">
        <v>7</v>
      </c>
      <c r="O32" s="243">
        <f t="shared" si="1"/>
        <v>6.8888888888888893</v>
      </c>
      <c r="P32" s="242"/>
      <c r="Q32" s="242"/>
      <c r="R32" s="242"/>
      <c r="S32" s="277">
        <f t="shared" si="4"/>
        <v>0</v>
      </c>
      <c r="T32" s="277">
        <f t="shared" si="5"/>
        <v>3.4444444444444446</v>
      </c>
      <c r="U32" s="252"/>
      <c r="V32" s="273"/>
      <c r="W32" s="263" t="s">
        <v>177</v>
      </c>
      <c r="X32" s="374"/>
      <c r="Y32" s="628">
        <f t="shared" si="0"/>
        <v>6.8888888888888893</v>
      </c>
    </row>
    <row r="33" spans="1:25" s="256" customFormat="1" ht="16.5" customHeight="1" x14ac:dyDescent="0.2">
      <c r="A33" s="287">
        <v>26</v>
      </c>
      <c r="B33" s="245"/>
      <c r="C33" s="246">
        <v>2022</v>
      </c>
      <c r="D33" s="269" t="s">
        <v>283</v>
      </c>
      <c r="E33" s="292" t="s">
        <v>626</v>
      </c>
      <c r="F33" s="242">
        <v>8.5</v>
      </c>
      <c r="G33" s="242">
        <v>7</v>
      </c>
      <c r="H33" s="242">
        <v>8</v>
      </c>
      <c r="I33" s="242">
        <v>7.5</v>
      </c>
      <c r="J33" s="242">
        <v>7</v>
      </c>
      <c r="K33" s="242">
        <v>6.5</v>
      </c>
      <c r="L33" s="242">
        <v>7</v>
      </c>
      <c r="M33" s="242">
        <v>7</v>
      </c>
      <c r="N33" s="242">
        <v>7</v>
      </c>
      <c r="O33" s="243">
        <f t="shared" si="1"/>
        <v>7.2777777777777777</v>
      </c>
      <c r="P33" s="242"/>
      <c r="Q33" s="242"/>
      <c r="R33" s="242"/>
      <c r="S33" s="277">
        <f t="shared" si="4"/>
        <v>0</v>
      </c>
      <c r="T33" s="277">
        <f t="shared" si="5"/>
        <v>3.6388888888888888</v>
      </c>
      <c r="U33" s="252"/>
      <c r="V33" s="273"/>
      <c r="W33" s="263" t="s">
        <v>191</v>
      </c>
      <c r="X33" s="374"/>
      <c r="Y33" s="357">
        <f t="shared" si="0"/>
        <v>7.2777777777777777</v>
      </c>
    </row>
    <row r="34" spans="1:25" s="256" customFormat="1" ht="16.5" customHeight="1" x14ac:dyDescent="0.2">
      <c r="A34" s="287">
        <v>27</v>
      </c>
      <c r="B34" s="245"/>
      <c r="C34" s="246">
        <v>2022</v>
      </c>
      <c r="D34" s="269" t="s">
        <v>1032</v>
      </c>
      <c r="E34" s="292" t="s">
        <v>1233</v>
      </c>
      <c r="F34" s="242">
        <v>6</v>
      </c>
      <c r="G34" s="242">
        <v>6.4</v>
      </c>
      <c r="H34" s="242">
        <v>7.5</v>
      </c>
      <c r="I34" s="242">
        <v>7</v>
      </c>
      <c r="J34" s="242">
        <v>6</v>
      </c>
      <c r="K34" s="242">
        <v>7.5</v>
      </c>
      <c r="L34" s="242">
        <v>7</v>
      </c>
      <c r="M34" s="242">
        <v>8</v>
      </c>
      <c r="N34" s="242">
        <v>7</v>
      </c>
      <c r="O34" s="243">
        <f t="shared" si="1"/>
        <v>6.9333333333333336</v>
      </c>
      <c r="P34" s="242"/>
      <c r="Q34" s="242"/>
      <c r="R34" s="242"/>
      <c r="S34" s="277">
        <f>SUM(P34:R34)/3</f>
        <v>0</v>
      </c>
      <c r="T34" s="277">
        <f>SUM(O34+S34)/2</f>
        <v>3.4666666666666668</v>
      </c>
      <c r="U34" s="252"/>
      <c r="V34" s="273"/>
      <c r="W34" s="261" t="s">
        <v>216</v>
      </c>
      <c r="X34" s="374"/>
      <c r="Y34" s="628">
        <f t="shared" si="0"/>
        <v>6.9333333333333336</v>
      </c>
    </row>
    <row r="35" spans="1:25" s="256" customFormat="1" ht="16.5" customHeight="1" x14ac:dyDescent="0.2">
      <c r="A35" s="287">
        <v>28</v>
      </c>
      <c r="B35" s="245"/>
      <c r="C35" s="246">
        <v>2022</v>
      </c>
      <c r="D35" s="304" t="s">
        <v>1234</v>
      </c>
      <c r="E35" s="292" t="s">
        <v>1235</v>
      </c>
      <c r="F35" s="242">
        <v>8</v>
      </c>
      <c r="G35" s="242">
        <v>7</v>
      </c>
      <c r="H35" s="242">
        <v>8</v>
      </c>
      <c r="I35" s="242">
        <v>7.5</v>
      </c>
      <c r="J35" s="242">
        <v>7</v>
      </c>
      <c r="K35" s="242">
        <v>7.5</v>
      </c>
      <c r="L35" s="242">
        <v>7.5</v>
      </c>
      <c r="M35" s="242">
        <v>8</v>
      </c>
      <c r="N35" s="242">
        <v>7</v>
      </c>
      <c r="O35" s="243">
        <f t="shared" si="1"/>
        <v>7.5</v>
      </c>
      <c r="P35" s="242"/>
      <c r="Q35" s="242"/>
      <c r="R35" s="242"/>
      <c r="S35" s="277">
        <f>SUM(P35:R35)/3</f>
        <v>0</v>
      </c>
      <c r="T35" s="277">
        <f>SUM(O35+S35)/2</f>
        <v>3.75</v>
      </c>
      <c r="U35" s="252"/>
      <c r="V35" s="273"/>
      <c r="W35" s="261" t="s">
        <v>177</v>
      </c>
      <c r="X35" s="374"/>
      <c r="Y35" s="357">
        <f t="shared" si="0"/>
        <v>7.5</v>
      </c>
    </row>
    <row r="36" spans="1:25" s="256" customFormat="1" ht="16.5" customHeight="1" x14ac:dyDescent="0.2">
      <c r="A36" s="287">
        <v>29</v>
      </c>
      <c r="B36" s="245"/>
      <c r="C36" s="246">
        <v>2022</v>
      </c>
      <c r="D36" s="269" t="s">
        <v>1236</v>
      </c>
      <c r="E36" s="294" t="s">
        <v>500</v>
      </c>
      <c r="F36" s="242">
        <v>6.5</v>
      </c>
      <c r="G36" s="242">
        <v>7</v>
      </c>
      <c r="H36" s="242">
        <v>8</v>
      </c>
      <c r="I36" s="242">
        <v>7</v>
      </c>
      <c r="J36" s="242">
        <v>6</v>
      </c>
      <c r="K36" s="242">
        <v>6.5</v>
      </c>
      <c r="L36" s="242">
        <v>7</v>
      </c>
      <c r="M36" s="242">
        <v>7.5</v>
      </c>
      <c r="N36" s="242">
        <v>5</v>
      </c>
      <c r="O36" s="243">
        <f t="shared" si="1"/>
        <v>6.7222222222222223</v>
      </c>
      <c r="P36" s="242"/>
      <c r="Q36" s="242"/>
      <c r="R36" s="242"/>
      <c r="S36" s="277">
        <f>SUM(P36:R36)/3</f>
        <v>0</v>
      </c>
      <c r="T36" s="277">
        <f>SUM(O36+S36)/2</f>
        <v>3.3611111111111112</v>
      </c>
      <c r="U36" s="252"/>
      <c r="V36" s="273"/>
      <c r="W36" s="261" t="s">
        <v>195</v>
      </c>
      <c r="X36" s="374"/>
      <c r="Y36" s="628">
        <f t="shared" si="0"/>
        <v>6.7222222222222223</v>
      </c>
    </row>
    <row r="37" spans="1:25" s="256" customFormat="1" ht="16.5" customHeight="1" x14ac:dyDescent="0.2">
      <c r="A37" s="287">
        <v>30</v>
      </c>
      <c r="B37" s="245"/>
      <c r="C37" s="246">
        <v>2022</v>
      </c>
      <c r="D37" s="269" t="s">
        <v>1237</v>
      </c>
      <c r="E37" s="299" t="s">
        <v>733</v>
      </c>
      <c r="F37" s="242">
        <v>6.5</v>
      </c>
      <c r="G37" s="242">
        <v>7.4</v>
      </c>
      <c r="H37" s="242">
        <v>7.5</v>
      </c>
      <c r="I37" s="242">
        <v>8</v>
      </c>
      <c r="J37" s="242">
        <v>8</v>
      </c>
      <c r="K37" s="242">
        <v>7</v>
      </c>
      <c r="L37" s="242">
        <v>7</v>
      </c>
      <c r="M37" s="242">
        <v>7</v>
      </c>
      <c r="N37" s="242">
        <v>6.5</v>
      </c>
      <c r="O37" s="243">
        <f t="shared" si="1"/>
        <v>7.2111111111111121</v>
      </c>
      <c r="P37" s="242"/>
      <c r="Q37" s="242"/>
      <c r="R37" s="242"/>
      <c r="S37" s="277">
        <f t="shared" ref="S37:S53" si="6">SUM(P37:R37)/3</f>
        <v>0</v>
      </c>
      <c r="T37" s="277">
        <f t="shared" ref="T37:T53" si="7">SUM(O37+S37)/2</f>
        <v>3.6055555555555561</v>
      </c>
      <c r="U37" s="252"/>
      <c r="V37" s="273"/>
      <c r="W37" s="263" t="s">
        <v>235</v>
      </c>
      <c r="X37" s="374"/>
      <c r="Y37" s="357">
        <f t="shared" si="0"/>
        <v>7.2111111111111121</v>
      </c>
    </row>
    <row r="38" spans="1:25" s="256" customFormat="1" ht="16.5" customHeight="1" x14ac:dyDescent="0.2">
      <c r="A38" s="287">
        <v>31</v>
      </c>
      <c r="B38" s="245"/>
      <c r="C38" s="246">
        <v>2022</v>
      </c>
      <c r="D38" s="269" t="s">
        <v>1239</v>
      </c>
      <c r="E38" s="294" t="s">
        <v>1240</v>
      </c>
      <c r="F38" s="242">
        <v>7.5</v>
      </c>
      <c r="G38" s="242">
        <v>7.4</v>
      </c>
      <c r="H38" s="242">
        <v>8</v>
      </c>
      <c r="I38" s="242">
        <v>7.5</v>
      </c>
      <c r="J38" s="242">
        <v>8</v>
      </c>
      <c r="K38" s="242">
        <v>7</v>
      </c>
      <c r="L38" s="242">
        <v>7</v>
      </c>
      <c r="M38" s="242">
        <v>7.5</v>
      </c>
      <c r="N38" s="242">
        <v>7</v>
      </c>
      <c r="O38" s="243">
        <f t="shared" si="1"/>
        <v>7.4333333333333336</v>
      </c>
      <c r="P38" s="242"/>
      <c r="Q38" s="242"/>
      <c r="R38" s="242"/>
      <c r="S38" s="277">
        <f t="shared" si="6"/>
        <v>0</v>
      </c>
      <c r="T38" s="277">
        <f t="shared" si="7"/>
        <v>3.7166666666666668</v>
      </c>
      <c r="U38" s="252"/>
      <c r="V38" s="273"/>
      <c r="W38" s="300" t="s">
        <v>196</v>
      </c>
      <c r="X38" s="374"/>
      <c r="Y38" s="357">
        <f t="shared" si="0"/>
        <v>7.4333333333333336</v>
      </c>
    </row>
    <row r="39" spans="1:25" s="256" customFormat="1" ht="16.5" customHeight="1" x14ac:dyDescent="0.2">
      <c r="A39" s="287">
        <v>32</v>
      </c>
      <c r="B39" s="245"/>
      <c r="C39" s="246">
        <v>2022</v>
      </c>
      <c r="D39" s="269" t="s">
        <v>1241</v>
      </c>
      <c r="E39" s="292" t="s">
        <v>152</v>
      </c>
      <c r="F39" s="242">
        <v>6</v>
      </c>
      <c r="G39" s="242">
        <v>7.2</v>
      </c>
      <c r="H39" s="242">
        <v>6</v>
      </c>
      <c r="I39" s="242">
        <v>6</v>
      </c>
      <c r="J39" s="242">
        <v>7</v>
      </c>
      <c r="K39" s="242">
        <v>7</v>
      </c>
      <c r="L39" s="242">
        <v>7</v>
      </c>
      <c r="M39" s="242">
        <v>7</v>
      </c>
      <c r="N39" s="242">
        <v>7</v>
      </c>
      <c r="O39" s="243">
        <f t="shared" si="1"/>
        <v>6.6888888888888891</v>
      </c>
      <c r="P39" s="242"/>
      <c r="Q39" s="242"/>
      <c r="R39" s="242"/>
      <c r="S39" s="277">
        <f t="shared" si="6"/>
        <v>0</v>
      </c>
      <c r="T39" s="277">
        <f t="shared" si="7"/>
        <v>3.3444444444444446</v>
      </c>
      <c r="U39" s="252"/>
      <c r="V39" s="273"/>
      <c r="W39" s="263" t="s">
        <v>18</v>
      </c>
      <c r="X39" s="374"/>
      <c r="Y39" s="628">
        <f t="shared" si="0"/>
        <v>6.6888888888888891</v>
      </c>
    </row>
    <row r="40" spans="1:25" s="256" customFormat="1" ht="16.5" customHeight="1" x14ac:dyDescent="0.2">
      <c r="A40" s="287">
        <v>33</v>
      </c>
      <c r="B40" s="245"/>
      <c r="C40" s="246">
        <v>2022</v>
      </c>
      <c r="D40" s="269" t="s">
        <v>1242</v>
      </c>
      <c r="E40" s="294" t="s">
        <v>152</v>
      </c>
      <c r="F40" s="242">
        <v>7</v>
      </c>
      <c r="G40" s="242">
        <v>7.4</v>
      </c>
      <c r="H40" s="242">
        <v>6.5</v>
      </c>
      <c r="I40" s="242">
        <v>6</v>
      </c>
      <c r="J40" s="242">
        <v>7</v>
      </c>
      <c r="K40" s="242">
        <v>6.5</v>
      </c>
      <c r="L40" s="242">
        <v>6.5</v>
      </c>
      <c r="M40" s="242">
        <v>7</v>
      </c>
      <c r="N40" s="242">
        <v>6</v>
      </c>
      <c r="O40" s="243">
        <f t="shared" si="1"/>
        <v>6.655555555555555</v>
      </c>
      <c r="P40" s="242"/>
      <c r="Q40" s="242"/>
      <c r="R40" s="242"/>
      <c r="S40" s="277">
        <f t="shared" si="6"/>
        <v>0</v>
      </c>
      <c r="T40" s="277">
        <f t="shared" si="7"/>
        <v>3.3277777777777775</v>
      </c>
      <c r="U40" s="252"/>
      <c r="V40" s="273"/>
      <c r="W40" s="263" t="s">
        <v>173</v>
      </c>
      <c r="X40" s="374"/>
      <c r="Y40" s="628">
        <f t="shared" si="0"/>
        <v>6.655555555555555</v>
      </c>
    </row>
    <row r="41" spans="1:25" s="256" customFormat="1" ht="16.5" customHeight="1" x14ac:dyDescent="0.2">
      <c r="A41" s="287">
        <v>34</v>
      </c>
      <c r="B41" s="245"/>
      <c r="C41" s="246">
        <v>2022</v>
      </c>
      <c r="D41" s="269" t="s">
        <v>1243</v>
      </c>
      <c r="E41" s="294" t="s">
        <v>534</v>
      </c>
      <c r="F41" s="242">
        <v>7.5</v>
      </c>
      <c r="G41" s="242">
        <v>7.8</v>
      </c>
      <c r="H41" s="242">
        <v>8</v>
      </c>
      <c r="I41" s="242">
        <v>8</v>
      </c>
      <c r="J41" s="242">
        <v>7</v>
      </c>
      <c r="K41" s="242">
        <v>7</v>
      </c>
      <c r="L41" s="242">
        <v>7</v>
      </c>
      <c r="M41" s="242">
        <v>7.5</v>
      </c>
      <c r="N41" s="242">
        <v>7</v>
      </c>
      <c r="O41" s="243">
        <f t="shared" si="1"/>
        <v>7.4222222222222216</v>
      </c>
      <c r="P41" s="242"/>
      <c r="Q41" s="242"/>
      <c r="R41" s="242"/>
      <c r="S41" s="277">
        <f t="shared" si="6"/>
        <v>0</v>
      </c>
      <c r="T41" s="277">
        <f t="shared" si="7"/>
        <v>3.7111111111111108</v>
      </c>
      <c r="U41" s="252"/>
      <c r="V41" s="273"/>
      <c r="W41" s="300" t="s">
        <v>186</v>
      </c>
      <c r="X41" s="374"/>
      <c r="Y41" s="357">
        <f t="shared" si="0"/>
        <v>7.4222222222222216</v>
      </c>
    </row>
    <row r="42" spans="1:25" s="256" customFormat="1" ht="16.5" customHeight="1" x14ac:dyDescent="0.2">
      <c r="A42" s="287">
        <v>35</v>
      </c>
      <c r="B42" s="245"/>
      <c r="C42" s="246">
        <v>2022</v>
      </c>
      <c r="D42" s="269" t="s">
        <v>1244</v>
      </c>
      <c r="E42" s="294" t="s">
        <v>1245</v>
      </c>
      <c r="F42" s="242">
        <v>7.5</v>
      </c>
      <c r="G42" s="242">
        <v>6.6</v>
      </c>
      <c r="H42" s="242">
        <v>8</v>
      </c>
      <c r="I42" s="242">
        <v>7</v>
      </c>
      <c r="J42" s="242">
        <v>8</v>
      </c>
      <c r="K42" s="242">
        <v>6.5</v>
      </c>
      <c r="L42" s="242">
        <v>7</v>
      </c>
      <c r="M42" s="242">
        <v>6</v>
      </c>
      <c r="N42" s="242">
        <v>5.5</v>
      </c>
      <c r="O42" s="243">
        <f t="shared" si="1"/>
        <v>6.9</v>
      </c>
      <c r="P42" s="242"/>
      <c r="Q42" s="242"/>
      <c r="R42" s="242"/>
      <c r="S42" s="277">
        <f t="shared" si="6"/>
        <v>0</v>
      </c>
      <c r="T42" s="277">
        <f t="shared" si="7"/>
        <v>3.45</v>
      </c>
      <c r="U42" s="252"/>
      <c r="V42" s="273"/>
      <c r="W42" s="263" t="s">
        <v>178</v>
      </c>
      <c r="X42" s="374"/>
      <c r="Y42" s="628">
        <f t="shared" si="0"/>
        <v>6.9</v>
      </c>
    </row>
    <row r="43" spans="1:25" s="256" customFormat="1" ht="16.5" customHeight="1" x14ac:dyDescent="0.2">
      <c r="A43" s="287">
        <v>36</v>
      </c>
      <c r="B43" s="245"/>
      <c r="C43" s="246">
        <v>2022</v>
      </c>
      <c r="D43" s="269" t="s">
        <v>1246</v>
      </c>
      <c r="E43" s="294" t="s">
        <v>209</v>
      </c>
      <c r="F43" s="242">
        <v>7.5</v>
      </c>
      <c r="G43" s="242">
        <v>8.1999999999999993</v>
      </c>
      <c r="H43" s="242">
        <v>8</v>
      </c>
      <c r="I43" s="242">
        <v>8</v>
      </c>
      <c r="J43" s="242">
        <v>7</v>
      </c>
      <c r="K43" s="242">
        <v>8</v>
      </c>
      <c r="L43" s="242">
        <v>8</v>
      </c>
      <c r="M43" s="242">
        <v>8</v>
      </c>
      <c r="N43" s="242">
        <v>8</v>
      </c>
      <c r="O43" s="243">
        <f t="shared" si="1"/>
        <v>7.8555555555555561</v>
      </c>
      <c r="P43" s="242"/>
      <c r="Q43" s="242"/>
      <c r="R43" s="242"/>
      <c r="S43" s="277">
        <f t="shared" si="6"/>
        <v>0</v>
      </c>
      <c r="T43" s="277">
        <f t="shared" si="7"/>
        <v>3.927777777777778</v>
      </c>
      <c r="U43" s="252"/>
      <c r="V43" s="273"/>
      <c r="W43" s="263" t="s">
        <v>171</v>
      </c>
      <c r="X43" s="374"/>
      <c r="Y43" s="357">
        <f t="shared" si="0"/>
        <v>7.8555555555555561</v>
      </c>
    </row>
    <row r="44" spans="1:25" s="256" customFormat="1" ht="16.5" customHeight="1" x14ac:dyDescent="0.2">
      <c r="A44" s="287">
        <v>37</v>
      </c>
      <c r="B44" s="245"/>
      <c r="C44" s="246">
        <v>2022</v>
      </c>
      <c r="D44" s="269" t="s">
        <v>1247</v>
      </c>
      <c r="E44" s="299" t="s">
        <v>1193</v>
      </c>
      <c r="F44" s="242">
        <v>6</v>
      </c>
      <c r="G44" s="242">
        <v>8.1999999999999993</v>
      </c>
      <c r="H44" s="242">
        <v>6.5</v>
      </c>
      <c r="I44" s="242">
        <v>7</v>
      </c>
      <c r="J44" s="242">
        <v>7</v>
      </c>
      <c r="K44" s="242">
        <v>6.5</v>
      </c>
      <c r="L44" s="242">
        <v>7</v>
      </c>
      <c r="M44" s="242">
        <v>7</v>
      </c>
      <c r="N44" s="242">
        <v>5.5</v>
      </c>
      <c r="O44" s="243">
        <f t="shared" si="1"/>
        <v>6.7444444444444445</v>
      </c>
      <c r="P44" s="242"/>
      <c r="Q44" s="242"/>
      <c r="R44" s="242"/>
      <c r="S44" s="277">
        <f t="shared" si="6"/>
        <v>0</v>
      </c>
      <c r="T44" s="277">
        <f t="shared" si="7"/>
        <v>3.3722222222222222</v>
      </c>
      <c r="U44" s="252"/>
      <c r="V44" s="273"/>
      <c r="W44" s="261" t="s">
        <v>178</v>
      </c>
      <c r="X44" s="374"/>
      <c r="Y44" s="628">
        <f t="shared" si="0"/>
        <v>6.7444444444444445</v>
      </c>
    </row>
    <row r="45" spans="1:25" s="256" customFormat="1" ht="16.5" customHeight="1" x14ac:dyDescent="0.2">
      <c r="A45" s="287">
        <v>38</v>
      </c>
      <c r="B45" s="245"/>
      <c r="C45" s="246">
        <v>2022</v>
      </c>
      <c r="D45" s="269" t="s">
        <v>1248</v>
      </c>
      <c r="E45" s="301" t="s">
        <v>1249</v>
      </c>
      <c r="F45" s="242">
        <v>7.5</v>
      </c>
      <c r="G45" s="242">
        <v>9</v>
      </c>
      <c r="H45" s="242">
        <v>8</v>
      </c>
      <c r="I45" s="242">
        <v>8</v>
      </c>
      <c r="J45" s="242">
        <v>8</v>
      </c>
      <c r="K45" s="242">
        <v>8</v>
      </c>
      <c r="L45" s="242">
        <v>8</v>
      </c>
      <c r="M45" s="242">
        <v>8</v>
      </c>
      <c r="N45" s="242">
        <v>8</v>
      </c>
      <c r="O45" s="243">
        <f t="shared" si="1"/>
        <v>8.0555555555555554</v>
      </c>
      <c r="P45" s="242"/>
      <c r="Q45" s="242"/>
      <c r="R45" s="242"/>
      <c r="S45" s="277">
        <f t="shared" si="6"/>
        <v>0</v>
      </c>
      <c r="T45" s="277">
        <f t="shared" si="7"/>
        <v>4.0277777777777777</v>
      </c>
      <c r="U45" s="252"/>
      <c r="V45" s="273"/>
      <c r="W45" s="300" t="s">
        <v>171</v>
      </c>
      <c r="X45" s="374"/>
      <c r="Y45" s="613">
        <f t="shared" si="0"/>
        <v>8.0555555555555554</v>
      </c>
    </row>
    <row r="46" spans="1:25" s="256" customFormat="1" ht="16.5" customHeight="1" x14ac:dyDescent="0.2">
      <c r="A46" s="287">
        <v>39</v>
      </c>
      <c r="B46" s="245"/>
      <c r="C46" s="246">
        <v>2022</v>
      </c>
      <c r="D46" s="269" t="s">
        <v>1250</v>
      </c>
      <c r="E46" s="294" t="s">
        <v>628</v>
      </c>
      <c r="F46" s="242">
        <v>7.5</v>
      </c>
      <c r="G46" s="242">
        <v>6.5</v>
      </c>
      <c r="H46" s="242">
        <v>8</v>
      </c>
      <c r="I46" s="242">
        <v>7</v>
      </c>
      <c r="J46" s="242">
        <v>6</v>
      </c>
      <c r="K46" s="242">
        <v>7</v>
      </c>
      <c r="L46" s="242">
        <v>6.5</v>
      </c>
      <c r="M46" s="242">
        <v>7</v>
      </c>
      <c r="N46" s="242">
        <v>6</v>
      </c>
      <c r="O46" s="243">
        <f t="shared" si="1"/>
        <v>6.833333333333333</v>
      </c>
      <c r="P46" s="242"/>
      <c r="Q46" s="242"/>
      <c r="R46" s="242"/>
      <c r="S46" s="277">
        <f t="shared" si="6"/>
        <v>0</v>
      </c>
      <c r="T46" s="277">
        <f t="shared" si="7"/>
        <v>3.4166666666666665</v>
      </c>
      <c r="U46" s="252"/>
      <c r="V46" s="273"/>
      <c r="W46" s="263" t="s">
        <v>192</v>
      </c>
      <c r="X46" s="374"/>
      <c r="Y46" s="628">
        <f t="shared" si="0"/>
        <v>6.833333333333333</v>
      </c>
    </row>
    <row r="47" spans="1:25" s="256" customFormat="1" ht="16.5" customHeight="1" x14ac:dyDescent="0.2">
      <c r="A47" s="287">
        <v>40</v>
      </c>
      <c r="B47" s="245"/>
      <c r="C47" s="246">
        <v>2022</v>
      </c>
      <c r="D47" s="269" t="s">
        <v>1251</v>
      </c>
      <c r="E47" s="294" t="s">
        <v>532</v>
      </c>
      <c r="F47" s="242">
        <v>6</v>
      </c>
      <c r="G47" s="242">
        <v>6.8</v>
      </c>
      <c r="H47" s="242">
        <v>7</v>
      </c>
      <c r="I47" s="242">
        <v>7</v>
      </c>
      <c r="J47" s="242">
        <v>7</v>
      </c>
      <c r="K47" s="242">
        <v>7</v>
      </c>
      <c r="L47" s="242">
        <v>6.5</v>
      </c>
      <c r="M47" s="242">
        <v>6.5</v>
      </c>
      <c r="N47" s="242">
        <v>7</v>
      </c>
      <c r="O47" s="243">
        <f t="shared" si="1"/>
        <v>6.7555555555555555</v>
      </c>
      <c r="P47" s="242"/>
      <c r="Q47" s="242"/>
      <c r="R47" s="242"/>
      <c r="S47" s="277">
        <f t="shared" si="6"/>
        <v>0</v>
      </c>
      <c r="T47" s="277">
        <f t="shared" si="7"/>
        <v>3.3777777777777778</v>
      </c>
      <c r="U47" s="252"/>
      <c r="V47" s="273"/>
      <c r="W47" s="263" t="s">
        <v>192</v>
      </c>
      <c r="X47" s="374"/>
      <c r="Y47" s="628">
        <f t="shared" si="0"/>
        <v>6.7555555555555555</v>
      </c>
    </row>
    <row r="48" spans="1:25" s="256" customFormat="1" ht="16.5" customHeight="1" x14ac:dyDescent="0.2">
      <c r="A48" s="287">
        <v>41</v>
      </c>
      <c r="B48" s="245"/>
      <c r="C48" s="246">
        <v>2022</v>
      </c>
      <c r="D48" s="269" t="s">
        <v>1252</v>
      </c>
      <c r="E48" s="294" t="s">
        <v>1115</v>
      </c>
      <c r="F48" s="242">
        <v>7</v>
      </c>
      <c r="G48" s="242">
        <v>6.8</v>
      </c>
      <c r="H48" s="242">
        <v>6</v>
      </c>
      <c r="I48" s="242">
        <v>6.5</v>
      </c>
      <c r="J48" s="242">
        <v>7</v>
      </c>
      <c r="K48" s="242">
        <v>7</v>
      </c>
      <c r="L48" s="242">
        <v>7</v>
      </c>
      <c r="M48" s="242">
        <v>6</v>
      </c>
      <c r="N48" s="242">
        <v>6.5</v>
      </c>
      <c r="O48" s="243">
        <f t="shared" si="1"/>
        <v>6.6444444444444439</v>
      </c>
      <c r="P48" s="242"/>
      <c r="Q48" s="242"/>
      <c r="R48" s="242"/>
      <c r="S48" s="277">
        <f t="shared" si="6"/>
        <v>0</v>
      </c>
      <c r="T48" s="277">
        <f t="shared" si="7"/>
        <v>3.322222222222222</v>
      </c>
      <c r="U48" s="252"/>
      <c r="V48" s="273"/>
      <c r="W48" s="263" t="s">
        <v>216</v>
      </c>
      <c r="X48" s="374"/>
      <c r="Y48" s="628">
        <f t="shared" si="0"/>
        <v>6.6444444444444439</v>
      </c>
    </row>
    <row r="49" spans="1:29" s="256" customFormat="1" ht="16.5" customHeight="1" x14ac:dyDescent="0.2">
      <c r="A49" s="287">
        <v>42</v>
      </c>
      <c r="B49" s="245"/>
      <c r="C49" s="246">
        <v>2022</v>
      </c>
      <c r="D49" s="269" t="s">
        <v>1253</v>
      </c>
      <c r="E49" s="292" t="s">
        <v>210</v>
      </c>
      <c r="F49" s="242">
        <v>7.5</v>
      </c>
      <c r="G49" s="242">
        <v>8</v>
      </c>
      <c r="H49" s="242">
        <v>8.5</v>
      </c>
      <c r="I49" s="242">
        <v>7.5</v>
      </c>
      <c r="J49" s="242">
        <v>7</v>
      </c>
      <c r="K49" s="242">
        <v>7</v>
      </c>
      <c r="L49" s="242">
        <v>7</v>
      </c>
      <c r="M49" s="242">
        <v>7.5</v>
      </c>
      <c r="N49" s="242">
        <v>7</v>
      </c>
      <c r="O49" s="243">
        <f t="shared" si="1"/>
        <v>7.4444444444444446</v>
      </c>
      <c r="P49" s="242"/>
      <c r="Q49" s="242"/>
      <c r="R49" s="242"/>
      <c r="S49" s="277">
        <f t="shared" si="6"/>
        <v>0</v>
      </c>
      <c r="T49" s="277">
        <f t="shared" si="7"/>
        <v>3.7222222222222223</v>
      </c>
      <c r="U49" s="252"/>
      <c r="V49" s="273"/>
      <c r="W49" s="263" t="s">
        <v>192</v>
      </c>
      <c r="X49" s="374"/>
      <c r="Y49" s="357">
        <f t="shared" si="0"/>
        <v>7.4444444444444446</v>
      </c>
    </row>
    <row r="50" spans="1:29" s="256" customFormat="1" ht="16.5" customHeight="1" x14ac:dyDescent="0.2">
      <c r="A50" s="287">
        <v>43</v>
      </c>
      <c r="B50" s="245"/>
      <c r="C50" s="246">
        <v>2022</v>
      </c>
      <c r="D50" s="269" t="s">
        <v>1254</v>
      </c>
      <c r="E50" s="302" t="s">
        <v>1249</v>
      </c>
      <c r="F50" s="242">
        <v>7</v>
      </c>
      <c r="G50" s="242">
        <v>8</v>
      </c>
      <c r="H50" s="242">
        <v>7.5</v>
      </c>
      <c r="I50" s="242">
        <v>7</v>
      </c>
      <c r="J50" s="242">
        <v>7</v>
      </c>
      <c r="K50" s="242">
        <v>7.58</v>
      </c>
      <c r="L50" s="242">
        <v>7.5</v>
      </c>
      <c r="M50" s="242">
        <v>7.5</v>
      </c>
      <c r="N50" s="242">
        <v>6.5</v>
      </c>
      <c r="O50" s="243">
        <f t="shared" si="1"/>
        <v>7.2866666666666662</v>
      </c>
      <c r="P50" s="242"/>
      <c r="Q50" s="242"/>
      <c r="R50" s="242"/>
      <c r="S50" s="277">
        <f t="shared" si="6"/>
        <v>0</v>
      </c>
      <c r="T50" s="277">
        <f t="shared" si="7"/>
        <v>3.6433333333333331</v>
      </c>
      <c r="U50" s="252"/>
      <c r="V50" s="273"/>
      <c r="W50" s="263" t="s">
        <v>184</v>
      </c>
      <c r="X50" s="374"/>
      <c r="Y50" s="357">
        <f t="shared" si="0"/>
        <v>7.2866666666666662</v>
      </c>
    </row>
    <row r="51" spans="1:29" s="256" customFormat="1" ht="16.5" customHeight="1" x14ac:dyDescent="0.2">
      <c r="A51" s="287">
        <v>44</v>
      </c>
      <c r="B51" s="245"/>
      <c r="C51" s="246">
        <v>2022</v>
      </c>
      <c r="D51" s="269" t="s">
        <v>1255</v>
      </c>
      <c r="E51" s="292" t="s">
        <v>1256</v>
      </c>
      <c r="F51" s="242">
        <v>8</v>
      </c>
      <c r="G51" s="242">
        <v>8</v>
      </c>
      <c r="H51" s="242">
        <v>8</v>
      </c>
      <c r="I51" s="242">
        <v>7.5</v>
      </c>
      <c r="J51" s="242">
        <v>8</v>
      </c>
      <c r="K51" s="242">
        <v>7</v>
      </c>
      <c r="L51" s="242">
        <v>6</v>
      </c>
      <c r="M51" s="242">
        <v>7.5</v>
      </c>
      <c r="N51" s="320">
        <v>7</v>
      </c>
      <c r="O51" s="243">
        <f t="shared" si="1"/>
        <v>7.4444444444444446</v>
      </c>
      <c r="P51" s="320"/>
      <c r="Q51" s="320"/>
      <c r="R51" s="320"/>
      <c r="S51" s="518">
        <f t="shared" si="6"/>
        <v>0</v>
      </c>
      <c r="T51" s="518">
        <f t="shared" si="7"/>
        <v>3.7222222222222223</v>
      </c>
      <c r="U51" s="519"/>
      <c r="V51" s="520"/>
      <c r="W51" s="300" t="s">
        <v>193</v>
      </c>
      <c r="X51" s="374"/>
      <c r="Y51" s="357">
        <f t="shared" si="0"/>
        <v>7.4444444444444446</v>
      </c>
    </row>
    <row r="52" spans="1:29" s="256" customFormat="1" ht="16.5" customHeight="1" x14ac:dyDescent="0.2">
      <c r="A52" s="287">
        <v>45</v>
      </c>
      <c r="B52" s="245"/>
      <c r="C52" s="246">
        <v>2022</v>
      </c>
      <c r="D52" s="269" t="s">
        <v>1782</v>
      </c>
      <c r="E52" s="292"/>
      <c r="F52" s="458">
        <v>6.5</v>
      </c>
      <c r="G52" s="242">
        <v>7.6</v>
      </c>
      <c r="H52" s="242">
        <v>7.5</v>
      </c>
      <c r="I52" s="242">
        <v>6</v>
      </c>
      <c r="J52" s="242">
        <v>7</v>
      </c>
      <c r="K52" s="242">
        <v>6.5</v>
      </c>
      <c r="L52" s="242">
        <v>7</v>
      </c>
      <c r="M52" s="242">
        <v>6</v>
      </c>
      <c r="N52" s="242">
        <v>6</v>
      </c>
      <c r="O52" s="243">
        <f t="shared" si="1"/>
        <v>6.677777777777778</v>
      </c>
      <c r="P52" s="242"/>
      <c r="Q52" s="242"/>
      <c r="R52" s="242"/>
      <c r="S52" s="277"/>
      <c r="T52" s="277"/>
      <c r="U52" s="379"/>
      <c r="V52" s="273"/>
      <c r="W52" s="263"/>
      <c r="X52" s="374"/>
      <c r="Y52" s="628">
        <f t="shared" si="0"/>
        <v>6.677777777777778</v>
      </c>
    </row>
    <row r="53" spans="1:29" s="256" customFormat="1" ht="16.5" customHeight="1" x14ac:dyDescent="0.2">
      <c r="A53" s="287">
        <v>46</v>
      </c>
      <c r="B53" s="245"/>
      <c r="C53" s="246">
        <v>2022</v>
      </c>
      <c r="D53" s="269" t="s">
        <v>1257</v>
      </c>
      <c r="E53" s="292" t="s">
        <v>1258</v>
      </c>
      <c r="F53" s="242">
        <v>8</v>
      </c>
      <c r="G53" s="242">
        <v>7.8</v>
      </c>
      <c r="H53" s="242">
        <v>7.5</v>
      </c>
      <c r="I53" s="242">
        <v>6</v>
      </c>
      <c r="J53" s="242">
        <v>8</v>
      </c>
      <c r="K53" s="242">
        <v>7</v>
      </c>
      <c r="L53" s="242">
        <v>7</v>
      </c>
      <c r="M53" s="242">
        <v>7</v>
      </c>
      <c r="N53" s="242">
        <v>7</v>
      </c>
      <c r="O53" s="243">
        <f t="shared" si="1"/>
        <v>7.2555555555555555</v>
      </c>
      <c r="P53" s="242"/>
      <c r="Q53" s="242"/>
      <c r="R53" s="242"/>
      <c r="S53" s="277">
        <f t="shared" si="6"/>
        <v>0</v>
      </c>
      <c r="T53" s="277">
        <f t="shared" si="7"/>
        <v>3.6277777777777778</v>
      </c>
      <c r="U53" s="252"/>
      <c r="V53" s="273"/>
      <c r="W53" s="263" t="s">
        <v>174</v>
      </c>
      <c r="X53" s="374"/>
      <c r="Y53" s="357">
        <f t="shared" si="0"/>
        <v>7.2555555555555555</v>
      </c>
    </row>
    <row r="54" spans="1:29" s="256" customFormat="1" ht="16.5" customHeight="1" x14ac:dyDescent="0.2">
      <c r="A54" s="287">
        <v>47</v>
      </c>
      <c r="B54" s="245"/>
      <c r="C54" s="246">
        <v>2022</v>
      </c>
      <c r="D54" s="269" t="s">
        <v>1259</v>
      </c>
      <c r="E54" s="303" t="s">
        <v>1260</v>
      </c>
      <c r="F54" s="242">
        <v>7.5</v>
      </c>
      <c r="G54" s="242">
        <v>7.8</v>
      </c>
      <c r="H54" s="242">
        <v>8</v>
      </c>
      <c r="I54" s="242">
        <v>7.5</v>
      </c>
      <c r="J54" s="242">
        <v>7</v>
      </c>
      <c r="K54" s="242">
        <v>7.5</v>
      </c>
      <c r="L54" s="242">
        <v>6</v>
      </c>
      <c r="M54" s="242">
        <v>7.5</v>
      </c>
      <c r="N54" s="242">
        <v>7</v>
      </c>
      <c r="O54" s="243">
        <f t="shared" si="1"/>
        <v>7.3111111111111109</v>
      </c>
      <c r="P54" s="242"/>
      <c r="Q54" s="242"/>
      <c r="R54" s="242"/>
      <c r="S54" s="277">
        <f>SUM(P54:R54)/3</f>
        <v>0</v>
      </c>
      <c r="T54" s="277">
        <f>SUM(O54+S54)/2</f>
        <v>3.6555555555555554</v>
      </c>
      <c r="U54" s="252"/>
      <c r="V54" s="273"/>
      <c r="W54" s="263" t="s">
        <v>173</v>
      </c>
      <c r="X54" s="374"/>
      <c r="Y54" s="357">
        <f t="shared" si="0"/>
        <v>7.3111111111111109</v>
      </c>
    </row>
    <row r="55" spans="1:29" s="256" customFormat="1" ht="16.5" customHeight="1" x14ac:dyDescent="0.2">
      <c r="A55" s="287">
        <v>48</v>
      </c>
      <c r="B55" s="245"/>
      <c r="C55" s="246">
        <v>2022</v>
      </c>
      <c r="D55" s="269" t="s">
        <v>1261</v>
      </c>
      <c r="E55" s="292" t="s">
        <v>1262</v>
      </c>
      <c r="F55" s="242">
        <v>8</v>
      </c>
      <c r="G55" s="242">
        <v>8</v>
      </c>
      <c r="H55" s="242">
        <v>7.5</v>
      </c>
      <c r="I55" s="242">
        <v>8</v>
      </c>
      <c r="J55" s="242">
        <v>7</v>
      </c>
      <c r="K55" s="242">
        <v>7.5</v>
      </c>
      <c r="L55" s="242">
        <v>7</v>
      </c>
      <c r="M55" s="242">
        <v>8</v>
      </c>
      <c r="N55" s="242">
        <v>7.5</v>
      </c>
      <c r="O55" s="243">
        <f t="shared" si="1"/>
        <v>7.6111111111111107</v>
      </c>
      <c r="P55" s="242"/>
      <c r="Q55" s="242"/>
      <c r="R55" s="242"/>
      <c r="S55" s="277"/>
      <c r="T55" s="277"/>
      <c r="U55" s="252"/>
      <c r="V55" s="273"/>
      <c r="W55" s="300" t="s">
        <v>182</v>
      </c>
      <c r="X55" s="374"/>
      <c r="Y55" s="357">
        <f t="shared" si="0"/>
        <v>7.6111111111111107</v>
      </c>
    </row>
    <row r="56" spans="1:29" s="256" customFormat="1" ht="16.5" customHeight="1" x14ac:dyDescent="0.2">
      <c r="A56" s="287">
        <v>49</v>
      </c>
      <c r="B56" s="245"/>
      <c r="C56" s="246">
        <v>2022</v>
      </c>
      <c r="D56" s="269" t="s">
        <v>259</v>
      </c>
      <c r="E56" s="292" t="s">
        <v>152</v>
      </c>
      <c r="F56" s="242">
        <v>6.5</v>
      </c>
      <c r="G56" s="242">
        <v>8</v>
      </c>
      <c r="H56" s="242">
        <v>6.5</v>
      </c>
      <c r="I56" s="242">
        <v>7</v>
      </c>
      <c r="J56" s="242">
        <v>7</v>
      </c>
      <c r="K56" s="242">
        <v>7.5</v>
      </c>
      <c r="L56" s="242">
        <v>6</v>
      </c>
      <c r="M56" s="242">
        <v>7.5</v>
      </c>
      <c r="N56" s="242">
        <v>7</v>
      </c>
      <c r="O56" s="243">
        <f t="shared" si="1"/>
        <v>7</v>
      </c>
      <c r="P56" s="242"/>
      <c r="Q56" s="242"/>
      <c r="R56" s="242"/>
      <c r="S56" s="277"/>
      <c r="T56" s="277"/>
      <c r="U56" s="252"/>
      <c r="V56" s="273"/>
      <c r="W56" s="305" t="s">
        <v>184</v>
      </c>
      <c r="X56" s="374"/>
      <c r="Y56" s="357">
        <f t="shared" si="0"/>
        <v>7</v>
      </c>
    </row>
    <row r="57" spans="1:29" s="256" customFormat="1" ht="16.5" customHeight="1" x14ac:dyDescent="0.2">
      <c r="A57" s="287">
        <v>50</v>
      </c>
      <c r="B57" s="245"/>
      <c r="C57" s="246">
        <v>2022</v>
      </c>
      <c r="D57" s="269" t="s">
        <v>1263</v>
      </c>
      <c r="E57" s="292" t="s">
        <v>1011</v>
      </c>
      <c r="F57" s="242">
        <v>7.5</v>
      </c>
      <c r="G57" s="242">
        <v>7</v>
      </c>
      <c r="H57" s="242">
        <v>6</v>
      </c>
      <c r="I57" s="242">
        <v>6</v>
      </c>
      <c r="J57" s="242">
        <v>8</v>
      </c>
      <c r="K57" s="242">
        <v>6.5</v>
      </c>
      <c r="L57" s="242">
        <v>6</v>
      </c>
      <c r="M57" s="242">
        <v>6</v>
      </c>
      <c r="N57" s="242">
        <v>7</v>
      </c>
      <c r="O57" s="243">
        <f t="shared" si="1"/>
        <v>6.666666666666667</v>
      </c>
      <c r="P57" s="242"/>
      <c r="Q57" s="242"/>
      <c r="R57" s="242"/>
      <c r="S57" s="277"/>
      <c r="T57" s="277"/>
      <c r="U57" s="252"/>
      <c r="V57" s="273"/>
      <c r="W57" s="305" t="s">
        <v>186</v>
      </c>
      <c r="X57" s="374"/>
      <c r="Y57" s="628">
        <f t="shared" si="0"/>
        <v>6.666666666666667</v>
      </c>
    </row>
    <row r="58" spans="1:29" s="256" customFormat="1" ht="16.5" customHeight="1" x14ac:dyDescent="0.2">
      <c r="A58" s="287">
        <v>51</v>
      </c>
      <c r="B58" s="245"/>
      <c r="C58" s="246">
        <v>2022</v>
      </c>
      <c r="D58" s="269" t="s">
        <v>1264</v>
      </c>
      <c r="E58" s="292" t="s">
        <v>970</v>
      </c>
      <c r="F58" s="242">
        <v>7.5</v>
      </c>
      <c r="G58" s="242">
        <v>8</v>
      </c>
      <c r="H58" s="242">
        <v>8</v>
      </c>
      <c r="I58" s="242">
        <v>7</v>
      </c>
      <c r="J58" s="242">
        <v>6.5</v>
      </c>
      <c r="K58" s="242">
        <v>8</v>
      </c>
      <c r="L58" s="242">
        <v>7</v>
      </c>
      <c r="M58" s="242">
        <v>7.5</v>
      </c>
      <c r="N58" s="242">
        <v>7</v>
      </c>
      <c r="O58" s="243">
        <f t="shared" si="1"/>
        <v>7.3888888888888893</v>
      </c>
      <c r="P58" s="242"/>
      <c r="Q58" s="242"/>
      <c r="R58" s="242"/>
      <c r="S58" s="277"/>
      <c r="T58" s="277"/>
      <c r="U58" s="252"/>
      <c r="V58" s="273"/>
      <c r="W58" s="263" t="s">
        <v>200</v>
      </c>
      <c r="X58" s="374"/>
      <c r="Y58" s="357">
        <f t="shared" si="0"/>
        <v>7.3888888888888893</v>
      </c>
    </row>
    <row r="59" spans="1:29" s="256" customFormat="1" ht="16.5" customHeight="1" x14ac:dyDescent="0.2">
      <c r="A59" s="287">
        <v>52</v>
      </c>
      <c r="B59" s="245"/>
      <c r="C59" s="246">
        <v>2022</v>
      </c>
      <c r="D59" s="269" t="s">
        <v>1265</v>
      </c>
      <c r="E59" s="292" t="s">
        <v>1208</v>
      </c>
      <c r="F59" s="242">
        <v>7.5</v>
      </c>
      <c r="G59" s="242">
        <v>7.8</v>
      </c>
      <c r="H59" s="242">
        <v>7</v>
      </c>
      <c r="I59" s="242">
        <v>7</v>
      </c>
      <c r="J59" s="242">
        <v>7</v>
      </c>
      <c r="K59" s="242">
        <v>7</v>
      </c>
      <c r="L59" s="242">
        <v>6</v>
      </c>
      <c r="M59" s="242">
        <v>7</v>
      </c>
      <c r="N59" s="242">
        <v>7</v>
      </c>
      <c r="O59" s="243">
        <f t="shared" si="1"/>
        <v>7.0333333333333332</v>
      </c>
      <c r="P59" s="242"/>
      <c r="Q59" s="242"/>
      <c r="R59" s="242"/>
      <c r="S59" s="277"/>
      <c r="T59" s="277"/>
      <c r="U59" s="252"/>
      <c r="V59" s="273"/>
      <c r="W59" s="263" t="s">
        <v>184</v>
      </c>
      <c r="X59" s="374"/>
      <c r="Y59" s="357">
        <f t="shared" si="0"/>
        <v>7.0333333333333332</v>
      </c>
    </row>
    <row r="60" spans="1:29" s="256" customFormat="1" ht="16.5" customHeight="1" x14ac:dyDescent="0.2">
      <c r="A60" s="287">
        <v>53</v>
      </c>
      <c r="B60" s="245"/>
      <c r="C60" s="246">
        <v>2022</v>
      </c>
      <c r="D60" s="269" t="s">
        <v>1266</v>
      </c>
      <c r="E60" s="292" t="s">
        <v>676</v>
      </c>
      <c r="F60" s="242">
        <v>7</v>
      </c>
      <c r="G60" s="242">
        <v>7</v>
      </c>
      <c r="H60" s="242">
        <v>8</v>
      </c>
      <c r="I60" s="242">
        <v>7.5</v>
      </c>
      <c r="J60" s="242">
        <v>7</v>
      </c>
      <c r="K60" s="242">
        <v>7</v>
      </c>
      <c r="L60" s="242">
        <v>7</v>
      </c>
      <c r="M60" s="242">
        <v>7</v>
      </c>
      <c r="N60" s="242">
        <v>7</v>
      </c>
      <c r="O60" s="243">
        <f t="shared" si="1"/>
        <v>7.166666666666667</v>
      </c>
      <c r="P60" s="242"/>
      <c r="Q60" s="242"/>
      <c r="R60" s="242"/>
      <c r="S60" s="277"/>
      <c r="T60" s="277"/>
      <c r="U60" s="252"/>
      <c r="V60" s="273"/>
      <c r="W60" s="300" t="s">
        <v>201</v>
      </c>
      <c r="X60" s="374"/>
      <c r="Y60" s="357">
        <f t="shared" si="0"/>
        <v>7.166666666666667</v>
      </c>
    </row>
    <row r="61" spans="1:29" s="256" customFormat="1" ht="16.5" customHeight="1" x14ac:dyDescent="0.2">
      <c r="A61" s="287">
        <v>54</v>
      </c>
      <c r="B61" s="245"/>
      <c r="C61" s="246">
        <v>2022</v>
      </c>
      <c r="D61" s="269" t="s">
        <v>1267</v>
      </c>
      <c r="E61" s="292" t="s">
        <v>596</v>
      </c>
      <c r="F61" s="242">
        <v>7.5</v>
      </c>
      <c r="G61" s="242">
        <v>7</v>
      </c>
      <c r="H61" s="242">
        <v>8</v>
      </c>
      <c r="I61" s="242">
        <v>7.5</v>
      </c>
      <c r="J61" s="242">
        <v>8</v>
      </c>
      <c r="K61" s="242">
        <v>7</v>
      </c>
      <c r="L61" s="242">
        <v>7</v>
      </c>
      <c r="M61" s="242">
        <v>8</v>
      </c>
      <c r="N61" s="242">
        <v>6.5</v>
      </c>
      <c r="O61" s="243">
        <f t="shared" si="1"/>
        <v>7.3888888888888893</v>
      </c>
      <c r="P61" s="242"/>
      <c r="Q61" s="242"/>
      <c r="R61" s="242"/>
      <c r="S61" s="277"/>
      <c r="T61" s="277"/>
      <c r="U61" s="252"/>
      <c r="V61" s="273"/>
      <c r="W61" s="305" t="s">
        <v>882</v>
      </c>
      <c r="X61" s="374"/>
      <c r="Y61" s="357">
        <f t="shared" si="0"/>
        <v>7.3888888888888893</v>
      </c>
    </row>
    <row r="62" spans="1:29" s="256" customFormat="1" ht="16.5" customHeight="1" x14ac:dyDescent="0.2">
      <c r="A62" s="287">
        <v>55</v>
      </c>
      <c r="B62" s="245"/>
      <c r="C62" s="246">
        <v>2022</v>
      </c>
      <c r="D62" s="269" t="s">
        <v>991</v>
      </c>
      <c r="E62" s="292" t="s">
        <v>516</v>
      </c>
      <c r="F62" s="242">
        <v>7.5</v>
      </c>
      <c r="G62" s="242">
        <v>8</v>
      </c>
      <c r="H62" s="242">
        <v>7.5</v>
      </c>
      <c r="I62" s="242">
        <v>7</v>
      </c>
      <c r="J62" s="242">
        <v>8</v>
      </c>
      <c r="K62" s="242">
        <v>7.5</v>
      </c>
      <c r="L62" s="242">
        <v>7</v>
      </c>
      <c r="M62" s="242">
        <v>7.5</v>
      </c>
      <c r="N62" s="242">
        <v>6.5</v>
      </c>
      <c r="O62" s="243">
        <f t="shared" si="1"/>
        <v>7.3888888888888893</v>
      </c>
      <c r="P62" s="242"/>
      <c r="Q62" s="242"/>
      <c r="R62" s="242"/>
      <c r="S62" s="277"/>
      <c r="T62" s="277"/>
      <c r="U62" s="252"/>
      <c r="V62" s="273"/>
      <c r="W62" s="305" t="s">
        <v>234</v>
      </c>
      <c r="X62" s="374"/>
      <c r="Y62" s="357">
        <f t="shared" si="0"/>
        <v>7.3888888888888893</v>
      </c>
      <c r="Z62" s="357"/>
      <c r="AA62" s="357"/>
      <c r="AB62" s="357"/>
      <c r="AC62" s="357"/>
    </row>
    <row r="63" spans="1:29" s="256" customFormat="1" ht="16.5" customHeight="1" x14ac:dyDescent="0.2">
      <c r="A63" s="287">
        <v>56</v>
      </c>
      <c r="B63" s="245"/>
      <c r="C63" s="246">
        <v>2022</v>
      </c>
      <c r="D63" s="269" t="s">
        <v>1268</v>
      </c>
      <c r="E63" s="292" t="s">
        <v>807</v>
      </c>
      <c r="F63" s="242">
        <v>6.5</v>
      </c>
      <c r="G63" s="242">
        <v>7.2</v>
      </c>
      <c r="H63" s="242">
        <v>8</v>
      </c>
      <c r="I63" s="242">
        <v>7.5</v>
      </c>
      <c r="J63" s="242">
        <v>7</v>
      </c>
      <c r="K63" s="242">
        <v>7.5</v>
      </c>
      <c r="L63" s="242">
        <v>7</v>
      </c>
      <c r="M63" s="242">
        <v>7.5</v>
      </c>
      <c r="N63" s="242">
        <v>7</v>
      </c>
      <c r="O63" s="243">
        <f t="shared" si="1"/>
        <v>7.2444444444444445</v>
      </c>
      <c r="P63" s="242"/>
      <c r="Q63" s="242"/>
      <c r="R63" s="242"/>
      <c r="S63" s="277"/>
      <c r="T63" s="277"/>
      <c r="U63" s="252"/>
      <c r="V63" s="273"/>
      <c r="W63" s="305" t="s">
        <v>216</v>
      </c>
      <c r="X63" s="374"/>
      <c r="Y63" s="357">
        <f t="shared" si="0"/>
        <v>7.2444444444444445</v>
      </c>
    </row>
    <row r="64" spans="1:29" s="256" customFormat="1" ht="16.5" customHeight="1" x14ac:dyDescent="0.2">
      <c r="A64" s="287">
        <v>57</v>
      </c>
      <c r="B64" s="245"/>
      <c r="C64" s="246">
        <v>2022</v>
      </c>
      <c r="D64" s="269" t="s">
        <v>1269</v>
      </c>
      <c r="E64" s="292" t="s">
        <v>1270</v>
      </c>
      <c r="F64" s="242">
        <v>7.5</v>
      </c>
      <c r="G64" s="242">
        <v>6.5</v>
      </c>
      <c r="H64" s="242">
        <v>8</v>
      </c>
      <c r="I64" s="242">
        <v>7</v>
      </c>
      <c r="J64" s="242">
        <v>8</v>
      </c>
      <c r="K64" s="242">
        <v>7</v>
      </c>
      <c r="L64" s="242">
        <v>6</v>
      </c>
      <c r="M64" s="242">
        <v>7</v>
      </c>
      <c r="N64" s="242">
        <v>7</v>
      </c>
      <c r="O64" s="243">
        <f t="shared" si="1"/>
        <v>7.1111111111111107</v>
      </c>
      <c r="P64" s="242"/>
      <c r="Q64" s="242"/>
      <c r="R64" s="242"/>
      <c r="S64" s="277"/>
      <c r="T64" s="277"/>
      <c r="U64" s="252"/>
      <c r="V64" s="273"/>
      <c r="W64" s="305" t="s">
        <v>1197</v>
      </c>
      <c r="X64" s="374"/>
      <c r="Y64" s="357">
        <f t="shared" si="0"/>
        <v>7.1111111111111107</v>
      </c>
    </row>
    <row r="65" spans="1:25" s="256" customFormat="1" ht="16.5" customHeight="1" x14ac:dyDescent="0.2">
      <c r="A65" s="287">
        <v>58</v>
      </c>
      <c r="B65" s="245"/>
      <c r="C65" s="246">
        <v>2022</v>
      </c>
      <c r="D65" s="269" t="s">
        <v>640</v>
      </c>
      <c r="E65" s="292" t="s">
        <v>889</v>
      </c>
      <c r="F65" s="242">
        <v>8</v>
      </c>
      <c r="G65" s="242">
        <v>8</v>
      </c>
      <c r="H65" s="242">
        <v>7.5</v>
      </c>
      <c r="I65" s="242">
        <v>8</v>
      </c>
      <c r="J65" s="242">
        <v>6.5</v>
      </c>
      <c r="K65" s="242">
        <v>7</v>
      </c>
      <c r="L65" s="242">
        <v>7</v>
      </c>
      <c r="M65" s="242">
        <v>8</v>
      </c>
      <c r="N65" s="242">
        <v>7.5</v>
      </c>
      <c r="O65" s="243">
        <f t="shared" si="1"/>
        <v>7.5</v>
      </c>
      <c r="P65" s="242"/>
      <c r="Q65" s="242"/>
      <c r="R65" s="242"/>
      <c r="S65" s="277"/>
      <c r="T65" s="277"/>
      <c r="U65" s="252"/>
      <c r="V65" s="273"/>
      <c r="W65" s="305" t="s">
        <v>18</v>
      </c>
      <c r="X65" s="374"/>
      <c r="Y65" s="357">
        <f t="shared" si="0"/>
        <v>7.5</v>
      </c>
    </row>
    <row r="66" spans="1:25" s="256" customFormat="1" ht="16.5" customHeight="1" x14ac:dyDescent="0.2">
      <c r="A66" s="287">
        <v>59</v>
      </c>
      <c r="B66" s="245"/>
      <c r="C66" s="246">
        <v>2022</v>
      </c>
      <c r="D66" s="269" t="s">
        <v>236</v>
      </c>
      <c r="E66" s="292" t="s">
        <v>785</v>
      </c>
      <c r="F66" s="242">
        <v>8</v>
      </c>
      <c r="G66" s="242">
        <v>7</v>
      </c>
      <c r="H66" s="242">
        <v>8</v>
      </c>
      <c r="I66" s="242">
        <v>7</v>
      </c>
      <c r="J66" s="242">
        <v>7</v>
      </c>
      <c r="K66" s="242">
        <v>7</v>
      </c>
      <c r="L66" s="242">
        <v>7</v>
      </c>
      <c r="M66" s="242">
        <v>7</v>
      </c>
      <c r="N66" s="242">
        <v>7</v>
      </c>
      <c r="O66" s="243">
        <f t="shared" si="1"/>
        <v>7.2222222222222223</v>
      </c>
      <c r="P66" s="242"/>
      <c r="Q66" s="242"/>
      <c r="R66" s="242"/>
      <c r="S66" s="277"/>
      <c r="T66" s="277"/>
      <c r="U66" s="252"/>
      <c r="V66" s="273"/>
      <c r="W66" s="305" t="s">
        <v>186</v>
      </c>
      <c r="X66" s="374"/>
      <c r="Y66" s="357">
        <f t="shared" si="0"/>
        <v>7.2222222222222223</v>
      </c>
    </row>
    <row r="67" spans="1:25" s="256" customFormat="1" ht="16.5" customHeight="1" x14ac:dyDescent="0.2">
      <c r="A67" s="287">
        <v>60</v>
      </c>
      <c r="B67" s="245"/>
      <c r="C67" s="246">
        <v>2022</v>
      </c>
      <c r="D67" s="269" t="s">
        <v>1271</v>
      </c>
      <c r="E67" s="292" t="s">
        <v>1272</v>
      </c>
      <c r="F67" s="242">
        <v>7.5</v>
      </c>
      <c r="G67" s="242">
        <v>7</v>
      </c>
      <c r="H67" s="242">
        <v>7</v>
      </c>
      <c r="I67" s="242">
        <v>7.5</v>
      </c>
      <c r="J67" s="242">
        <v>7</v>
      </c>
      <c r="K67" s="242">
        <v>7</v>
      </c>
      <c r="L67" s="242">
        <v>7</v>
      </c>
      <c r="M67" s="242">
        <v>7.5</v>
      </c>
      <c r="N67" s="242">
        <v>7</v>
      </c>
      <c r="O67" s="243">
        <f t="shared" si="1"/>
        <v>7.166666666666667</v>
      </c>
      <c r="P67" s="242"/>
      <c r="Q67" s="242"/>
      <c r="R67" s="242"/>
      <c r="S67" s="277"/>
      <c r="T67" s="277"/>
      <c r="U67" s="252"/>
      <c r="V67" s="273"/>
      <c r="W67" s="305" t="s">
        <v>192</v>
      </c>
      <c r="X67" s="374"/>
      <c r="Y67" s="357">
        <f t="shared" si="0"/>
        <v>7.166666666666667</v>
      </c>
    </row>
    <row r="68" spans="1:25" s="256" customFormat="1" ht="16.5" customHeight="1" x14ac:dyDescent="0.2">
      <c r="A68" s="287">
        <v>61</v>
      </c>
      <c r="B68" s="245"/>
      <c r="C68" s="246">
        <v>2022</v>
      </c>
      <c r="D68" s="269" t="s">
        <v>1275</v>
      </c>
      <c r="E68" s="292" t="s">
        <v>1054</v>
      </c>
      <c r="F68" s="242">
        <v>7.5</v>
      </c>
      <c r="G68" s="242">
        <v>7</v>
      </c>
      <c r="H68" s="242">
        <v>8</v>
      </c>
      <c r="I68" s="242">
        <v>7</v>
      </c>
      <c r="J68" s="242">
        <v>6</v>
      </c>
      <c r="K68" s="242">
        <v>7</v>
      </c>
      <c r="L68" s="242">
        <v>6</v>
      </c>
      <c r="M68" s="242">
        <v>6</v>
      </c>
      <c r="N68" s="242">
        <v>7</v>
      </c>
      <c r="O68" s="243">
        <f t="shared" si="1"/>
        <v>6.833333333333333</v>
      </c>
      <c r="P68" s="242"/>
      <c r="Q68" s="242"/>
      <c r="R68" s="242"/>
      <c r="S68" s="277"/>
      <c r="T68" s="277"/>
      <c r="U68" s="252"/>
      <c r="V68" s="273"/>
      <c r="W68" s="305" t="s">
        <v>216</v>
      </c>
      <c r="X68" s="374"/>
      <c r="Y68" s="628">
        <f t="shared" si="0"/>
        <v>6.833333333333333</v>
      </c>
    </row>
    <row r="69" spans="1:25" s="256" customFormat="1" ht="16.5" customHeight="1" x14ac:dyDescent="0.2">
      <c r="A69" s="287">
        <v>62</v>
      </c>
      <c r="B69" s="245"/>
      <c r="C69" s="246">
        <v>2022</v>
      </c>
      <c r="D69" s="269" t="s">
        <v>1276</v>
      </c>
      <c r="E69" s="292" t="s">
        <v>865</v>
      </c>
      <c r="F69" s="242">
        <v>8</v>
      </c>
      <c r="G69" s="242">
        <v>8</v>
      </c>
      <c r="H69" s="242">
        <v>8</v>
      </c>
      <c r="I69" s="242">
        <v>7.5</v>
      </c>
      <c r="J69" s="242">
        <v>8</v>
      </c>
      <c r="K69" s="242">
        <v>7</v>
      </c>
      <c r="L69" s="242">
        <v>6</v>
      </c>
      <c r="M69" s="242">
        <v>7</v>
      </c>
      <c r="N69" s="242">
        <v>7</v>
      </c>
      <c r="O69" s="243">
        <f t="shared" si="1"/>
        <v>7.3888888888888893</v>
      </c>
      <c r="P69" s="242"/>
      <c r="Q69" s="242"/>
      <c r="R69" s="242"/>
      <c r="S69" s="277"/>
      <c r="T69" s="277"/>
      <c r="U69" s="252"/>
      <c r="V69" s="273"/>
      <c r="W69" s="305" t="s">
        <v>176</v>
      </c>
      <c r="X69" s="374"/>
      <c r="Y69" s="357">
        <f t="shared" si="0"/>
        <v>7.3888888888888893</v>
      </c>
    </row>
    <row r="70" spans="1:25" s="256" customFormat="1" ht="16.5" customHeight="1" x14ac:dyDescent="0.2">
      <c r="A70" s="287">
        <v>63</v>
      </c>
      <c r="B70" s="245"/>
      <c r="C70" s="246">
        <v>2022</v>
      </c>
      <c r="D70" s="269" t="s">
        <v>1277</v>
      </c>
      <c r="E70" s="292" t="s">
        <v>256</v>
      </c>
      <c r="F70" s="242">
        <v>8</v>
      </c>
      <c r="G70" s="242">
        <v>7.2</v>
      </c>
      <c r="H70" s="242">
        <v>8</v>
      </c>
      <c r="I70" s="242">
        <v>6</v>
      </c>
      <c r="J70" s="242">
        <v>7</v>
      </c>
      <c r="K70" s="242">
        <v>7</v>
      </c>
      <c r="L70" s="242">
        <v>7</v>
      </c>
      <c r="M70" s="242">
        <v>6</v>
      </c>
      <c r="N70" s="242">
        <v>6.5</v>
      </c>
      <c r="O70" s="243">
        <f t="shared" si="1"/>
        <v>6.9666666666666668</v>
      </c>
      <c r="P70" s="242"/>
      <c r="Q70" s="242"/>
      <c r="R70" s="242"/>
      <c r="S70" s="277"/>
      <c r="T70" s="277"/>
      <c r="U70" s="252"/>
      <c r="V70" s="273"/>
      <c r="W70" s="305" t="s">
        <v>268</v>
      </c>
      <c r="X70" s="374"/>
      <c r="Y70" s="628">
        <f t="shared" si="0"/>
        <v>6.9666666666666668</v>
      </c>
    </row>
    <row r="71" spans="1:25" s="368" customFormat="1" ht="16.5" customHeight="1" thickBot="1" x14ac:dyDescent="0.35">
      <c r="A71" s="359"/>
      <c r="B71" s="360"/>
      <c r="C71" s="361"/>
      <c r="D71" s="362"/>
      <c r="E71" s="363"/>
      <c r="F71" s="363"/>
      <c r="G71" s="363"/>
      <c r="H71" s="363"/>
      <c r="I71" s="365"/>
      <c r="J71" s="363"/>
      <c r="K71" s="363"/>
      <c r="L71" s="363"/>
      <c r="M71" s="363"/>
      <c r="N71" s="363"/>
      <c r="O71" s="364"/>
      <c r="P71" s="365"/>
      <c r="Q71" s="365"/>
      <c r="R71" s="365"/>
      <c r="S71" s="363"/>
      <c r="T71" s="363"/>
      <c r="U71" s="363"/>
      <c r="V71" s="549"/>
      <c r="W71" s="550"/>
    </row>
    <row r="72" spans="1:25" s="368" customFormat="1" ht="19.5" thickTop="1" x14ac:dyDescent="0.3">
      <c r="A72" s="369"/>
      <c r="B72" s="369"/>
      <c r="C72" s="369"/>
      <c r="E72" s="369"/>
      <c r="F72" s="369"/>
      <c r="G72" s="369"/>
      <c r="H72" s="369"/>
      <c r="I72" s="369"/>
      <c r="J72" s="369"/>
      <c r="K72" s="369"/>
      <c r="L72" s="369"/>
      <c r="M72" s="369"/>
      <c r="N72" s="369"/>
      <c r="O72" s="370"/>
      <c r="P72" s="371"/>
      <c r="Q72" s="371"/>
      <c r="R72" s="371"/>
      <c r="S72" s="369"/>
      <c r="T72" s="369"/>
      <c r="U72" s="369"/>
      <c r="V72" s="372"/>
      <c r="W72" s="369"/>
    </row>
    <row r="73" spans="1:25" s="368" customFormat="1" x14ac:dyDescent="0.3">
      <c r="A73" s="369"/>
      <c r="B73" s="369"/>
      <c r="C73" s="369"/>
      <c r="E73" s="369"/>
      <c r="F73" s="369"/>
      <c r="G73" s="369"/>
      <c r="H73" s="369"/>
      <c r="I73" s="369"/>
      <c r="J73" s="369"/>
      <c r="K73" s="369"/>
      <c r="L73" s="369"/>
      <c r="M73" s="369"/>
      <c r="N73" s="369"/>
      <c r="O73" s="370"/>
      <c r="P73" s="371"/>
      <c r="Q73" s="371"/>
      <c r="R73" s="371"/>
      <c r="S73" s="369"/>
      <c r="T73" s="369"/>
      <c r="U73" s="369"/>
      <c r="V73" s="372"/>
      <c r="W73" s="369"/>
    </row>
    <row r="74" spans="1:25" x14ac:dyDescent="0.3">
      <c r="B74" s="157"/>
      <c r="C74" s="157"/>
      <c r="D74" s="158"/>
      <c r="E74" s="157"/>
      <c r="F74" s="157"/>
      <c r="G74" s="157"/>
      <c r="H74" s="157"/>
      <c r="I74" s="157"/>
      <c r="J74" s="238"/>
      <c r="K74" s="235"/>
      <c r="L74" s="235"/>
      <c r="M74" s="235"/>
      <c r="N74" s="235"/>
      <c r="X74" s="134"/>
    </row>
    <row r="75" spans="1:25" x14ac:dyDescent="0.3">
      <c r="B75" s="235"/>
      <c r="C75" s="235"/>
      <c r="D75" s="24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X75" s="160" t="s">
        <v>3</v>
      </c>
    </row>
    <row r="76" spans="1:25" x14ac:dyDescent="0.3">
      <c r="B76" s="235"/>
      <c r="C76" s="235"/>
      <c r="D76" s="24"/>
      <c r="E76" s="235"/>
      <c r="F76" s="235"/>
      <c r="G76" s="235"/>
      <c r="H76" s="235"/>
      <c r="I76" s="235"/>
      <c r="J76" s="235"/>
      <c r="K76" s="235"/>
      <c r="L76" s="235"/>
      <c r="M76" s="235"/>
      <c r="N76" s="235"/>
      <c r="W76" s="663"/>
      <c r="X76" s="134"/>
    </row>
    <row r="77" spans="1:25" x14ac:dyDescent="0.3">
      <c r="B77" s="235"/>
      <c r="C77" s="235"/>
      <c r="D77" s="24"/>
      <c r="E77" s="235"/>
      <c r="F77" s="235"/>
      <c r="G77" s="235"/>
      <c r="H77" s="235"/>
      <c r="I77" s="235"/>
      <c r="J77" s="235"/>
      <c r="K77" s="235"/>
      <c r="L77" s="235"/>
      <c r="M77" s="235"/>
      <c r="N77" s="235"/>
      <c r="X77" s="134"/>
    </row>
    <row r="78" spans="1:25" x14ac:dyDescent="0.3">
      <c r="M78" s="43"/>
      <c r="N78" s="43"/>
      <c r="X78" s="134"/>
    </row>
    <row r="79" spans="1:25" x14ac:dyDescent="0.3">
      <c r="X79" s="134"/>
    </row>
    <row r="81" ht="18.75" customHeight="1" x14ac:dyDescent="0.3"/>
    <row r="102" spans="1:25" s="256" customFormat="1" ht="16.5" customHeight="1" x14ac:dyDescent="0.2">
      <c r="A102" s="287">
        <v>30</v>
      </c>
      <c r="B102" s="245"/>
      <c r="C102" s="246">
        <v>2022</v>
      </c>
      <c r="D102" s="269" t="s">
        <v>1238</v>
      </c>
      <c r="E102" s="292" t="s">
        <v>655</v>
      </c>
      <c r="F102" s="242">
        <v>7.5</v>
      </c>
      <c r="G102" s="242"/>
      <c r="H102" s="242"/>
      <c r="I102" s="242"/>
      <c r="J102" s="242"/>
      <c r="K102" s="242"/>
      <c r="L102" s="242">
        <v>6.5</v>
      </c>
      <c r="M102" s="242"/>
      <c r="N102" s="242"/>
      <c r="O102" s="243">
        <f>SUM(F102:N102)/10</f>
        <v>1.4</v>
      </c>
      <c r="P102" s="242"/>
      <c r="Q102" s="242"/>
      <c r="R102" s="242"/>
      <c r="S102" s="277">
        <f>SUM(P102:R102)/3</f>
        <v>0</v>
      </c>
      <c r="T102" s="277">
        <f>SUM(O102+S102)/2</f>
        <v>0.7</v>
      </c>
      <c r="U102" s="252"/>
      <c r="V102" s="273"/>
      <c r="W102" s="263" t="s">
        <v>1787</v>
      </c>
      <c r="X102" s="374"/>
      <c r="Y102" s="357">
        <f>AVERAGE(F102:N102)</f>
        <v>7</v>
      </c>
    </row>
    <row r="118" spans="1:25" s="256" customFormat="1" ht="16.5" customHeight="1" x14ac:dyDescent="0.2">
      <c r="A118" s="287">
        <v>60</v>
      </c>
      <c r="B118" s="245"/>
      <c r="C118" s="246">
        <v>2022</v>
      </c>
      <c r="D118" s="269" t="s">
        <v>1273</v>
      </c>
      <c r="E118" s="292" t="s">
        <v>1274</v>
      </c>
      <c r="F118" s="242">
        <v>7</v>
      </c>
      <c r="G118" s="242"/>
      <c r="H118" s="242"/>
      <c r="I118" s="242"/>
      <c r="J118" s="242"/>
      <c r="K118" s="242"/>
      <c r="L118" s="242"/>
      <c r="M118" s="242"/>
      <c r="N118" s="242"/>
      <c r="O118" s="243">
        <f>SUM(F118:N118)/10</f>
        <v>0.7</v>
      </c>
      <c r="P118" s="242"/>
      <c r="Q118" s="242"/>
      <c r="R118" s="242"/>
      <c r="S118" s="277"/>
      <c r="T118" s="277"/>
      <c r="U118" s="252"/>
      <c r="V118" s="273"/>
      <c r="W118" s="305" t="s">
        <v>1788</v>
      </c>
      <c r="X118" s="374"/>
      <c r="Y118" s="357">
        <f>AVERAGE(F118:N118)</f>
        <v>7</v>
      </c>
    </row>
  </sheetData>
  <autoFilter ref="O6:X70">
    <filterColumn colId="1" showButton="0"/>
    <filterColumn colId="2" showButton="0"/>
    <filterColumn colId="3" showButton="0"/>
  </autoFilter>
  <mergeCells count="15">
    <mergeCell ref="E1:W1"/>
    <mergeCell ref="E2:W2"/>
    <mergeCell ref="E3:U3"/>
    <mergeCell ref="E4:AC4"/>
    <mergeCell ref="A6:A7"/>
    <mergeCell ref="B6:C7"/>
    <mergeCell ref="D6:D7"/>
    <mergeCell ref="E6:E7"/>
    <mergeCell ref="F6:M6"/>
    <mergeCell ref="O6:O7"/>
    <mergeCell ref="P6:S6"/>
    <mergeCell ref="T6:T7"/>
    <mergeCell ref="U6:U7"/>
    <mergeCell ref="V6:V7"/>
    <mergeCell ref="W6:W7"/>
  </mergeCells>
  <printOptions horizontalCentered="1"/>
  <pageMargins left="0.63" right="0.16" top="0.27" bottom="0.31" header="0.23" footer="0.27"/>
  <pageSetup scale="98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3:AL39"/>
  <sheetViews>
    <sheetView topLeftCell="A4" zoomScale="110" zoomScaleNormal="110" workbookViewId="0">
      <selection activeCell="K17" sqref="K17"/>
    </sheetView>
  </sheetViews>
  <sheetFormatPr defaultRowHeight="18.75" x14ac:dyDescent="0.3"/>
  <cols>
    <col min="1" max="1" width="3.09765625" style="1" customWidth="1"/>
    <col min="2" max="2" width="4.59765625" style="1" customWidth="1"/>
    <col min="3" max="3" width="4.796875" style="1" customWidth="1"/>
    <col min="4" max="4" width="13.69921875" customWidth="1"/>
    <col min="5" max="5" width="7.8984375" style="1" customWidth="1"/>
    <col min="6" max="19" width="2.59765625" style="1" customWidth="1"/>
    <col min="20" max="20" width="4.59765625" style="25" customWidth="1"/>
    <col min="21" max="23" width="2.19921875" style="20" hidden="1" customWidth="1"/>
    <col min="24" max="25" width="3.3984375" style="235" hidden="1" customWidth="1"/>
    <col min="26" max="26" width="4.3984375" style="235" customWidth="1"/>
    <col min="27" max="27" width="4.3984375" style="14" hidden="1" customWidth="1"/>
    <col min="28" max="28" width="26.3984375" style="235" customWidth="1"/>
    <col min="29" max="29" width="7.5" customWidth="1"/>
    <col min="30" max="30" width="4.69921875" customWidth="1"/>
  </cols>
  <sheetData>
    <row r="3" spans="1:38" s="6" customFormat="1" ht="17.25" x14ac:dyDescent="0.3">
      <c r="B3" s="8"/>
      <c r="C3" s="8"/>
      <c r="D3" s="8"/>
      <c r="E3" s="1199" t="s">
        <v>29</v>
      </c>
      <c r="F3" s="1199"/>
      <c r="G3" s="1199"/>
      <c r="H3" s="1199"/>
      <c r="I3" s="1199"/>
      <c r="J3" s="1199"/>
      <c r="K3" s="1199"/>
      <c r="L3" s="1199"/>
      <c r="M3" s="1199"/>
      <c r="N3" s="1199"/>
      <c r="O3" s="1199"/>
      <c r="P3" s="1199"/>
      <c r="Q3" s="1199"/>
      <c r="R3" s="1199"/>
      <c r="S3" s="1199"/>
      <c r="T3" s="1199"/>
      <c r="U3" s="1199"/>
      <c r="V3" s="1199"/>
      <c r="W3" s="1199"/>
      <c r="X3" s="1199"/>
      <c r="Y3" s="1199"/>
      <c r="Z3" s="1199"/>
      <c r="AA3" s="1199"/>
      <c r="AB3" s="1199"/>
    </row>
    <row r="4" spans="1:38" s="6" customFormat="1" ht="15.75" x14ac:dyDescent="0.25">
      <c r="B4" s="10"/>
      <c r="C4" s="10"/>
      <c r="D4" s="10"/>
      <c r="E4" s="1200" t="s">
        <v>471</v>
      </c>
      <c r="F4" s="1200"/>
      <c r="G4" s="1200"/>
      <c r="H4" s="1200"/>
      <c r="I4" s="1200"/>
      <c r="J4" s="1200"/>
      <c r="K4" s="1200"/>
      <c r="L4" s="1200"/>
      <c r="M4" s="1200"/>
      <c r="N4" s="1200"/>
      <c r="O4" s="1200"/>
      <c r="P4" s="1200"/>
      <c r="Q4" s="1200"/>
      <c r="R4" s="1200"/>
      <c r="S4" s="1200"/>
      <c r="T4" s="1200"/>
      <c r="U4" s="1200"/>
      <c r="V4" s="1200"/>
      <c r="W4" s="1200"/>
      <c r="X4" s="1200"/>
      <c r="Y4" s="1200"/>
      <c r="Z4" s="1200"/>
      <c r="AA4" s="1200"/>
      <c r="AB4" s="1200"/>
    </row>
    <row r="5" spans="1:38" s="6" customFormat="1" ht="15.75" hidden="1" x14ac:dyDescent="0.25">
      <c r="B5" s="11"/>
      <c r="C5" s="11"/>
      <c r="D5" s="11"/>
      <c r="E5" s="1201" t="s">
        <v>34</v>
      </c>
      <c r="F5" s="1201"/>
      <c r="G5" s="1201"/>
      <c r="H5" s="1201"/>
      <c r="I5" s="1201"/>
      <c r="J5" s="1201"/>
      <c r="K5" s="1201"/>
      <c r="L5" s="1201"/>
      <c r="M5" s="1201"/>
      <c r="N5" s="1201"/>
      <c r="O5" s="1201"/>
      <c r="P5" s="1201"/>
      <c r="Q5" s="1201"/>
      <c r="R5" s="1201"/>
      <c r="S5" s="1201"/>
      <c r="T5" s="1201"/>
      <c r="U5" s="1201"/>
      <c r="V5" s="1201"/>
      <c r="W5" s="1201"/>
      <c r="X5" s="1201"/>
      <c r="Y5" s="1201"/>
      <c r="Z5" s="1201"/>
      <c r="AA5" s="1201"/>
      <c r="AB5" s="1201"/>
      <c r="AC5" s="11"/>
    </row>
    <row r="6" spans="1:38" s="6" customFormat="1" ht="15.75" customHeight="1" x14ac:dyDescent="0.25">
      <c r="B6" s="10"/>
      <c r="C6" s="10"/>
      <c r="D6" s="10"/>
      <c r="E6" s="1202" t="s">
        <v>472</v>
      </c>
      <c r="F6" s="1202"/>
      <c r="G6" s="1202"/>
      <c r="H6" s="1202"/>
      <c r="I6" s="1202"/>
      <c r="J6" s="1202"/>
      <c r="K6" s="1202"/>
      <c r="L6" s="1202"/>
      <c r="M6" s="1202"/>
      <c r="N6" s="1202"/>
      <c r="O6" s="1202"/>
      <c r="P6" s="1202"/>
      <c r="Q6" s="1202"/>
      <c r="R6" s="1202"/>
      <c r="S6" s="1202"/>
      <c r="T6" s="1202"/>
      <c r="U6" s="1202"/>
      <c r="V6" s="1202"/>
      <c r="W6" s="1202"/>
      <c r="X6" s="1202"/>
      <c r="Y6" s="1202"/>
      <c r="Z6" s="1202"/>
      <c r="AA6" s="1202"/>
      <c r="AB6" s="1202"/>
      <c r="AC6" s="1202"/>
      <c r="AD6" s="1202"/>
      <c r="AE6" s="1202"/>
      <c r="AF6" s="1202"/>
      <c r="AG6" s="1202"/>
      <c r="AH6" s="1202"/>
      <c r="AI6" s="1202"/>
      <c r="AJ6" s="1202"/>
      <c r="AK6" s="1202"/>
      <c r="AL6" s="1202"/>
    </row>
    <row r="7" spans="1:38" s="6" customFormat="1" ht="16.5" thickBot="1" x14ac:dyDescent="0.3">
      <c r="A7" s="663"/>
      <c r="B7" s="663"/>
      <c r="C7" s="663"/>
      <c r="D7" s="663"/>
      <c r="E7" s="663"/>
      <c r="F7" s="663"/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663"/>
      <c r="S7" s="663"/>
      <c r="T7" s="663"/>
      <c r="U7" s="18"/>
      <c r="V7" s="18"/>
      <c r="W7" s="18"/>
      <c r="X7" s="663"/>
      <c r="Y7" s="663"/>
      <c r="Z7" s="663"/>
      <c r="AA7" s="663"/>
      <c r="AB7" s="663"/>
    </row>
    <row r="8" spans="1:38" s="6" customFormat="1" ht="23.25" customHeight="1" thickTop="1" x14ac:dyDescent="0.2">
      <c r="A8" s="1268" t="s">
        <v>91</v>
      </c>
      <c r="B8" s="1270" t="s">
        <v>106</v>
      </c>
      <c r="C8" s="1271"/>
      <c r="D8" s="1274" t="s">
        <v>92</v>
      </c>
      <c r="E8" s="1274" t="s">
        <v>93</v>
      </c>
      <c r="F8" s="1261" t="s">
        <v>6</v>
      </c>
      <c r="G8" s="1262"/>
      <c r="H8" s="1262"/>
      <c r="I8" s="1262"/>
      <c r="J8" s="1262"/>
      <c r="K8" s="1262"/>
      <c r="L8" s="1262"/>
      <c r="M8" s="1262"/>
      <c r="N8" s="1262"/>
      <c r="O8" s="1262"/>
      <c r="P8" s="1262"/>
      <c r="Q8" s="1262"/>
      <c r="R8" s="1262"/>
      <c r="S8" s="670"/>
      <c r="T8" s="1277" t="s">
        <v>102</v>
      </c>
      <c r="U8" s="1261" t="s">
        <v>104</v>
      </c>
      <c r="V8" s="1262"/>
      <c r="W8" s="1262"/>
      <c r="X8" s="1263"/>
      <c r="Y8" s="1264" t="s">
        <v>99</v>
      </c>
      <c r="Z8" s="1264" t="s">
        <v>100</v>
      </c>
      <c r="AA8" s="1293" t="s">
        <v>103</v>
      </c>
      <c r="AB8" s="1266" t="s">
        <v>90</v>
      </c>
    </row>
    <row r="9" spans="1:38" s="6" customFormat="1" ht="126" customHeight="1" x14ac:dyDescent="0.2">
      <c r="A9" s="1269"/>
      <c r="B9" s="1272"/>
      <c r="C9" s="1273"/>
      <c r="D9" s="1275"/>
      <c r="E9" s="1275"/>
      <c r="F9" s="37" t="s">
        <v>330</v>
      </c>
      <c r="G9" s="452" t="s">
        <v>329</v>
      </c>
      <c r="H9" s="452" t="s">
        <v>313</v>
      </c>
      <c r="I9" s="455" t="s">
        <v>96</v>
      </c>
      <c r="J9" s="453" t="s">
        <v>107</v>
      </c>
      <c r="K9" s="452" t="s">
        <v>1785</v>
      </c>
      <c r="L9" s="456" t="s">
        <v>314</v>
      </c>
      <c r="M9" s="454" t="s">
        <v>315</v>
      </c>
      <c r="N9" s="452" t="s">
        <v>337</v>
      </c>
      <c r="O9" s="452" t="s">
        <v>2080</v>
      </c>
      <c r="P9" s="413" t="s">
        <v>458</v>
      </c>
      <c r="Q9" s="455" t="s">
        <v>316</v>
      </c>
      <c r="R9" s="280" t="s">
        <v>317</v>
      </c>
      <c r="S9" s="456" t="s">
        <v>1784</v>
      </c>
      <c r="T9" s="1292"/>
      <c r="U9" s="279" t="s">
        <v>108</v>
      </c>
      <c r="V9" s="279" t="s">
        <v>97</v>
      </c>
      <c r="W9" s="279" t="s">
        <v>96</v>
      </c>
      <c r="X9" s="306" t="s">
        <v>98</v>
      </c>
      <c r="Y9" s="1290"/>
      <c r="Z9" s="1290"/>
      <c r="AA9" s="1051"/>
      <c r="AB9" s="1267"/>
      <c r="AC9" s="6" t="s">
        <v>94</v>
      </c>
    </row>
    <row r="10" spans="1:38" s="256" customFormat="1" ht="18" customHeight="1" x14ac:dyDescent="0.2">
      <c r="A10" s="285">
        <v>1</v>
      </c>
      <c r="B10" s="245" t="s">
        <v>340</v>
      </c>
      <c r="C10" s="246">
        <v>2022</v>
      </c>
      <c r="D10" s="264" t="s">
        <v>1281</v>
      </c>
      <c r="E10" s="275" t="s">
        <v>166</v>
      </c>
      <c r="F10" s="266">
        <v>7</v>
      </c>
      <c r="G10" s="266">
        <v>8</v>
      </c>
      <c r="H10" s="266">
        <v>7.5</v>
      </c>
      <c r="I10" s="266">
        <v>7</v>
      </c>
      <c r="J10" s="266">
        <v>7</v>
      </c>
      <c r="K10" s="266">
        <v>8</v>
      </c>
      <c r="L10" s="266">
        <v>7</v>
      </c>
      <c r="M10" s="266">
        <v>7.5</v>
      </c>
      <c r="N10" s="266">
        <v>8</v>
      </c>
      <c r="O10" s="266">
        <v>8</v>
      </c>
      <c r="P10" s="266">
        <v>7.5</v>
      </c>
      <c r="Q10" s="266">
        <v>7.5</v>
      </c>
      <c r="R10" s="266">
        <v>7</v>
      </c>
      <c r="S10" s="297">
        <v>7.5</v>
      </c>
      <c r="T10" s="286">
        <f t="shared" ref="T10:T19" si="0">SUM(F10:S10)/14</f>
        <v>7.4642857142857144</v>
      </c>
      <c r="U10" s="266"/>
      <c r="V10" s="266"/>
      <c r="W10" s="266"/>
      <c r="X10" s="286">
        <f>SUM(U10:W10)/3</f>
        <v>0</v>
      </c>
      <c r="Y10" s="286">
        <f>SUM(T10+X10)/2</f>
        <v>3.7321428571428572</v>
      </c>
      <c r="Z10" s="257"/>
      <c r="AA10" s="307"/>
      <c r="AB10" s="298" t="s">
        <v>18</v>
      </c>
      <c r="AC10" s="255"/>
      <c r="AD10" s="357">
        <f>AVERAGE(F10:S10)</f>
        <v>7.4642857142857144</v>
      </c>
    </row>
    <row r="11" spans="1:38" s="256" customFormat="1" ht="16.5" customHeight="1" x14ac:dyDescent="0.2">
      <c r="A11" s="287">
        <v>2</v>
      </c>
      <c r="B11" s="245" t="s">
        <v>341</v>
      </c>
      <c r="C11" s="246">
        <v>2022</v>
      </c>
      <c r="D11" s="269" t="s">
        <v>1282</v>
      </c>
      <c r="E11" s="294" t="s">
        <v>1283</v>
      </c>
      <c r="F11" s="242">
        <v>7.8</v>
      </c>
      <c r="G11" s="242">
        <v>7.5</v>
      </c>
      <c r="H11" s="242">
        <v>8</v>
      </c>
      <c r="I11" s="242">
        <v>7.5</v>
      </c>
      <c r="J11" s="242">
        <v>7</v>
      </c>
      <c r="K11" s="242">
        <v>8</v>
      </c>
      <c r="L11" s="242">
        <v>8</v>
      </c>
      <c r="M11" s="242">
        <v>8</v>
      </c>
      <c r="N11" s="242">
        <v>7</v>
      </c>
      <c r="O11" s="242">
        <v>7</v>
      </c>
      <c r="P11" s="242">
        <v>7</v>
      </c>
      <c r="Q11" s="242">
        <v>7</v>
      </c>
      <c r="R11" s="242">
        <v>7.5</v>
      </c>
      <c r="S11" s="242">
        <v>7</v>
      </c>
      <c r="T11" s="277">
        <f t="shared" si="0"/>
        <v>7.45</v>
      </c>
      <c r="U11" s="242"/>
      <c r="V11" s="242"/>
      <c r="W11" s="242"/>
      <c r="X11" s="277">
        <f>SUM(U11:W11)/3</f>
        <v>0</v>
      </c>
      <c r="Y11" s="277">
        <f>SUM(T11+X11)/2</f>
        <v>3.7250000000000001</v>
      </c>
      <c r="Z11" s="252"/>
      <c r="AA11" s="273"/>
      <c r="AB11" s="263" t="s">
        <v>219</v>
      </c>
      <c r="AC11" s="255"/>
      <c r="AD11" s="357">
        <f t="shared" ref="AD11:AD19" si="1">AVERAGE(F11:S11)</f>
        <v>7.45</v>
      </c>
    </row>
    <row r="12" spans="1:38" s="256" customFormat="1" ht="18" customHeight="1" x14ac:dyDescent="0.2">
      <c r="A12" s="287">
        <v>3</v>
      </c>
      <c r="B12" s="245" t="s">
        <v>342</v>
      </c>
      <c r="C12" s="246">
        <v>2022</v>
      </c>
      <c r="D12" s="304" t="s">
        <v>1284</v>
      </c>
      <c r="E12" s="292" t="s">
        <v>865</v>
      </c>
      <c r="F12" s="308">
        <v>7.5</v>
      </c>
      <c r="G12" s="242">
        <v>7</v>
      </c>
      <c r="H12" s="242">
        <v>6.5</v>
      </c>
      <c r="I12" s="242">
        <v>7.5</v>
      </c>
      <c r="J12" s="242">
        <v>5.5</v>
      </c>
      <c r="K12" s="242">
        <v>7</v>
      </c>
      <c r="L12" s="242">
        <v>7</v>
      </c>
      <c r="M12" s="242">
        <v>7</v>
      </c>
      <c r="N12" s="242">
        <v>8</v>
      </c>
      <c r="O12" s="242">
        <v>8</v>
      </c>
      <c r="P12" s="242">
        <v>7</v>
      </c>
      <c r="Q12" s="242">
        <v>7.5</v>
      </c>
      <c r="R12" s="242">
        <v>7.5</v>
      </c>
      <c r="S12" s="242">
        <v>7</v>
      </c>
      <c r="T12" s="277">
        <f t="shared" si="0"/>
        <v>7.1428571428571432</v>
      </c>
      <c r="U12" s="242"/>
      <c r="V12" s="242"/>
      <c r="W12" s="242"/>
      <c r="X12" s="277">
        <f>SUM(U12:W12)/3</f>
        <v>0</v>
      </c>
      <c r="Y12" s="277">
        <f>SUM(T12+X12)/2</f>
        <v>3.5714285714285716</v>
      </c>
      <c r="Z12" s="252"/>
      <c r="AA12" s="273"/>
      <c r="AB12" s="263" t="s">
        <v>178</v>
      </c>
      <c r="AC12" s="255"/>
      <c r="AD12" s="357">
        <f t="shared" si="1"/>
        <v>7.1428571428571432</v>
      </c>
    </row>
    <row r="13" spans="1:38" s="256" customFormat="1" ht="18" customHeight="1" x14ac:dyDescent="0.2">
      <c r="A13" s="287">
        <v>4</v>
      </c>
      <c r="B13" s="245" t="s">
        <v>343</v>
      </c>
      <c r="C13" s="246">
        <v>2022</v>
      </c>
      <c r="D13" s="269" t="s">
        <v>1285</v>
      </c>
      <c r="E13" s="294" t="s">
        <v>1286</v>
      </c>
      <c r="F13" s="242">
        <v>7</v>
      </c>
      <c r="G13" s="242">
        <v>6.5</v>
      </c>
      <c r="H13" s="242">
        <v>7</v>
      </c>
      <c r="I13" s="242">
        <v>6.5</v>
      </c>
      <c r="J13" s="242">
        <v>7</v>
      </c>
      <c r="K13" s="242">
        <v>7.5</v>
      </c>
      <c r="L13" s="242">
        <v>6.5</v>
      </c>
      <c r="M13" s="242">
        <v>6.5</v>
      </c>
      <c r="N13" s="242">
        <v>6.5</v>
      </c>
      <c r="O13" s="242">
        <v>6.5</v>
      </c>
      <c r="P13" s="242">
        <v>6.5</v>
      </c>
      <c r="Q13" s="242">
        <v>7.5</v>
      </c>
      <c r="R13" s="242">
        <v>6.5</v>
      </c>
      <c r="S13" s="242">
        <v>7</v>
      </c>
      <c r="T13" s="277">
        <f t="shared" si="0"/>
        <v>6.7857142857142856</v>
      </c>
      <c r="U13" s="242"/>
      <c r="V13" s="242"/>
      <c r="W13" s="242"/>
      <c r="X13" s="277">
        <f>SUM(U13:W13)/3</f>
        <v>0</v>
      </c>
      <c r="Y13" s="277">
        <f>SUM(T13+X13)/2</f>
        <v>3.3928571428571428</v>
      </c>
      <c r="Z13" s="252"/>
      <c r="AA13" s="273"/>
      <c r="AB13" s="300" t="s">
        <v>667</v>
      </c>
      <c r="AC13" s="255"/>
      <c r="AD13" s="357">
        <f t="shared" si="1"/>
        <v>6.7857142857142856</v>
      </c>
    </row>
    <row r="14" spans="1:38" s="256" customFormat="1" ht="18" customHeight="1" x14ac:dyDescent="0.2">
      <c r="A14" s="287">
        <v>5</v>
      </c>
      <c r="B14" s="245" t="s">
        <v>344</v>
      </c>
      <c r="C14" s="246">
        <v>2022</v>
      </c>
      <c r="D14" s="269" t="s">
        <v>1287</v>
      </c>
      <c r="E14" s="294" t="s">
        <v>1288</v>
      </c>
      <c r="F14" s="242">
        <v>8.8000000000000007</v>
      </c>
      <c r="G14" s="242">
        <v>7.5</v>
      </c>
      <c r="H14" s="242">
        <v>8</v>
      </c>
      <c r="I14" s="242">
        <v>8</v>
      </c>
      <c r="J14" s="242">
        <v>8</v>
      </c>
      <c r="K14" s="242">
        <v>8</v>
      </c>
      <c r="L14" s="242">
        <v>7.5</v>
      </c>
      <c r="M14" s="242">
        <v>8</v>
      </c>
      <c r="N14" s="242">
        <v>8.5</v>
      </c>
      <c r="O14" s="242">
        <v>8.5</v>
      </c>
      <c r="P14" s="242">
        <v>7.5</v>
      </c>
      <c r="Q14" s="242">
        <v>8</v>
      </c>
      <c r="R14" s="242">
        <v>8</v>
      </c>
      <c r="S14" s="242">
        <v>8</v>
      </c>
      <c r="T14" s="277">
        <f t="shared" si="0"/>
        <v>8.0214285714285705</v>
      </c>
      <c r="U14" s="242"/>
      <c r="V14" s="242"/>
      <c r="W14" s="242"/>
      <c r="X14" s="277">
        <f>SUM(U14:W14)/3</f>
        <v>0</v>
      </c>
      <c r="Y14" s="277">
        <f>SUM(T14+X14)/2</f>
        <v>4.0107142857142852</v>
      </c>
      <c r="Z14" s="252"/>
      <c r="AA14" s="273"/>
      <c r="AB14" s="263" t="s">
        <v>178</v>
      </c>
      <c r="AC14" s="255"/>
      <c r="AD14" s="357">
        <f t="shared" si="1"/>
        <v>8.0214285714285705</v>
      </c>
    </row>
    <row r="15" spans="1:38" s="256" customFormat="1" ht="18" customHeight="1" x14ac:dyDescent="0.2">
      <c r="A15" s="287">
        <v>6</v>
      </c>
      <c r="B15" s="245" t="s">
        <v>345</v>
      </c>
      <c r="C15" s="246">
        <v>2022</v>
      </c>
      <c r="D15" s="269" t="s">
        <v>1289</v>
      </c>
      <c r="E15" s="294" t="s">
        <v>1290</v>
      </c>
      <c r="F15" s="242">
        <v>7</v>
      </c>
      <c r="G15" s="242">
        <v>7.5</v>
      </c>
      <c r="H15" s="242">
        <v>8</v>
      </c>
      <c r="I15" s="242">
        <v>7.5</v>
      </c>
      <c r="J15" s="242">
        <v>7</v>
      </c>
      <c r="K15" s="242">
        <v>7.5</v>
      </c>
      <c r="L15" s="242">
        <v>7.5</v>
      </c>
      <c r="M15" s="242">
        <v>7.5</v>
      </c>
      <c r="N15" s="242">
        <v>7.5</v>
      </c>
      <c r="O15" s="242">
        <v>7.5</v>
      </c>
      <c r="P15" s="242">
        <v>7</v>
      </c>
      <c r="Q15" s="242">
        <v>7</v>
      </c>
      <c r="R15" s="242">
        <v>7.5</v>
      </c>
      <c r="S15" s="242">
        <v>7</v>
      </c>
      <c r="T15" s="277">
        <f t="shared" si="0"/>
        <v>7.3571428571428568</v>
      </c>
      <c r="U15" s="242"/>
      <c r="V15" s="242"/>
      <c r="W15" s="242"/>
      <c r="X15" s="277"/>
      <c r="Y15" s="277"/>
      <c r="Z15" s="252"/>
      <c r="AA15" s="273"/>
      <c r="AB15" s="305" t="s">
        <v>219</v>
      </c>
      <c r="AC15" s="255"/>
      <c r="AD15" s="357">
        <f t="shared" si="1"/>
        <v>7.3571428571428568</v>
      </c>
    </row>
    <row r="16" spans="1:38" s="256" customFormat="1" ht="18" customHeight="1" x14ac:dyDescent="0.2">
      <c r="A16" s="287">
        <v>7</v>
      </c>
      <c r="B16" s="245" t="s">
        <v>346</v>
      </c>
      <c r="C16" s="246">
        <v>2022</v>
      </c>
      <c r="D16" s="269" t="s">
        <v>1291</v>
      </c>
      <c r="E16" s="294" t="s">
        <v>600</v>
      </c>
      <c r="F16" s="242">
        <v>7.6</v>
      </c>
      <c r="G16" s="242">
        <v>8</v>
      </c>
      <c r="H16" s="242">
        <v>7.5</v>
      </c>
      <c r="I16" s="242">
        <v>7</v>
      </c>
      <c r="J16" s="242">
        <v>7</v>
      </c>
      <c r="K16" s="242">
        <v>7.5</v>
      </c>
      <c r="L16" s="242">
        <v>8</v>
      </c>
      <c r="M16" s="242">
        <v>7.5</v>
      </c>
      <c r="N16" s="242">
        <v>8</v>
      </c>
      <c r="O16" s="242">
        <v>7.5</v>
      </c>
      <c r="P16" s="242">
        <v>7.5</v>
      </c>
      <c r="Q16" s="242">
        <v>6.5</v>
      </c>
      <c r="R16" s="242">
        <v>6.5</v>
      </c>
      <c r="S16" s="242">
        <v>7</v>
      </c>
      <c r="T16" s="277">
        <f t="shared" si="0"/>
        <v>7.3642857142857139</v>
      </c>
      <c r="U16" s="242"/>
      <c r="V16" s="242"/>
      <c r="W16" s="242"/>
      <c r="X16" s="277"/>
      <c r="Y16" s="277"/>
      <c r="Z16" s="252"/>
      <c r="AA16" s="273"/>
      <c r="AB16" s="305" t="s">
        <v>18</v>
      </c>
      <c r="AC16" s="255"/>
      <c r="AD16" s="357">
        <f t="shared" si="1"/>
        <v>7.3642857142857139</v>
      </c>
    </row>
    <row r="17" spans="1:30" s="256" customFormat="1" ht="18" customHeight="1" x14ac:dyDescent="0.2">
      <c r="A17" s="287">
        <v>8</v>
      </c>
      <c r="B17" s="245" t="s">
        <v>347</v>
      </c>
      <c r="C17" s="246">
        <v>2022</v>
      </c>
      <c r="D17" s="269" t="s">
        <v>1292</v>
      </c>
      <c r="E17" s="294" t="s">
        <v>1293</v>
      </c>
      <c r="F17" s="242">
        <v>7</v>
      </c>
      <c r="G17" s="242">
        <v>8</v>
      </c>
      <c r="H17" s="242">
        <v>7.5</v>
      </c>
      <c r="I17" s="242">
        <v>7.5</v>
      </c>
      <c r="J17" s="242">
        <v>8</v>
      </c>
      <c r="K17" s="242">
        <v>7.5</v>
      </c>
      <c r="L17" s="242">
        <v>7.5</v>
      </c>
      <c r="M17" s="242">
        <v>8</v>
      </c>
      <c r="N17" s="242">
        <v>6.5</v>
      </c>
      <c r="O17" s="242">
        <v>7</v>
      </c>
      <c r="P17" s="242">
        <v>8</v>
      </c>
      <c r="Q17" s="242">
        <v>6.5</v>
      </c>
      <c r="R17" s="242">
        <v>7</v>
      </c>
      <c r="S17" s="242">
        <v>7.5</v>
      </c>
      <c r="T17" s="277">
        <f t="shared" si="0"/>
        <v>7.3928571428571432</v>
      </c>
      <c r="U17" s="242"/>
      <c r="V17" s="242"/>
      <c r="W17" s="242"/>
      <c r="X17" s="277"/>
      <c r="Y17" s="277"/>
      <c r="Z17" s="252"/>
      <c r="AA17" s="273"/>
      <c r="AB17" s="305" t="s">
        <v>219</v>
      </c>
      <c r="AC17" s="255"/>
      <c r="AD17" s="357">
        <f t="shared" si="1"/>
        <v>7.3928571428571432</v>
      </c>
    </row>
    <row r="18" spans="1:30" s="256" customFormat="1" ht="18" customHeight="1" x14ac:dyDescent="0.2">
      <c r="A18" s="287">
        <v>9</v>
      </c>
      <c r="B18" s="245" t="s">
        <v>348</v>
      </c>
      <c r="C18" s="246">
        <v>2022</v>
      </c>
      <c r="D18" s="269" t="s">
        <v>1294</v>
      </c>
      <c r="E18" s="294" t="s">
        <v>544</v>
      </c>
      <c r="F18" s="242">
        <v>6.5</v>
      </c>
      <c r="G18" s="242">
        <v>7.5</v>
      </c>
      <c r="H18" s="242">
        <v>7</v>
      </c>
      <c r="I18" s="242">
        <v>7.5</v>
      </c>
      <c r="J18" s="242">
        <v>7</v>
      </c>
      <c r="K18" s="242">
        <v>6.5</v>
      </c>
      <c r="L18" s="242">
        <v>6.5</v>
      </c>
      <c r="M18" s="242">
        <v>6.5</v>
      </c>
      <c r="N18" s="242">
        <v>7</v>
      </c>
      <c r="O18" s="242">
        <v>6.5</v>
      </c>
      <c r="P18" s="242">
        <v>7</v>
      </c>
      <c r="Q18" s="242">
        <v>7</v>
      </c>
      <c r="R18" s="242">
        <v>7</v>
      </c>
      <c r="S18" s="242">
        <v>7.5</v>
      </c>
      <c r="T18" s="277">
        <f t="shared" si="0"/>
        <v>6.9285714285714288</v>
      </c>
      <c r="U18" s="242"/>
      <c r="V18" s="242"/>
      <c r="W18" s="242"/>
      <c r="X18" s="277"/>
      <c r="Y18" s="277"/>
      <c r="Z18" s="252"/>
      <c r="AA18" s="273"/>
      <c r="AB18" s="305" t="s">
        <v>178</v>
      </c>
      <c r="AC18" s="255"/>
      <c r="AD18" s="357">
        <f t="shared" si="1"/>
        <v>6.9285714285714288</v>
      </c>
    </row>
    <row r="19" spans="1:30" s="256" customFormat="1" ht="18" customHeight="1" x14ac:dyDescent="0.2">
      <c r="A19" s="287">
        <v>10</v>
      </c>
      <c r="B19" s="245" t="s">
        <v>349</v>
      </c>
      <c r="C19" s="246">
        <v>2022</v>
      </c>
      <c r="D19" s="269" t="s">
        <v>1295</v>
      </c>
      <c r="E19" s="294" t="s">
        <v>567</v>
      </c>
      <c r="F19" s="242">
        <v>7.8</v>
      </c>
      <c r="G19" s="242">
        <v>8</v>
      </c>
      <c r="H19" s="242">
        <v>7.5</v>
      </c>
      <c r="I19" s="242">
        <v>8</v>
      </c>
      <c r="J19" s="242">
        <v>8</v>
      </c>
      <c r="K19" s="242">
        <v>8</v>
      </c>
      <c r="L19" s="242">
        <v>8</v>
      </c>
      <c r="M19" s="242">
        <v>8</v>
      </c>
      <c r="N19" s="242">
        <v>7.5</v>
      </c>
      <c r="O19" s="242">
        <v>7.5</v>
      </c>
      <c r="P19" s="242">
        <v>7</v>
      </c>
      <c r="Q19" s="242">
        <v>8</v>
      </c>
      <c r="R19" s="242">
        <v>8</v>
      </c>
      <c r="S19" s="242">
        <v>7.5</v>
      </c>
      <c r="T19" s="277">
        <f t="shared" si="0"/>
        <v>7.7714285714285714</v>
      </c>
      <c r="U19" s="242"/>
      <c r="V19" s="242"/>
      <c r="W19" s="242"/>
      <c r="X19" s="277"/>
      <c r="Y19" s="277"/>
      <c r="Z19" s="252"/>
      <c r="AA19" s="273"/>
      <c r="AB19" s="305" t="s">
        <v>18</v>
      </c>
      <c r="AC19" s="255"/>
      <c r="AD19" s="357">
        <f t="shared" si="1"/>
        <v>7.7714285714285714</v>
      </c>
    </row>
    <row r="20" spans="1:30" s="368" customFormat="1" ht="18" customHeight="1" thickBot="1" x14ac:dyDescent="0.3">
      <c r="A20" s="551"/>
      <c r="B20" s="360"/>
      <c r="C20" s="361"/>
      <c r="D20" s="552"/>
      <c r="E20" s="365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4"/>
      <c r="U20" s="365"/>
      <c r="V20" s="365"/>
      <c r="W20" s="365"/>
      <c r="X20" s="363"/>
      <c r="Y20" s="363"/>
      <c r="Z20" s="363"/>
      <c r="AA20" s="549"/>
      <c r="AB20" s="555"/>
      <c r="AD20" s="357"/>
    </row>
    <row r="21" spans="1:30" s="368" customFormat="1" ht="19.5" thickTop="1" x14ac:dyDescent="0.3">
      <c r="A21" s="369"/>
      <c r="B21" s="369"/>
      <c r="C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69"/>
      <c r="Q21" s="369"/>
      <c r="R21" s="369"/>
      <c r="S21" s="369"/>
      <c r="T21" s="370"/>
      <c r="U21" s="371"/>
      <c r="V21" s="371"/>
      <c r="W21" s="371"/>
      <c r="X21" s="369"/>
      <c r="Y21" s="369"/>
      <c r="Z21" s="369"/>
      <c r="AA21" s="372"/>
      <c r="AB21" s="665"/>
      <c r="AD21" s="357"/>
    </row>
    <row r="22" spans="1:30" s="368" customFormat="1" x14ac:dyDescent="0.3">
      <c r="A22" s="369"/>
      <c r="B22" s="369"/>
      <c r="C22" s="369"/>
      <c r="E22" s="369"/>
      <c r="F22" s="369"/>
      <c r="G22" s="369"/>
      <c r="H22" s="369"/>
      <c r="I22" s="369"/>
      <c r="J22" s="369"/>
      <c r="K22" s="369"/>
      <c r="L22" s="369"/>
      <c r="M22" s="369"/>
      <c r="N22" s="369"/>
      <c r="O22" s="369"/>
      <c r="P22" s="369"/>
      <c r="Q22" s="369"/>
      <c r="R22" s="369"/>
      <c r="S22" s="369"/>
      <c r="T22" s="370"/>
      <c r="U22" s="371"/>
      <c r="V22" s="371"/>
      <c r="W22" s="371"/>
      <c r="X22" s="369"/>
      <c r="Y22" s="369"/>
      <c r="Z22" s="369"/>
      <c r="AA22" s="372"/>
      <c r="AB22" s="369"/>
      <c r="AD22" s="357"/>
    </row>
    <row r="23" spans="1:30" s="368" customFormat="1" x14ac:dyDescent="0.3">
      <c r="A23" s="369"/>
      <c r="B23" s="369"/>
      <c r="C23" s="369"/>
      <c r="E23" s="369"/>
      <c r="F23" s="369"/>
      <c r="G23" s="369"/>
      <c r="H23" s="369"/>
      <c r="I23" s="369"/>
      <c r="J23" s="369"/>
      <c r="K23" s="369"/>
      <c r="L23" s="369"/>
      <c r="M23" s="369"/>
      <c r="N23" s="369"/>
      <c r="O23" s="369"/>
      <c r="P23" s="369"/>
      <c r="Q23" s="369"/>
      <c r="R23" s="369"/>
      <c r="S23" s="369"/>
      <c r="T23" s="370"/>
      <c r="U23" s="371"/>
      <c r="V23" s="371"/>
      <c r="W23" s="371"/>
      <c r="X23" s="369"/>
      <c r="Y23" s="369"/>
      <c r="Z23" s="369"/>
      <c r="AA23" s="372"/>
      <c r="AB23" s="369"/>
      <c r="AD23" s="357"/>
    </row>
    <row r="24" spans="1:30" s="368" customFormat="1" x14ac:dyDescent="0.3">
      <c r="A24" s="369"/>
      <c r="B24" s="369"/>
      <c r="C24" s="369"/>
      <c r="E24" s="369"/>
      <c r="F24" s="369"/>
      <c r="G24" s="369"/>
      <c r="H24" s="369"/>
      <c r="I24" s="369"/>
      <c r="J24" s="369"/>
      <c r="K24" s="369"/>
      <c r="L24" s="369"/>
      <c r="M24" s="369"/>
      <c r="N24" s="369"/>
      <c r="O24" s="369"/>
      <c r="P24" s="369"/>
      <c r="Q24" s="369"/>
      <c r="R24" s="369"/>
      <c r="S24" s="369"/>
      <c r="T24" s="370"/>
      <c r="U24" s="371"/>
      <c r="V24" s="371"/>
      <c r="W24" s="371"/>
      <c r="X24" s="369"/>
      <c r="Y24" s="369"/>
      <c r="Z24" s="369"/>
      <c r="AA24" s="372"/>
      <c r="AB24" s="369"/>
      <c r="AD24" s="357"/>
    </row>
    <row r="25" spans="1:30" s="368" customFormat="1" x14ac:dyDescent="0.3">
      <c r="A25" s="369"/>
      <c r="B25" s="369"/>
      <c r="C25" s="369"/>
      <c r="E25" s="369"/>
      <c r="F25" s="369"/>
      <c r="G25" s="369"/>
      <c r="H25" s="369"/>
      <c r="I25" s="369"/>
      <c r="J25" s="369"/>
      <c r="K25" s="369"/>
      <c r="L25" s="369"/>
      <c r="M25" s="369"/>
      <c r="N25" s="369"/>
      <c r="O25" s="369"/>
      <c r="P25" s="369"/>
      <c r="Q25" s="369"/>
      <c r="R25" s="369"/>
      <c r="S25" s="369"/>
      <c r="T25" s="370"/>
      <c r="U25" s="371"/>
      <c r="V25" s="371"/>
      <c r="W25" s="371"/>
      <c r="X25" s="369"/>
      <c r="Y25" s="369"/>
      <c r="Z25" s="369"/>
      <c r="AA25" s="372"/>
      <c r="AB25" s="369"/>
      <c r="AD25" s="357"/>
    </row>
    <row r="26" spans="1:30" s="368" customFormat="1" x14ac:dyDescent="0.3">
      <c r="A26" s="369"/>
      <c r="B26" s="369"/>
      <c r="C26" s="369"/>
      <c r="E26" s="369"/>
      <c r="F26" s="369"/>
      <c r="G26" s="369"/>
      <c r="H26" s="369"/>
      <c r="I26" s="369"/>
      <c r="J26" s="369"/>
      <c r="K26" s="369"/>
      <c r="L26" s="369"/>
      <c r="M26" s="369"/>
      <c r="N26" s="369"/>
      <c r="O26" s="369"/>
      <c r="P26" s="369"/>
      <c r="Q26" s="369"/>
      <c r="R26" s="369"/>
      <c r="S26" s="369"/>
      <c r="T26" s="370"/>
      <c r="U26" s="371"/>
      <c r="V26" s="371"/>
      <c r="W26" s="371"/>
      <c r="X26" s="369"/>
      <c r="Y26" s="369"/>
      <c r="Z26" s="369"/>
      <c r="AA26" s="372"/>
      <c r="AB26" s="667"/>
      <c r="AD26" s="357"/>
    </row>
    <row r="27" spans="1:30" x14ac:dyDescent="0.3">
      <c r="AD27" s="161"/>
    </row>
    <row r="28" spans="1:30" x14ac:dyDescent="0.3">
      <c r="AD28" s="161"/>
    </row>
    <row r="29" spans="1:30" x14ac:dyDescent="0.3">
      <c r="AD29" s="161"/>
    </row>
    <row r="30" spans="1:30" x14ac:dyDescent="0.3">
      <c r="AD30" s="161"/>
    </row>
    <row r="31" spans="1:30" x14ac:dyDescent="0.3">
      <c r="AD31" s="161"/>
    </row>
    <row r="32" spans="1:30" x14ac:dyDescent="0.3">
      <c r="AD32" s="161"/>
    </row>
    <row r="33" spans="30:30" x14ac:dyDescent="0.3">
      <c r="AD33" s="161"/>
    </row>
    <row r="34" spans="30:30" x14ac:dyDescent="0.3">
      <c r="AD34" s="161"/>
    </row>
    <row r="35" spans="30:30" x14ac:dyDescent="0.3">
      <c r="AD35" s="161"/>
    </row>
    <row r="36" spans="30:30" x14ac:dyDescent="0.3">
      <c r="AD36" s="161"/>
    </row>
    <row r="37" spans="30:30" x14ac:dyDescent="0.3">
      <c r="AD37" s="161"/>
    </row>
    <row r="38" spans="30:30" x14ac:dyDescent="0.3">
      <c r="AD38" s="161"/>
    </row>
    <row r="39" spans="30:30" x14ac:dyDescent="0.3">
      <c r="AD39" s="161"/>
    </row>
  </sheetData>
  <autoFilter ref="T8:AC39">
    <filterColumn colId="1" showButton="0"/>
    <filterColumn colId="2" showButton="0"/>
    <filterColumn colId="3" showButton="0"/>
  </autoFilter>
  <mergeCells count="15">
    <mergeCell ref="E3:AB3"/>
    <mergeCell ref="E4:AB4"/>
    <mergeCell ref="E5:AB5"/>
    <mergeCell ref="E6:AL6"/>
    <mergeCell ref="A8:A9"/>
    <mergeCell ref="B8:C9"/>
    <mergeCell ref="D8:D9"/>
    <mergeCell ref="E8:E9"/>
    <mergeCell ref="F8:R8"/>
    <mergeCell ref="T8:T9"/>
    <mergeCell ref="U8:X8"/>
    <mergeCell ref="Y8:Y9"/>
    <mergeCell ref="Z8:Z9"/>
    <mergeCell ref="AA8:AA9"/>
    <mergeCell ref="AB8:AB9"/>
  </mergeCells>
  <printOptions horizontalCentered="1"/>
  <pageMargins left="0.82" right="0.16" top="0.27" bottom="0.31" header="0.23" footer="0.27"/>
  <pageSetup scale="98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</sheetPr>
  <dimension ref="A1:AM62"/>
  <sheetViews>
    <sheetView topLeftCell="A34" zoomScale="110" zoomScaleNormal="110" workbookViewId="0">
      <selection activeCell="K17" sqref="K17"/>
    </sheetView>
  </sheetViews>
  <sheetFormatPr defaultRowHeight="18.75" x14ac:dyDescent="0.3"/>
  <cols>
    <col min="1" max="1" width="4.09765625" style="1" customWidth="1"/>
    <col min="2" max="2" width="4.5" style="1" customWidth="1"/>
    <col min="3" max="3" width="4.3984375" style="1" customWidth="1"/>
    <col min="4" max="4" width="14.3984375" customWidth="1"/>
    <col min="5" max="5" width="8.19921875" style="1" customWidth="1"/>
    <col min="6" max="21" width="2.3984375" style="1" customWidth="1"/>
    <col min="22" max="22" width="3.796875" style="25" customWidth="1"/>
    <col min="23" max="25" width="2.19921875" style="22" hidden="1" customWidth="1"/>
    <col min="26" max="27" width="3.3984375" style="1" hidden="1" customWidth="1"/>
    <col min="28" max="28" width="3.59765625" style="1" customWidth="1"/>
    <col min="29" max="29" width="5.3984375" style="15" hidden="1" customWidth="1"/>
    <col min="30" max="30" width="17.796875" style="1" customWidth="1"/>
    <col min="31" max="31" width="5.59765625" customWidth="1"/>
    <col min="32" max="32" width="3.69921875" style="461" customWidth="1"/>
    <col min="33" max="33" width="8.09765625" customWidth="1"/>
  </cols>
  <sheetData>
    <row r="1" spans="1:39" ht="6.75" customHeight="1" x14ac:dyDescent="0.3">
      <c r="V1" s="5"/>
    </row>
    <row r="2" spans="1:39" s="6" customFormat="1" ht="17.25" x14ac:dyDescent="0.3">
      <c r="B2" s="8"/>
      <c r="C2" s="8"/>
      <c r="D2" s="8"/>
      <c r="E2" s="1199" t="s">
        <v>30</v>
      </c>
      <c r="F2" s="1199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9"/>
      <c r="W2" s="1199"/>
      <c r="X2" s="1199"/>
      <c r="Y2" s="1199"/>
      <c r="Z2" s="1199"/>
      <c r="AA2" s="1199"/>
      <c r="AB2" s="1199"/>
      <c r="AC2" s="1199"/>
      <c r="AD2" s="1199"/>
    </row>
    <row r="3" spans="1:39" s="6" customFormat="1" ht="15.75" x14ac:dyDescent="0.25">
      <c r="B3" s="10"/>
      <c r="C3" s="10"/>
      <c r="D3" s="10"/>
      <c r="E3" s="1200" t="s">
        <v>473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0"/>
      <c r="R3" s="1200"/>
      <c r="S3" s="1200"/>
      <c r="T3" s="1200"/>
      <c r="U3" s="1200"/>
      <c r="V3" s="1200"/>
      <c r="W3" s="1200"/>
      <c r="X3" s="1200"/>
      <c r="Y3" s="1200"/>
      <c r="Z3" s="1200"/>
      <c r="AA3" s="1200"/>
      <c r="AB3" s="1200"/>
      <c r="AC3" s="1200"/>
      <c r="AD3" s="1200"/>
    </row>
    <row r="4" spans="1:39" s="6" customFormat="1" ht="15.75" customHeight="1" x14ac:dyDescent="0.25">
      <c r="B4" s="10"/>
      <c r="C4" s="10"/>
      <c r="D4" s="10"/>
      <c r="E4" s="1202" t="s">
        <v>472</v>
      </c>
      <c r="F4" s="1202"/>
      <c r="G4" s="1202"/>
      <c r="H4" s="1202"/>
      <c r="I4" s="1202"/>
      <c r="J4" s="1202"/>
      <c r="K4" s="1202"/>
      <c r="L4" s="1202"/>
      <c r="M4" s="1202"/>
      <c r="N4" s="1202"/>
      <c r="O4" s="1202"/>
      <c r="P4" s="1202"/>
      <c r="Q4" s="1202"/>
      <c r="R4" s="1202"/>
      <c r="S4" s="1202"/>
      <c r="T4" s="1202"/>
      <c r="U4" s="1202"/>
      <c r="V4" s="1202"/>
      <c r="W4" s="1202"/>
      <c r="X4" s="1202"/>
      <c r="Y4" s="1202"/>
      <c r="Z4" s="1202"/>
      <c r="AA4" s="1202"/>
      <c r="AB4" s="1202"/>
      <c r="AC4" s="1202"/>
      <c r="AD4" s="1202"/>
      <c r="AE4" s="1202"/>
      <c r="AF4" s="1202"/>
      <c r="AG4" s="1202"/>
      <c r="AH4" s="1202"/>
      <c r="AI4" s="1202"/>
      <c r="AJ4" s="1202"/>
      <c r="AK4" s="1202"/>
      <c r="AL4" s="1202"/>
      <c r="AM4" s="1202"/>
    </row>
    <row r="5" spans="1:39" ht="10.5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34"/>
      <c r="W5" s="19"/>
      <c r="X5" s="19"/>
      <c r="Y5" s="19"/>
      <c r="Z5" s="2"/>
      <c r="AA5" s="2"/>
      <c r="AB5" s="2"/>
      <c r="AC5" s="2"/>
      <c r="AD5" s="2"/>
      <c r="AE5" s="112"/>
    </row>
    <row r="6" spans="1:39" s="351" customFormat="1" ht="32.25" customHeight="1" thickTop="1" x14ac:dyDescent="0.2">
      <c r="A6" s="1268" t="s">
        <v>91</v>
      </c>
      <c r="B6" s="1270" t="s">
        <v>106</v>
      </c>
      <c r="C6" s="1271"/>
      <c r="D6" s="1274" t="s">
        <v>92</v>
      </c>
      <c r="E6" s="1271" t="s">
        <v>93</v>
      </c>
      <c r="F6" s="1261" t="s">
        <v>339</v>
      </c>
      <c r="G6" s="1262"/>
      <c r="H6" s="1262"/>
      <c r="I6" s="1262"/>
      <c r="J6" s="1262"/>
      <c r="K6" s="1262"/>
      <c r="L6" s="1262"/>
      <c r="M6" s="1262"/>
      <c r="N6" s="1262"/>
      <c r="O6" s="1262"/>
      <c r="P6" s="1262"/>
      <c r="Q6" s="1262"/>
      <c r="R6" s="1262"/>
      <c r="S6" s="1262"/>
      <c r="T6" s="1262"/>
      <c r="U6" s="672"/>
      <c r="V6" s="1277" t="s">
        <v>102</v>
      </c>
      <c r="W6" s="1261" t="s">
        <v>104</v>
      </c>
      <c r="X6" s="1262"/>
      <c r="Y6" s="1262"/>
      <c r="Z6" s="1263"/>
      <c r="AA6" s="1264" t="s">
        <v>99</v>
      </c>
      <c r="AB6" s="1264" t="s">
        <v>100</v>
      </c>
      <c r="AC6" s="1050" t="s">
        <v>103</v>
      </c>
      <c r="AD6" s="1266" t="s">
        <v>90</v>
      </c>
    </row>
    <row r="7" spans="1:39" s="351" customFormat="1" ht="129" customHeight="1" x14ac:dyDescent="0.2">
      <c r="A7" s="1269"/>
      <c r="B7" s="1272"/>
      <c r="C7" s="1273"/>
      <c r="D7" s="1275"/>
      <c r="E7" s="1297"/>
      <c r="F7" s="279" t="s">
        <v>330</v>
      </c>
      <c r="G7" s="279" t="s">
        <v>313</v>
      </c>
      <c r="H7" s="279" t="s">
        <v>1778</v>
      </c>
      <c r="I7" s="556" t="s">
        <v>107</v>
      </c>
      <c r="J7" s="279" t="s">
        <v>318</v>
      </c>
      <c r="K7" s="279" t="s">
        <v>319</v>
      </c>
      <c r="L7" s="279" t="s">
        <v>320</v>
      </c>
      <c r="M7" s="288" t="s">
        <v>43</v>
      </c>
      <c r="N7" s="288" t="s">
        <v>2077</v>
      </c>
      <c r="O7" s="280" t="s">
        <v>335</v>
      </c>
      <c r="P7" s="280" t="s">
        <v>338</v>
      </c>
      <c r="Q7" s="280" t="s">
        <v>96</v>
      </c>
      <c r="R7" s="281" t="s">
        <v>458</v>
      </c>
      <c r="S7" s="295" t="s">
        <v>321</v>
      </c>
      <c r="T7" s="295" t="s">
        <v>322</v>
      </c>
      <c r="U7" s="456" t="s">
        <v>1784</v>
      </c>
      <c r="V7" s="1278"/>
      <c r="W7" s="312" t="s">
        <v>108</v>
      </c>
      <c r="X7" s="312" t="s">
        <v>97</v>
      </c>
      <c r="Y7" s="312" t="s">
        <v>96</v>
      </c>
      <c r="Z7" s="313" t="s">
        <v>98</v>
      </c>
      <c r="AA7" s="1295"/>
      <c r="AB7" s="1295"/>
      <c r="AC7" s="1291"/>
      <c r="AD7" s="1267"/>
      <c r="AE7" s="351" t="s">
        <v>94</v>
      </c>
    </row>
    <row r="8" spans="1:39" s="256" customFormat="1" ht="15.75" customHeight="1" x14ac:dyDescent="0.2">
      <c r="A8" s="285">
        <v>1</v>
      </c>
      <c r="B8" s="245" t="s">
        <v>350</v>
      </c>
      <c r="C8" s="246">
        <v>2022</v>
      </c>
      <c r="D8" s="264" t="s">
        <v>1296</v>
      </c>
      <c r="E8" s="275" t="s">
        <v>1297</v>
      </c>
      <c r="F8" s="266">
        <v>7</v>
      </c>
      <c r="G8" s="266">
        <v>7</v>
      </c>
      <c r="H8" s="266">
        <v>6</v>
      </c>
      <c r="I8" s="266">
        <v>8</v>
      </c>
      <c r="J8" s="266">
        <v>7</v>
      </c>
      <c r="K8" s="266">
        <v>7</v>
      </c>
      <c r="L8" s="266">
        <v>7</v>
      </c>
      <c r="M8" s="266">
        <v>7</v>
      </c>
      <c r="N8" s="266">
        <v>7</v>
      </c>
      <c r="O8" s="266">
        <v>8</v>
      </c>
      <c r="P8" s="266">
        <v>7</v>
      </c>
      <c r="Q8" s="266">
        <v>7.5</v>
      </c>
      <c r="R8" s="266">
        <v>7.5</v>
      </c>
      <c r="S8" s="266">
        <v>7</v>
      </c>
      <c r="T8" s="266">
        <v>7</v>
      </c>
      <c r="U8" s="314">
        <v>7</v>
      </c>
      <c r="V8" s="243">
        <f>SUM(F8:U8)/16</f>
        <v>7.125</v>
      </c>
      <c r="W8" s="268"/>
      <c r="X8" s="268"/>
      <c r="Y8" s="268"/>
      <c r="Z8" s="243"/>
      <c r="AA8" s="243"/>
      <c r="AB8" s="257"/>
      <c r="AC8" s="271"/>
      <c r="AD8" s="259" t="s">
        <v>173</v>
      </c>
      <c r="AE8" s="255"/>
      <c r="AF8" s="357">
        <f>AVERAGE(F8:U8)</f>
        <v>7.125</v>
      </c>
    </row>
    <row r="9" spans="1:39" s="256" customFormat="1" ht="15.75" customHeight="1" x14ac:dyDescent="0.2">
      <c r="A9" s="287">
        <v>2</v>
      </c>
      <c r="B9" s="245" t="s">
        <v>351</v>
      </c>
      <c r="C9" s="246">
        <v>2022</v>
      </c>
      <c r="D9" s="315" t="s">
        <v>1298</v>
      </c>
      <c r="E9" s="316" t="s">
        <v>275</v>
      </c>
      <c r="F9" s="242">
        <v>8</v>
      </c>
      <c r="G9" s="242">
        <v>7.5</v>
      </c>
      <c r="H9" s="242">
        <v>6</v>
      </c>
      <c r="I9" s="242">
        <v>8</v>
      </c>
      <c r="J9" s="242">
        <v>7.5</v>
      </c>
      <c r="K9" s="242">
        <v>7.5</v>
      </c>
      <c r="L9" s="242">
        <v>7.5</v>
      </c>
      <c r="M9" s="242">
        <v>6</v>
      </c>
      <c r="N9" s="242">
        <v>7</v>
      </c>
      <c r="O9" s="242">
        <v>7.5</v>
      </c>
      <c r="P9" s="242">
        <v>7.5</v>
      </c>
      <c r="Q9" s="242">
        <v>7.5</v>
      </c>
      <c r="R9" s="242">
        <v>7</v>
      </c>
      <c r="S9" s="242">
        <v>7</v>
      </c>
      <c r="T9" s="242">
        <v>7</v>
      </c>
      <c r="U9" s="242">
        <v>7</v>
      </c>
      <c r="V9" s="243">
        <f t="shared" ref="V9:V53" si="0">SUM(F9:U9)/16</f>
        <v>7.21875</v>
      </c>
      <c r="W9" s="242"/>
      <c r="X9" s="242"/>
      <c r="Y9" s="242"/>
      <c r="Z9" s="277"/>
      <c r="AA9" s="277"/>
      <c r="AB9" s="252"/>
      <c r="AC9" s="273"/>
      <c r="AD9" s="263" t="s">
        <v>173</v>
      </c>
      <c r="AE9" s="255"/>
      <c r="AF9" s="357">
        <f t="shared" ref="AF9:AF53" si="1">AVERAGE(F9:U9)</f>
        <v>7.21875</v>
      </c>
    </row>
    <row r="10" spans="1:39" s="256" customFormat="1" ht="15.75" customHeight="1" x14ac:dyDescent="0.2">
      <c r="A10" s="287">
        <v>3</v>
      </c>
      <c r="B10" s="245" t="s">
        <v>352</v>
      </c>
      <c r="C10" s="246">
        <v>2022</v>
      </c>
      <c r="D10" s="315" t="s">
        <v>1299</v>
      </c>
      <c r="E10" s="316" t="s">
        <v>963</v>
      </c>
      <c r="F10" s="242">
        <v>7.5</v>
      </c>
      <c r="G10" s="242">
        <v>6.5</v>
      </c>
      <c r="H10" s="242">
        <v>8</v>
      </c>
      <c r="I10" s="242">
        <v>5.5</v>
      </c>
      <c r="J10" s="242">
        <v>7</v>
      </c>
      <c r="K10" s="242">
        <v>7.5</v>
      </c>
      <c r="L10" s="242">
        <v>7</v>
      </c>
      <c r="M10" s="242">
        <v>8</v>
      </c>
      <c r="N10" s="242">
        <v>8</v>
      </c>
      <c r="O10" s="242">
        <v>7</v>
      </c>
      <c r="P10" s="242">
        <v>7</v>
      </c>
      <c r="Q10" s="242">
        <v>6.5</v>
      </c>
      <c r="R10" s="242">
        <v>7</v>
      </c>
      <c r="S10" s="242">
        <v>7.5</v>
      </c>
      <c r="T10" s="242">
        <v>8</v>
      </c>
      <c r="U10" s="242">
        <v>7</v>
      </c>
      <c r="V10" s="243">
        <f t="shared" si="0"/>
        <v>7.1875</v>
      </c>
      <c r="W10" s="242"/>
      <c r="X10" s="242"/>
      <c r="Y10" s="242"/>
      <c r="Z10" s="277"/>
      <c r="AA10" s="277"/>
      <c r="AB10" s="252"/>
      <c r="AC10" s="273"/>
      <c r="AD10" s="300" t="s">
        <v>141</v>
      </c>
      <c r="AE10" s="255"/>
      <c r="AF10" s="357">
        <f t="shared" si="1"/>
        <v>7.1875</v>
      </c>
    </row>
    <row r="11" spans="1:39" s="256" customFormat="1" ht="15.75" customHeight="1" x14ac:dyDescent="0.2">
      <c r="A11" s="287">
        <v>4</v>
      </c>
      <c r="B11" s="245" t="s">
        <v>353</v>
      </c>
      <c r="C11" s="246">
        <v>2022</v>
      </c>
      <c r="D11" s="315" t="s">
        <v>1300</v>
      </c>
      <c r="E11" s="316" t="s">
        <v>570</v>
      </c>
      <c r="F11" s="242">
        <v>7.5</v>
      </c>
      <c r="G11" s="242">
        <v>7.5</v>
      </c>
      <c r="H11" s="242">
        <v>7</v>
      </c>
      <c r="I11" s="242">
        <v>7</v>
      </c>
      <c r="J11" s="242">
        <v>7.5</v>
      </c>
      <c r="K11" s="242">
        <v>8</v>
      </c>
      <c r="L11" s="242">
        <v>8</v>
      </c>
      <c r="M11" s="242">
        <v>8</v>
      </c>
      <c r="N11" s="242">
        <v>8</v>
      </c>
      <c r="O11" s="242">
        <v>7.5</v>
      </c>
      <c r="P11" s="242">
        <v>7.5</v>
      </c>
      <c r="Q11" s="242">
        <v>7.5</v>
      </c>
      <c r="R11" s="242">
        <v>7</v>
      </c>
      <c r="S11" s="242">
        <v>7.5</v>
      </c>
      <c r="T11" s="242">
        <v>7</v>
      </c>
      <c r="U11" s="242">
        <v>7</v>
      </c>
      <c r="V11" s="243">
        <f t="shared" si="0"/>
        <v>7.46875</v>
      </c>
      <c r="W11" s="242"/>
      <c r="X11" s="242"/>
      <c r="Y11" s="242"/>
      <c r="Z11" s="277"/>
      <c r="AA11" s="277"/>
      <c r="AB11" s="252"/>
      <c r="AC11" s="273"/>
      <c r="AD11" s="263" t="s">
        <v>196</v>
      </c>
      <c r="AE11" s="255"/>
      <c r="AF11" s="357">
        <f t="shared" si="1"/>
        <v>7.46875</v>
      </c>
    </row>
    <row r="12" spans="1:39" s="256" customFormat="1" ht="15.75" customHeight="1" x14ac:dyDescent="0.2">
      <c r="A12" s="287">
        <v>5</v>
      </c>
      <c r="B12" s="245" t="s">
        <v>354</v>
      </c>
      <c r="C12" s="246">
        <v>2022</v>
      </c>
      <c r="D12" s="315" t="s">
        <v>1301</v>
      </c>
      <c r="E12" s="303" t="s">
        <v>1202</v>
      </c>
      <c r="F12" s="242">
        <v>7.4</v>
      </c>
      <c r="G12" s="242">
        <v>7.5</v>
      </c>
      <c r="H12" s="242">
        <v>7</v>
      </c>
      <c r="I12" s="242">
        <v>7</v>
      </c>
      <c r="J12" s="242">
        <v>8</v>
      </c>
      <c r="K12" s="242">
        <v>8</v>
      </c>
      <c r="L12" s="242">
        <v>8</v>
      </c>
      <c r="M12" s="242">
        <v>7</v>
      </c>
      <c r="N12" s="242">
        <v>7</v>
      </c>
      <c r="O12" s="242">
        <v>8</v>
      </c>
      <c r="P12" s="242">
        <v>8</v>
      </c>
      <c r="Q12" s="242">
        <v>7</v>
      </c>
      <c r="R12" s="242">
        <v>6.5</v>
      </c>
      <c r="S12" s="242">
        <v>7</v>
      </c>
      <c r="T12" s="242">
        <v>7</v>
      </c>
      <c r="U12" s="242">
        <v>7</v>
      </c>
      <c r="V12" s="243">
        <f t="shared" si="0"/>
        <v>7.3375000000000004</v>
      </c>
      <c r="W12" s="242"/>
      <c r="X12" s="242"/>
      <c r="Y12" s="242"/>
      <c r="Z12" s="277"/>
      <c r="AA12" s="277"/>
      <c r="AB12" s="252"/>
      <c r="AC12" s="273"/>
      <c r="AD12" s="300" t="s">
        <v>18</v>
      </c>
      <c r="AE12" s="255"/>
      <c r="AF12" s="357">
        <f t="shared" si="1"/>
        <v>7.3375000000000004</v>
      </c>
    </row>
    <row r="13" spans="1:39" s="256" customFormat="1" ht="15.75" customHeight="1" x14ac:dyDescent="0.2">
      <c r="A13" s="287">
        <v>6</v>
      </c>
      <c r="B13" s="245" t="s">
        <v>355</v>
      </c>
      <c r="C13" s="246">
        <v>2022</v>
      </c>
      <c r="D13" s="315" t="s">
        <v>1302</v>
      </c>
      <c r="E13" s="316" t="s">
        <v>534</v>
      </c>
      <c r="F13" s="242">
        <v>6.6</v>
      </c>
      <c r="G13" s="242">
        <v>6</v>
      </c>
      <c r="H13" s="242">
        <v>6</v>
      </c>
      <c r="I13" s="242">
        <v>7</v>
      </c>
      <c r="J13" s="242">
        <v>6.5</v>
      </c>
      <c r="K13" s="242">
        <v>6</v>
      </c>
      <c r="L13" s="242">
        <v>6.5</v>
      </c>
      <c r="M13" s="242">
        <v>6.5</v>
      </c>
      <c r="N13" s="242">
        <v>6.5</v>
      </c>
      <c r="O13" s="242">
        <v>6</v>
      </c>
      <c r="P13" s="242">
        <v>6.5</v>
      </c>
      <c r="Q13" s="242">
        <v>6.5</v>
      </c>
      <c r="R13" s="242">
        <v>5</v>
      </c>
      <c r="S13" s="242">
        <v>6.5</v>
      </c>
      <c r="T13" s="242">
        <v>6.5</v>
      </c>
      <c r="U13" s="242">
        <v>6</v>
      </c>
      <c r="V13" s="243">
        <f t="shared" si="0"/>
        <v>6.2874999999999996</v>
      </c>
      <c r="W13" s="242"/>
      <c r="X13" s="242"/>
      <c r="Y13" s="242"/>
      <c r="Z13" s="277"/>
      <c r="AA13" s="277"/>
      <c r="AB13" s="252"/>
      <c r="AC13" s="273"/>
      <c r="AD13" s="305" t="s">
        <v>195</v>
      </c>
      <c r="AE13" s="255"/>
      <c r="AF13" s="628">
        <f t="shared" si="1"/>
        <v>6.2874999999999996</v>
      </c>
    </row>
    <row r="14" spans="1:39" s="256" customFormat="1" ht="15.75" customHeight="1" x14ac:dyDescent="0.2">
      <c r="A14" s="287">
        <v>7</v>
      </c>
      <c r="B14" s="245" t="s">
        <v>356</v>
      </c>
      <c r="C14" s="246">
        <v>2022</v>
      </c>
      <c r="D14" s="315" t="s">
        <v>1303</v>
      </c>
      <c r="E14" s="316" t="s">
        <v>224</v>
      </c>
      <c r="F14" s="242">
        <v>7</v>
      </c>
      <c r="G14" s="242">
        <v>8</v>
      </c>
      <c r="H14" s="242">
        <v>8</v>
      </c>
      <c r="I14" s="242">
        <v>5.5</v>
      </c>
      <c r="J14" s="242">
        <v>6.5</v>
      </c>
      <c r="K14" s="242">
        <v>6.5</v>
      </c>
      <c r="L14" s="242">
        <v>8</v>
      </c>
      <c r="M14" s="242">
        <v>6.5</v>
      </c>
      <c r="N14" s="242">
        <v>6.5</v>
      </c>
      <c r="O14" s="242">
        <v>7</v>
      </c>
      <c r="P14" s="242">
        <v>6.5</v>
      </c>
      <c r="Q14" s="242">
        <v>6.5</v>
      </c>
      <c r="R14" s="242">
        <v>7</v>
      </c>
      <c r="S14" s="242">
        <v>6.5</v>
      </c>
      <c r="T14" s="242">
        <v>6</v>
      </c>
      <c r="U14" s="242">
        <v>7</v>
      </c>
      <c r="V14" s="243">
        <f t="shared" si="0"/>
        <v>6.8125</v>
      </c>
      <c r="W14" s="242"/>
      <c r="X14" s="242"/>
      <c r="Y14" s="242"/>
      <c r="Z14" s="277"/>
      <c r="AA14" s="277"/>
      <c r="AB14" s="252"/>
      <c r="AC14" s="273"/>
      <c r="AD14" s="305" t="s">
        <v>180</v>
      </c>
      <c r="AE14" s="255"/>
      <c r="AF14" s="628">
        <f t="shared" si="1"/>
        <v>6.8125</v>
      </c>
    </row>
    <row r="15" spans="1:39" s="256" customFormat="1" ht="15.75" customHeight="1" x14ac:dyDescent="0.2">
      <c r="A15" s="287">
        <v>8</v>
      </c>
      <c r="B15" s="245" t="s">
        <v>357</v>
      </c>
      <c r="C15" s="246">
        <v>2022</v>
      </c>
      <c r="D15" s="315" t="s">
        <v>1304</v>
      </c>
      <c r="E15" s="316" t="s">
        <v>1305</v>
      </c>
      <c r="F15" s="242">
        <v>7.2</v>
      </c>
      <c r="G15" s="242">
        <v>8</v>
      </c>
      <c r="H15" s="242">
        <v>8</v>
      </c>
      <c r="I15" s="242">
        <v>7</v>
      </c>
      <c r="J15" s="242">
        <v>8</v>
      </c>
      <c r="K15" s="242">
        <v>8</v>
      </c>
      <c r="L15" s="242">
        <v>8</v>
      </c>
      <c r="M15" s="242">
        <v>7.5</v>
      </c>
      <c r="N15" s="242">
        <v>8</v>
      </c>
      <c r="O15" s="242">
        <v>8</v>
      </c>
      <c r="P15" s="242">
        <v>8</v>
      </c>
      <c r="Q15" s="242">
        <v>7</v>
      </c>
      <c r="R15" s="242">
        <v>7</v>
      </c>
      <c r="S15" s="242">
        <v>8</v>
      </c>
      <c r="T15" s="242">
        <v>7</v>
      </c>
      <c r="U15" s="242">
        <v>7</v>
      </c>
      <c r="V15" s="243">
        <f t="shared" si="0"/>
        <v>7.6062500000000002</v>
      </c>
      <c r="W15" s="242"/>
      <c r="X15" s="242"/>
      <c r="Y15" s="242"/>
      <c r="Z15" s="277"/>
      <c r="AA15" s="277"/>
      <c r="AB15" s="252"/>
      <c r="AC15" s="273"/>
      <c r="AD15" s="305" t="s">
        <v>18</v>
      </c>
      <c r="AE15" s="255"/>
      <c r="AF15" s="357">
        <f t="shared" si="1"/>
        <v>7.6062500000000002</v>
      </c>
    </row>
    <row r="16" spans="1:39" s="256" customFormat="1" ht="15.75" customHeight="1" x14ac:dyDescent="0.2">
      <c r="A16" s="287">
        <v>9</v>
      </c>
      <c r="B16" s="245" t="s">
        <v>358</v>
      </c>
      <c r="C16" s="246">
        <v>2022</v>
      </c>
      <c r="D16" s="309" t="s">
        <v>1306</v>
      </c>
      <c r="E16" s="299" t="s">
        <v>1307</v>
      </c>
      <c r="F16" s="242">
        <v>7.6</v>
      </c>
      <c r="G16" s="242">
        <v>8</v>
      </c>
      <c r="H16" s="242">
        <v>8</v>
      </c>
      <c r="I16" s="242">
        <v>5.5</v>
      </c>
      <c r="J16" s="242">
        <v>7.5</v>
      </c>
      <c r="K16" s="242">
        <v>7.5</v>
      </c>
      <c r="L16" s="242">
        <v>7</v>
      </c>
      <c r="M16" s="242">
        <v>6.5</v>
      </c>
      <c r="N16" s="242">
        <v>7</v>
      </c>
      <c r="O16" s="242">
        <v>8</v>
      </c>
      <c r="P16" s="242">
        <v>7</v>
      </c>
      <c r="Q16" s="242">
        <v>7</v>
      </c>
      <c r="R16" s="242">
        <v>7</v>
      </c>
      <c r="S16" s="242">
        <v>7</v>
      </c>
      <c r="T16" s="242">
        <v>8</v>
      </c>
      <c r="U16" s="242">
        <v>7</v>
      </c>
      <c r="V16" s="243">
        <f t="shared" si="0"/>
        <v>7.2249999999999996</v>
      </c>
      <c r="W16" s="242"/>
      <c r="X16" s="242"/>
      <c r="Y16" s="242"/>
      <c r="Z16" s="277"/>
      <c r="AA16" s="277"/>
      <c r="AB16" s="252"/>
      <c r="AC16" s="273"/>
      <c r="AD16" s="305" t="s">
        <v>215</v>
      </c>
      <c r="AE16" s="255"/>
      <c r="AF16" s="357">
        <f t="shared" si="1"/>
        <v>7.2249999999999996</v>
      </c>
      <c r="AG16" s="256" t="s">
        <v>333</v>
      </c>
    </row>
    <row r="17" spans="1:32" s="256" customFormat="1" ht="15.75" customHeight="1" x14ac:dyDescent="0.2">
      <c r="A17" s="287">
        <v>10</v>
      </c>
      <c r="B17" s="245" t="s">
        <v>359</v>
      </c>
      <c r="C17" s="246">
        <v>2022</v>
      </c>
      <c r="D17" s="269" t="s">
        <v>1308</v>
      </c>
      <c r="E17" s="294" t="s">
        <v>889</v>
      </c>
      <c r="F17" s="242">
        <v>7.4</v>
      </c>
      <c r="G17" s="242">
        <v>7.5</v>
      </c>
      <c r="H17" s="242">
        <v>8</v>
      </c>
      <c r="I17" s="242">
        <v>7</v>
      </c>
      <c r="J17" s="242">
        <v>7</v>
      </c>
      <c r="K17" s="242">
        <v>7</v>
      </c>
      <c r="L17" s="242">
        <v>6.5</v>
      </c>
      <c r="M17" s="242">
        <v>7.5</v>
      </c>
      <c r="N17" s="242">
        <v>7</v>
      </c>
      <c r="O17" s="242">
        <v>7</v>
      </c>
      <c r="P17" s="242">
        <v>7.5</v>
      </c>
      <c r="Q17" s="242">
        <v>7</v>
      </c>
      <c r="R17" s="242">
        <v>7</v>
      </c>
      <c r="S17" s="242">
        <v>7</v>
      </c>
      <c r="T17" s="242">
        <v>7</v>
      </c>
      <c r="U17" s="242">
        <v>7.5</v>
      </c>
      <c r="V17" s="243">
        <f t="shared" si="0"/>
        <v>7.1812500000000004</v>
      </c>
      <c r="W17" s="242"/>
      <c r="X17" s="242"/>
      <c r="Y17" s="242"/>
      <c r="Z17" s="277"/>
      <c r="AA17" s="277"/>
      <c r="AB17" s="252"/>
      <c r="AC17" s="273"/>
      <c r="AD17" s="263" t="s">
        <v>215</v>
      </c>
      <c r="AE17" s="255"/>
      <c r="AF17" s="357">
        <f t="shared" si="1"/>
        <v>7.1812500000000004</v>
      </c>
    </row>
    <row r="18" spans="1:32" s="256" customFormat="1" ht="15.75" customHeight="1" x14ac:dyDescent="0.2">
      <c r="A18" s="287">
        <v>11</v>
      </c>
      <c r="B18" s="245" t="s">
        <v>360</v>
      </c>
      <c r="C18" s="246">
        <v>2022</v>
      </c>
      <c r="D18" s="315" t="s">
        <v>1309</v>
      </c>
      <c r="E18" s="316" t="s">
        <v>1310</v>
      </c>
      <c r="F18" s="242">
        <v>7</v>
      </c>
      <c r="G18" s="242">
        <v>8</v>
      </c>
      <c r="H18" s="242">
        <v>8</v>
      </c>
      <c r="I18" s="242">
        <v>7</v>
      </c>
      <c r="J18" s="242">
        <v>7.5</v>
      </c>
      <c r="K18" s="242">
        <v>7</v>
      </c>
      <c r="L18" s="242">
        <v>7.5</v>
      </c>
      <c r="M18" s="242">
        <v>7</v>
      </c>
      <c r="N18" s="242">
        <v>7.5</v>
      </c>
      <c r="O18" s="242">
        <v>6.5</v>
      </c>
      <c r="P18" s="242">
        <v>7.5</v>
      </c>
      <c r="Q18" s="242">
        <v>6.5</v>
      </c>
      <c r="R18" s="242">
        <v>7</v>
      </c>
      <c r="S18" s="242">
        <v>7.5</v>
      </c>
      <c r="T18" s="242">
        <v>7</v>
      </c>
      <c r="U18" s="242">
        <v>6.5</v>
      </c>
      <c r="V18" s="243">
        <f t="shared" si="0"/>
        <v>7.1875</v>
      </c>
      <c r="W18" s="242"/>
      <c r="X18" s="242"/>
      <c r="Y18" s="242"/>
      <c r="Z18" s="277"/>
      <c r="AA18" s="277"/>
      <c r="AB18" s="252"/>
      <c r="AC18" s="273"/>
      <c r="AD18" s="300" t="s">
        <v>208</v>
      </c>
      <c r="AE18" s="255"/>
      <c r="AF18" s="357">
        <f t="shared" si="1"/>
        <v>7.1875</v>
      </c>
    </row>
    <row r="19" spans="1:32" s="256" customFormat="1" ht="15.75" customHeight="1" x14ac:dyDescent="0.2">
      <c r="A19" s="287">
        <v>12</v>
      </c>
      <c r="B19" s="245" t="s">
        <v>361</v>
      </c>
      <c r="C19" s="246">
        <v>2022</v>
      </c>
      <c r="D19" s="315" t="s">
        <v>145</v>
      </c>
      <c r="E19" s="316" t="s">
        <v>673</v>
      </c>
      <c r="F19" s="242">
        <v>7.8</v>
      </c>
      <c r="G19" s="242">
        <v>7.5</v>
      </c>
      <c r="H19" s="242">
        <v>6.5</v>
      </c>
      <c r="I19" s="242">
        <v>5.5</v>
      </c>
      <c r="J19" s="242">
        <v>6.5</v>
      </c>
      <c r="K19" s="242">
        <v>6.5</v>
      </c>
      <c r="L19" s="242">
        <v>6.5</v>
      </c>
      <c r="M19" s="242">
        <v>7</v>
      </c>
      <c r="N19" s="242">
        <v>6.5</v>
      </c>
      <c r="O19" s="242">
        <v>7</v>
      </c>
      <c r="P19" s="242">
        <v>6.5</v>
      </c>
      <c r="Q19" s="242">
        <v>7</v>
      </c>
      <c r="R19" s="242">
        <v>7.5</v>
      </c>
      <c r="S19" s="242">
        <v>6</v>
      </c>
      <c r="T19" s="242">
        <v>6.5</v>
      </c>
      <c r="U19" s="242">
        <v>7</v>
      </c>
      <c r="V19" s="243">
        <f t="shared" si="0"/>
        <v>6.7374999999999998</v>
      </c>
      <c r="W19" s="242"/>
      <c r="X19" s="242"/>
      <c r="Y19" s="242"/>
      <c r="Z19" s="277"/>
      <c r="AA19" s="277"/>
      <c r="AB19" s="252"/>
      <c r="AC19" s="273"/>
      <c r="AD19" s="305" t="s">
        <v>186</v>
      </c>
      <c r="AE19" s="255"/>
      <c r="AF19" s="628">
        <f t="shared" si="1"/>
        <v>6.7374999999999998</v>
      </c>
    </row>
    <row r="20" spans="1:32" s="256" customFormat="1" ht="15.75" customHeight="1" x14ac:dyDescent="0.2">
      <c r="A20" s="287">
        <v>13</v>
      </c>
      <c r="B20" s="245" t="s">
        <v>362</v>
      </c>
      <c r="C20" s="246">
        <v>2022</v>
      </c>
      <c r="D20" s="315" t="s">
        <v>1311</v>
      </c>
      <c r="E20" s="316" t="s">
        <v>1312</v>
      </c>
      <c r="F20" s="242">
        <v>6.5</v>
      </c>
      <c r="G20" s="242">
        <v>8</v>
      </c>
      <c r="H20" s="242">
        <v>8</v>
      </c>
      <c r="I20" s="242">
        <v>8</v>
      </c>
      <c r="J20" s="242">
        <v>8</v>
      </c>
      <c r="K20" s="242">
        <v>8</v>
      </c>
      <c r="L20" s="242">
        <v>8</v>
      </c>
      <c r="M20" s="242">
        <v>8</v>
      </c>
      <c r="N20" s="242">
        <v>8</v>
      </c>
      <c r="O20" s="242">
        <v>8</v>
      </c>
      <c r="P20" s="242">
        <v>8</v>
      </c>
      <c r="Q20" s="242">
        <v>8</v>
      </c>
      <c r="R20" s="242">
        <v>7</v>
      </c>
      <c r="S20" s="242">
        <v>7.5</v>
      </c>
      <c r="T20" s="242">
        <v>7</v>
      </c>
      <c r="U20" s="242">
        <v>7.5</v>
      </c>
      <c r="V20" s="243">
        <f t="shared" si="0"/>
        <v>7.71875</v>
      </c>
      <c r="W20" s="242"/>
      <c r="X20" s="242"/>
      <c r="Y20" s="242"/>
      <c r="Z20" s="277"/>
      <c r="AA20" s="277"/>
      <c r="AB20" s="252"/>
      <c r="AC20" s="273"/>
      <c r="AD20" s="305" t="s">
        <v>199</v>
      </c>
      <c r="AE20" s="255"/>
      <c r="AF20" s="357">
        <f t="shared" si="1"/>
        <v>7.71875</v>
      </c>
    </row>
    <row r="21" spans="1:32" s="256" customFormat="1" ht="15.75" customHeight="1" x14ac:dyDescent="0.2">
      <c r="A21" s="287">
        <v>14</v>
      </c>
      <c r="B21" s="245" t="s">
        <v>363</v>
      </c>
      <c r="C21" s="246">
        <v>2022</v>
      </c>
      <c r="D21" s="317" t="s">
        <v>1313</v>
      </c>
      <c r="E21" s="318" t="s">
        <v>1314</v>
      </c>
      <c r="F21" s="242">
        <v>7.5</v>
      </c>
      <c r="G21" s="242">
        <v>8</v>
      </c>
      <c r="H21" s="242">
        <v>7.5</v>
      </c>
      <c r="I21" s="242">
        <v>7</v>
      </c>
      <c r="J21" s="242">
        <v>8</v>
      </c>
      <c r="K21" s="242">
        <v>8</v>
      </c>
      <c r="L21" s="242">
        <v>8</v>
      </c>
      <c r="M21" s="242">
        <v>7.5</v>
      </c>
      <c r="N21" s="242">
        <v>8</v>
      </c>
      <c r="O21" s="242">
        <v>8</v>
      </c>
      <c r="P21" s="242">
        <v>8</v>
      </c>
      <c r="Q21" s="242">
        <v>7.5</v>
      </c>
      <c r="R21" s="242">
        <v>7.5</v>
      </c>
      <c r="S21" s="242">
        <v>7.5</v>
      </c>
      <c r="T21" s="242">
        <v>7</v>
      </c>
      <c r="U21" s="242">
        <v>6.5</v>
      </c>
      <c r="V21" s="243">
        <f t="shared" si="0"/>
        <v>7.59375</v>
      </c>
      <c r="W21" s="242"/>
      <c r="X21" s="242"/>
      <c r="Y21" s="242"/>
      <c r="Z21" s="277"/>
      <c r="AA21" s="277"/>
      <c r="AB21" s="252"/>
      <c r="AC21" s="273"/>
      <c r="AD21" s="319" t="s">
        <v>186</v>
      </c>
      <c r="AE21" s="255"/>
      <c r="AF21" s="357">
        <f t="shared" si="1"/>
        <v>7.59375</v>
      </c>
    </row>
    <row r="22" spans="1:32" s="256" customFormat="1" ht="15.75" customHeight="1" x14ac:dyDescent="0.2">
      <c r="A22" s="287">
        <v>15</v>
      </c>
      <c r="B22" s="245" t="s">
        <v>364</v>
      </c>
      <c r="C22" s="246">
        <v>2022</v>
      </c>
      <c r="D22" s="315" t="s">
        <v>851</v>
      </c>
      <c r="E22" s="299" t="s">
        <v>1315</v>
      </c>
      <c r="F22" s="242">
        <v>7</v>
      </c>
      <c r="G22" s="242">
        <v>8</v>
      </c>
      <c r="H22" s="242">
        <v>8</v>
      </c>
      <c r="I22" s="242">
        <v>7</v>
      </c>
      <c r="J22" s="242">
        <v>8</v>
      </c>
      <c r="K22" s="242">
        <v>7.5</v>
      </c>
      <c r="L22" s="242">
        <v>7</v>
      </c>
      <c r="M22" s="242">
        <v>7</v>
      </c>
      <c r="N22" s="242">
        <v>8</v>
      </c>
      <c r="O22" s="242">
        <v>8</v>
      </c>
      <c r="P22" s="242">
        <v>8</v>
      </c>
      <c r="Q22" s="242">
        <v>7</v>
      </c>
      <c r="R22" s="242">
        <v>7.5</v>
      </c>
      <c r="S22" s="242">
        <v>7.5</v>
      </c>
      <c r="T22" s="242">
        <v>7</v>
      </c>
      <c r="U22" s="242">
        <v>7</v>
      </c>
      <c r="V22" s="243">
        <f t="shared" si="0"/>
        <v>7.46875</v>
      </c>
      <c r="W22" s="242"/>
      <c r="X22" s="242"/>
      <c r="Y22" s="242"/>
      <c r="Z22" s="277"/>
      <c r="AA22" s="277"/>
      <c r="AB22" s="252"/>
      <c r="AC22" s="273"/>
      <c r="AD22" s="263" t="s">
        <v>18</v>
      </c>
      <c r="AE22" s="255"/>
      <c r="AF22" s="357">
        <f t="shared" si="1"/>
        <v>7.46875</v>
      </c>
    </row>
    <row r="23" spans="1:32" s="256" customFormat="1" ht="15.75" customHeight="1" x14ac:dyDescent="0.2">
      <c r="A23" s="287">
        <v>16</v>
      </c>
      <c r="B23" s="245" t="s">
        <v>365</v>
      </c>
      <c r="C23" s="246">
        <v>2022</v>
      </c>
      <c r="D23" s="309" t="s">
        <v>1316</v>
      </c>
      <c r="E23" s="292" t="s">
        <v>947</v>
      </c>
      <c r="F23" s="320">
        <v>7</v>
      </c>
      <c r="G23" s="320">
        <v>8</v>
      </c>
      <c r="H23" s="242">
        <v>7</v>
      </c>
      <c r="I23" s="242">
        <v>8</v>
      </c>
      <c r="J23" s="242">
        <v>8</v>
      </c>
      <c r="K23" s="242">
        <v>7</v>
      </c>
      <c r="L23" s="242">
        <v>8</v>
      </c>
      <c r="M23" s="242">
        <v>8</v>
      </c>
      <c r="N23" s="242">
        <v>8</v>
      </c>
      <c r="O23" s="242">
        <v>8</v>
      </c>
      <c r="P23" s="242">
        <v>7.5</v>
      </c>
      <c r="Q23" s="242">
        <v>7.5</v>
      </c>
      <c r="R23" s="242">
        <v>7</v>
      </c>
      <c r="S23" s="242">
        <v>7</v>
      </c>
      <c r="T23" s="242">
        <v>7</v>
      </c>
      <c r="U23" s="242">
        <v>7</v>
      </c>
      <c r="V23" s="243">
        <f t="shared" si="0"/>
        <v>7.5</v>
      </c>
      <c r="W23" s="242"/>
      <c r="X23" s="242"/>
      <c r="Y23" s="242"/>
      <c r="Z23" s="277"/>
      <c r="AA23" s="277"/>
      <c r="AB23" s="252"/>
      <c r="AC23" s="273"/>
      <c r="AD23" s="263" t="s">
        <v>178</v>
      </c>
      <c r="AE23" s="255"/>
      <c r="AF23" s="357">
        <f t="shared" si="1"/>
        <v>7.5</v>
      </c>
    </row>
    <row r="24" spans="1:32" s="256" customFormat="1" ht="15.75" customHeight="1" x14ac:dyDescent="0.2">
      <c r="A24" s="287">
        <v>17</v>
      </c>
      <c r="B24" s="245" t="s">
        <v>366</v>
      </c>
      <c r="C24" s="246">
        <v>2022</v>
      </c>
      <c r="D24" s="321" t="s">
        <v>1317</v>
      </c>
      <c r="E24" s="270" t="s">
        <v>1318</v>
      </c>
      <c r="F24" s="322">
        <v>7.2</v>
      </c>
      <c r="G24" s="322">
        <v>8</v>
      </c>
      <c r="H24" s="242">
        <v>7</v>
      </c>
      <c r="I24" s="242">
        <v>5.5</v>
      </c>
      <c r="J24" s="242">
        <v>7.5</v>
      </c>
      <c r="K24" s="242">
        <v>7.5</v>
      </c>
      <c r="L24" s="242">
        <v>6.5</v>
      </c>
      <c r="M24" s="242">
        <v>6.5</v>
      </c>
      <c r="N24" s="242">
        <v>6</v>
      </c>
      <c r="O24" s="242">
        <v>7.5</v>
      </c>
      <c r="P24" s="242">
        <v>6.5</v>
      </c>
      <c r="Q24" s="242">
        <v>7.5</v>
      </c>
      <c r="R24" s="242">
        <v>7.5</v>
      </c>
      <c r="S24" s="242">
        <v>7.5</v>
      </c>
      <c r="T24" s="242">
        <v>6.5</v>
      </c>
      <c r="U24" s="242">
        <v>7</v>
      </c>
      <c r="V24" s="243">
        <f t="shared" si="0"/>
        <v>6.9812500000000002</v>
      </c>
      <c r="W24" s="242"/>
      <c r="X24" s="242"/>
      <c r="Y24" s="242"/>
      <c r="Z24" s="277"/>
      <c r="AA24" s="277"/>
      <c r="AB24" s="252"/>
      <c r="AC24" s="273"/>
      <c r="AD24" s="300" t="s">
        <v>199</v>
      </c>
      <c r="AE24" s="255"/>
      <c r="AF24" s="357">
        <f t="shared" si="1"/>
        <v>6.9812500000000002</v>
      </c>
    </row>
    <row r="25" spans="1:32" s="256" customFormat="1" ht="15.75" customHeight="1" x14ac:dyDescent="0.2">
      <c r="A25" s="287">
        <v>18</v>
      </c>
      <c r="B25" s="245" t="s">
        <v>367</v>
      </c>
      <c r="C25" s="246">
        <v>2022</v>
      </c>
      <c r="D25" s="315" t="s">
        <v>1319</v>
      </c>
      <c r="E25" s="316" t="s">
        <v>842</v>
      </c>
      <c r="F25" s="268">
        <v>7</v>
      </c>
      <c r="G25" s="268">
        <v>7</v>
      </c>
      <c r="H25" s="242">
        <v>8</v>
      </c>
      <c r="I25" s="242">
        <v>5.5</v>
      </c>
      <c r="J25" s="242">
        <v>6.5</v>
      </c>
      <c r="K25" s="242">
        <v>8</v>
      </c>
      <c r="L25" s="242">
        <v>7</v>
      </c>
      <c r="M25" s="242">
        <v>7</v>
      </c>
      <c r="N25" s="242">
        <v>7</v>
      </c>
      <c r="O25" s="242">
        <v>8</v>
      </c>
      <c r="P25" s="242">
        <v>6.5</v>
      </c>
      <c r="Q25" s="242">
        <v>7</v>
      </c>
      <c r="R25" s="242">
        <v>7</v>
      </c>
      <c r="S25" s="242">
        <v>7</v>
      </c>
      <c r="T25" s="242">
        <v>7</v>
      </c>
      <c r="U25" s="242">
        <v>6.5</v>
      </c>
      <c r="V25" s="243">
        <f t="shared" si="0"/>
        <v>7</v>
      </c>
      <c r="W25" s="242"/>
      <c r="X25" s="242"/>
      <c r="Y25" s="242"/>
      <c r="Z25" s="277"/>
      <c r="AA25" s="277"/>
      <c r="AB25" s="252"/>
      <c r="AC25" s="273"/>
      <c r="AD25" s="263" t="s">
        <v>215</v>
      </c>
      <c r="AE25" s="255"/>
      <c r="AF25" s="357">
        <f t="shared" si="1"/>
        <v>7</v>
      </c>
    </row>
    <row r="26" spans="1:32" s="256" customFormat="1" ht="15.75" customHeight="1" x14ac:dyDescent="0.2">
      <c r="A26" s="287">
        <v>19</v>
      </c>
      <c r="B26" s="245" t="s">
        <v>368</v>
      </c>
      <c r="C26" s="246">
        <v>2022</v>
      </c>
      <c r="D26" s="315" t="s">
        <v>801</v>
      </c>
      <c r="E26" s="316" t="s">
        <v>1320</v>
      </c>
      <c r="F26" s="242">
        <v>7.8</v>
      </c>
      <c r="G26" s="242">
        <v>8</v>
      </c>
      <c r="H26" s="242">
        <v>7</v>
      </c>
      <c r="I26" s="242">
        <v>7</v>
      </c>
      <c r="J26" s="242">
        <v>7.5</v>
      </c>
      <c r="K26" s="242">
        <v>8</v>
      </c>
      <c r="L26" s="242">
        <v>7</v>
      </c>
      <c r="M26" s="242">
        <v>8</v>
      </c>
      <c r="N26" s="242">
        <v>7.5</v>
      </c>
      <c r="O26" s="242">
        <v>8</v>
      </c>
      <c r="P26" s="242">
        <v>7.5</v>
      </c>
      <c r="Q26" s="242">
        <v>7.5</v>
      </c>
      <c r="R26" s="242">
        <v>7</v>
      </c>
      <c r="S26" s="242">
        <v>7</v>
      </c>
      <c r="T26" s="242">
        <v>7.5</v>
      </c>
      <c r="U26" s="242">
        <v>7</v>
      </c>
      <c r="V26" s="243">
        <f t="shared" si="0"/>
        <v>7.4562499999999998</v>
      </c>
      <c r="W26" s="242"/>
      <c r="X26" s="242"/>
      <c r="Y26" s="242"/>
      <c r="Z26" s="277"/>
      <c r="AA26" s="277"/>
      <c r="AB26" s="252"/>
      <c r="AC26" s="273"/>
      <c r="AD26" s="263" t="s">
        <v>201</v>
      </c>
      <c r="AE26" s="255"/>
      <c r="AF26" s="357">
        <f t="shared" si="1"/>
        <v>7.4562499999999998</v>
      </c>
    </row>
    <row r="27" spans="1:32" s="256" customFormat="1" ht="15.75" customHeight="1" x14ac:dyDescent="0.2">
      <c r="A27" s="287">
        <v>20</v>
      </c>
      <c r="B27" s="245" t="s">
        <v>369</v>
      </c>
      <c r="C27" s="246">
        <v>2022</v>
      </c>
      <c r="D27" s="309" t="s">
        <v>1321</v>
      </c>
      <c r="E27" s="292" t="s">
        <v>1322</v>
      </c>
      <c r="F27" s="320">
        <v>7.8</v>
      </c>
      <c r="G27" s="320">
        <v>7</v>
      </c>
      <c r="H27" s="242">
        <v>7</v>
      </c>
      <c r="I27" s="242">
        <v>7</v>
      </c>
      <c r="J27" s="242">
        <v>8</v>
      </c>
      <c r="K27" s="242">
        <v>7</v>
      </c>
      <c r="L27" s="242">
        <v>7</v>
      </c>
      <c r="M27" s="242">
        <v>8</v>
      </c>
      <c r="N27" s="242">
        <v>8</v>
      </c>
      <c r="O27" s="242">
        <v>6.5</v>
      </c>
      <c r="P27" s="242">
        <v>8</v>
      </c>
      <c r="Q27" s="242">
        <v>7.5</v>
      </c>
      <c r="R27" s="242">
        <v>7.5</v>
      </c>
      <c r="S27" s="242">
        <v>7</v>
      </c>
      <c r="T27" s="242">
        <v>7.5</v>
      </c>
      <c r="U27" s="242">
        <v>7.5</v>
      </c>
      <c r="V27" s="243">
        <f t="shared" si="0"/>
        <v>7.3937499999999998</v>
      </c>
      <c r="W27" s="242"/>
      <c r="X27" s="242"/>
      <c r="Y27" s="242"/>
      <c r="Z27" s="277"/>
      <c r="AA27" s="277"/>
      <c r="AB27" s="252"/>
      <c r="AC27" s="273"/>
      <c r="AD27" s="261" t="s">
        <v>219</v>
      </c>
      <c r="AE27" s="255"/>
      <c r="AF27" s="357">
        <f t="shared" si="1"/>
        <v>7.3937499999999998</v>
      </c>
    </row>
    <row r="28" spans="1:32" s="256" customFormat="1" ht="15.75" customHeight="1" x14ac:dyDescent="0.2">
      <c r="A28" s="287">
        <v>21</v>
      </c>
      <c r="B28" s="245" t="s">
        <v>370</v>
      </c>
      <c r="C28" s="246">
        <v>2022</v>
      </c>
      <c r="D28" s="321" t="s">
        <v>1323</v>
      </c>
      <c r="E28" s="270" t="s">
        <v>1324</v>
      </c>
      <c r="F28" s="322">
        <v>8.8000000000000007</v>
      </c>
      <c r="G28" s="242">
        <v>8</v>
      </c>
      <c r="H28" s="242">
        <v>8</v>
      </c>
      <c r="I28" s="242">
        <v>8</v>
      </c>
      <c r="J28" s="242">
        <v>8</v>
      </c>
      <c r="K28" s="242">
        <v>8</v>
      </c>
      <c r="L28" s="242">
        <v>8</v>
      </c>
      <c r="M28" s="242">
        <v>8</v>
      </c>
      <c r="N28" s="242">
        <v>8</v>
      </c>
      <c r="O28" s="242">
        <v>8</v>
      </c>
      <c r="P28" s="242">
        <v>8</v>
      </c>
      <c r="Q28" s="242">
        <v>8</v>
      </c>
      <c r="R28" s="242">
        <v>8</v>
      </c>
      <c r="S28" s="242">
        <v>8</v>
      </c>
      <c r="T28" s="242">
        <v>8</v>
      </c>
      <c r="U28" s="242">
        <v>8</v>
      </c>
      <c r="V28" s="243">
        <f t="shared" si="0"/>
        <v>8.0500000000000007</v>
      </c>
      <c r="W28" s="242"/>
      <c r="X28" s="242"/>
      <c r="Y28" s="242"/>
      <c r="Z28" s="277"/>
      <c r="AA28" s="277"/>
      <c r="AB28" s="252"/>
      <c r="AC28" s="273"/>
      <c r="AD28" s="261" t="s">
        <v>1356</v>
      </c>
      <c r="AE28" s="255"/>
      <c r="AF28" s="613">
        <f t="shared" si="1"/>
        <v>8.0500000000000007</v>
      </c>
    </row>
    <row r="29" spans="1:32" s="256" customFormat="1" ht="15.75" customHeight="1" x14ac:dyDescent="0.2">
      <c r="A29" s="287">
        <v>22</v>
      </c>
      <c r="B29" s="245" t="s">
        <v>371</v>
      </c>
      <c r="C29" s="246">
        <v>2022</v>
      </c>
      <c r="D29" s="315" t="s">
        <v>1036</v>
      </c>
      <c r="E29" s="292" t="s">
        <v>1325</v>
      </c>
      <c r="F29" s="268">
        <v>7</v>
      </c>
      <c r="G29" s="242">
        <v>6.5</v>
      </c>
      <c r="H29" s="242">
        <v>6.5</v>
      </c>
      <c r="I29" s="242">
        <v>5.5</v>
      </c>
      <c r="J29" s="242">
        <v>6.5</v>
      </c>
      <c r="K29" s="242">
        <v>6.5</v>
      </c>
      <c r="L29" s="242">
        <v>6</v>
      </c>
      <c r="M29" s="242">
        <v>8</v>
      </c>
      <c r="N29" s="242">
        <v>7</v>
      </c>
      <c r="O29" s="242">
        <v>6.5</v>
      </c>
      <c r="P29" s="242">
        <v>7</v>
      </c>
      <c r="Q29" s="242">
        <v>6.5</v>
      </c>
      <c r="R29" s="242">
        <v>7.5</v>
      </c>
      <c r="S29" s="242">
        <v>7</v>
      </c>
      <c r="T29" s="242">
        <v>6</v>
      </c>
      <c r="U29" s="242">
        <v>7</v>
      </c>
      <c r="V29" s="243">
        <f t="shared" si="0"/>
        <v>6.6875</v>
      </c>
      <c r="W29" s="242"/>
      <c r="X29" s="242"/>
      <c r="Y29" s="242"/>
      <c r="Z29" s="277"/>
      <c r="AA29" s="277"/>
      <c r="AB29" s="252"/>
      <c r="AC29" s="273"/>
      <c r="AD29" s="261" t="s">
        <v>178</v>
      </c>
      <c r="AE29" s="255"/>
      <c r="AF29" s="628">
        <f t="shared" si="1"/>
        <v>6.6875</v>
      </c>
    </row>
    <row r="30" spans="1:32" s="256" customFormat="1" ht="15.75" customHeight="1" x14ac:dyDescent="0.2">
      <c r="A30" s="287">
        <v>23</v>
      </c>
      <c r="B30" s="245" t="s">
        <v>372</v>
      </c>
      <c r="C30" s="246">
        <v>2022</v>
      </c>
      <c r="D30" s="269" t="s">
        <v>1326</v>
      </c>
      <c r="E30" s="316" t="s">
        <v>1327</v>
      </c>
      <c r="F30" s="242">
        <v>8.4</v>
      </c>
      <c r="G30" s="242">
        <v>6.5</v>
      </c>
      <c r="H30" s="242">
        <v>6.5</v>
      </c>
      <c r="I30" s="242">
        <v>5.5</v>
      </c>
      <c r="J30" s="242">
        <v>6.5</v>
      </c>
      <c r="K30" s="242">
        <v>7.5</v>
      </c>
      <c r="L30" s="242">
        <v>6.5</v>
      </c>
      <c r="M30" s="242">
        <v>8</v>
      </c>
      <c r="N30" s="242">
        <v>7</v>
      </c>
      <c r="O30" s="242">
        <v>8</v>
      </c>
      <c r="P30" s="242">
        <v>6.5</v>
      </c>
      <c r="Q30" s="242">
        <v>7</v>
      </c>
      <c r="R30" s="242">
        <v>6</v>
      </c>
      <c r="S30" s="242">
        <v>6.5</v>
      </c>
      <c r="T30" s="242">
        <v>6.5</v>
      </c>
      <c r="U30" s="242">
        <v>7</v>
      </c>
      <c r="V30" s="243">
        <f t="shared" si="0"/>
        <v>6.8687500000000004</v>
      </c>
      <c r="W30" s="242"/>
      <c r="X30" s="242"/>
      <c r="Y30" s="242"/>
      <c r="Z30" s="277"/>
      <c r="AA30" s="277"/>
      <c r="AB30" s="252"/>
      <c r="AC30" s="273"/>
      <c r="AD30" s="263" t="s">
        <v>198</v>
      </c>
      <c r="AE30" s="255"/>
      <c r="AF30" s="628">
        <f t="shared" si="1"/>
        <v>6.8687500000000004</v>
      </c>
    </row>
    <row r="31" spans="1:32" s="256" customFormat="1" ht="15.75" customHeight="1" x14ac:dyDescent="0.2">
      <c r="A31" s="287">
        <v>24</v>
      </c>
      <c r="B31" s="245" t="s">
        <v>373</v>
      </c>
      <c r="C31" s="246">
        <v>2022</v>
      </c>
      <c r="D31" s="269" t="s">
        <v>1328</v>
      </c>
      <c r="E31" s="292" t="s">
        <v>842</v>
      </c>
      <c r="F31" s="242">
        <v>7</v>
      </c>
      <c r="G31" s="242">
        <v>6.5</v>
      </c>
      <c r="H31" s="242">
        <v>6.5</v>
      </c>
      <c r="I31" s="242">
        <v>5.5</v>
      </c>
      <c r="J31" s="242">
        <v>6.5</v>
      </c>
      <c r="K31" s="242">
        <v>6.5</v>
      </c>
      <c r="L31" s="242">
        <v>6</v>
      </c>
      <c r="M31" s="242">
        <v>7.5</v>
      </c>
      <c r="N31" s="242">
        <v>6.5</v>
      </c>
      <c r="O31" s="242">
        <v>6.5</v>
      </c>
      <c r="P31" s="242">
        <v>6.5</v>
      </c>
      <c r="Q31" s="242">
        <v>6.5</v>
      </c>
      <c r="R31" s="242">
        <v>6.5</v>
      </c>
      <c r="S31" s="242">
        <v>6</v>
      </c>
      <c r="T31" s="242">
        <v>6</v>
      </c>
      <c r="U31" s="242">
        <v>6.5</v>
      </c>
      <c r="V31" s="243">
        <f t="shared" si="0"/>
        <v>6.4375</v>
      </c>
      <c r="W31" s="242"/>
      <c r="X31" s="242"/>
      <c r="Y31" s="242"/>
      <c r="Z31" s="277"/>
      <c r="AA31" s="277"/>
      <c r="AB31" s="252"/>
      <c r="AC31" s="273"/>
      <c r="AD31" s="300" t="s">
        <v>173</v>
      </c>
      <c r="AE31" s="255"/>
      <c r="AF31" s="628">
        <f t="shared" si="1"/>
        <v>6.4375</v>
      </c>
    </row>
    <row r="32" spans="1:32" s="256" customFormat="1" ht="15.75" customHeight="1" x14ac:dyDescent="0.2">
      <c r="A32" s="287">
        <v>25</v>
      </c>
      <c r="B32" s="245" t="s">
        <v>374</v>
      </c>
      <c r="C32" s="246">
        <v>2022</v>
      </c>
      <c r="D32" s="269" t="s">
        <v>1329</v>
      </c>
      <c r="E32" s="316" t="s">
        <v>970</v>
      </c>
      <c r="F32" s="242">
        <v>8</v>
      </c>
      <c r="G32" s="242">
        <v>8</v>
      </c>
      <c r="H32" s="242">
        <v>8</v>
      </c>
      <c r="I32" s="242">
        <v>7</v>
      </c>
      <c r="J32" s="242">
        <v>8</v>
      </c>
      <c r="K32" s="242">
        <v>8</v>
      </c>
      <c r="L32" s="242">
        <v>8</v>
      </c>
      <c r="M32" s="242">
        <v>8</v>
      </c>
      <c r="N32" s="242">
        <v>8</v>
      </c>
      <c r="O32" s="242">
        <v>8</v>
      </c>
      <c r="P32" s="242">
        <v>8</v>
      </c>
      <c r="Q32" s="242">
        <v>7.5</v>
      </c>
      <c r="R32" s="242">
        <v>6</v>
      </c>
      <c r="S32" s="242">
        <v>7.5</v>
      </c>
      <c r="T32" s="242">
        <v>7.5</v>
      </c>
      <c r="U32" s="242">
        <v>7</v>
      </c>
      <c r="V32" s="243">
        <f t="shared" si="0"/>
        <v>7.65625</v>
      </c>
      <c r="W32" s="242"/>
      <c r="X32" s="242"/>
      <c r="Y32" s="242"/>
      <c r="Z32" s="277"/>
      <c r="AA32" s="277"/>
      <c r="AB32" s="252"/>
      <c r="AC32" s="273"/>
      <c r="AD32" s="263" t="s">
        <v>173</v>
      </c>
      <c r="AE32" s="255"/>
      <c r="AF32" s="357">
        <f t="shared" si="1"/>
        <v>7.65625</v>
      </c>
    </row>
    <row r="33" spans="1:32" s="256" customFormat="1" ht="15.75" customHeight="1" x14ac:dyDescent="0.2">
      <c r="A33" s="287">
        <v>26</v>
      </c>
      <c r="B33" s="245" t="s">
        <v>375</v>
      </c>
      <c r="C33" s="246">
        <v>2022</v>
      </c>
      <c r="D33" s="315" t="s">
        <v>1330</v>
      </c>
      <c r="E33" s="292" t="s">
        <v>526</v>
      </c>
      <c r="F33" s="242">
        <v>7.5</v>
      </c>
      <c r="G33" s="242">
        <v>7.5</v>
      </c>
      <c r="H33" s="242">
        <v>8</v>
      </c>
      <c r="I33" s="242">
        <v>7</v>
      </c>
      <c r="J33" s="242">
        <v>8</v>
      </c>
      <c r="K33" s="242">
        <v>8</v>
      </c>
      <c r="L33" s="242">
        <v>8</v>
      </c>
      <c r="M33" s="242">
        <v>6.5</v>
      </c>
      <c r="N33" s="242">
        <v>8</v>
      </c>
      <c r="O33" s="242">
        <v>7</v>
      </c>
      <c r="P33" s="242">
        <v>8</v>
      </c>
      <c r="Q33" s="242">
        <v>7</v>
      </c>
      <c r="R33" s="242">
        <v>7</v>
      </c>
      <c r="S33" s="242">
        <v>7.5</v>
      </c>
      <c r="T33" s="242">
        <v>8</v>
      </c>
      <c r="U33" s="242">
        <v>7</v>
      </c>
      <c r="V33" s="243">
        <f t="shared" si="0"/>
        <v>7.5</v>
      </c>
      <c r="W33" s="242"/>
      <c r="X33" s="242"/>
      <c r="Y33" s="242"/>
      <c r="Z33" s="277"/>
      <c r="AA33" s="277"/>
      <c r="AB33" s="252"/>
      <c r="AC33" s="273"/>
      <c r="AD33" s="300" t="s">
        <v>186</v>
      </c>
      <c r="AE33" s="255"/>
      <c r="AF33" s="357">
        <f t="shared" si="1"/>
        <v>7.5</v>
      </c>
    </row>
    <row r="34" spans="1:32" s="256" customFormat="1" ht="15.75" customHeight="1" x14ac:dyDescent="0.2">
      <c r="A34" s="287">
        <v>27</v>
      </c>
      <c r="B34" s="245" t="s">
        <v>376</v>
      </c>
      <c r="C34" s="246">
        <v>2022</v>
      </c>
      <c r="D34" s="315" t="s">
        <v>1138</v>
      </c>
      <c r="E34" s="316" t="s">
        <v>164</v>
      </c>
      <c r="F34" s="242">
        <v>7.5</v>
      </c>
      <c r="G34" s="242">
        <v>8</v>
      </c>
      <c r="H34" s="242">
        <v>8</v>
      </c>
      <c r="I34" s="242">
        <v>5.5</v>
      </c>
      <c r="J34" s="242">
        <v>6.5</v>
      </c>
      <c r="K34" s="242">
        <v>8</v>
      </c>
      <c r="L34" s="242">
        <v>7</v>
      </c>
      <c r="M34" s="242">
        <v>7.5</v>
      </c>
      <c r="N34" s="242">
        <v>7</v>
      </c>
      <c r="O34" s="242">
        <v>7.5</v>
      </c>
      <c r="P34" s="242">
        <v>7</v>
      </c>
      <c r="Q34" s="242">
        <v>7</v>
      </c>
      <c r="R34" s="242">
        <v>7.5</v>
      </c>
      <c r="S34" s="242">
        <v>7</v>
      </c>
      <c r="T34" s="242">
        <v>7</v>
      </c>
      <c r="U34" s="242">
        <v>7</v>
      </c>
      <c r="V34" s="243">
        <f t="shared" si="0"/>
        <v>7.1875</v>
      </c>
      <c r="W34" s="242"/>
      <c r="X34" s="242"/>
      <c r="Y34" s="242"/>
      <c r="Z34" s="277"/>
      <c r="AA34" s="277"/>
      <c r="AB34" s="252"/>
      <c r="AC34" s="273"/>
      <c r="AD34" s="305" t="s">
        <v>219</v>
      </c>
      <c r="AE34" s="255"/>
      <c r="AF34" s="357">
        <f t="shared" si="1"/>
        <v>7.1875</v>
      </c>
    </row>
    <row r="35" spans="1:32" s="256" customFormat="1" ht="15.75" customHeight="1" x14ac:dyDescent="0.2">
      <c r="A35" s="287">
        <v>28</v>
      </c>
      <c r="B35" s="245" t="s">
        <v>377</v>
      </c>
      <c r="C35" s="246">
        <v>2022</v>
      </c>
      <c r="D35" s="315" t="s">
        <v>1331</v>
      </c>
      <c r="E35" s="316" t="s">
        <v>548</v>
      </c>
      <c r="F35" s="242">
        <v>8.5</v>
      </c>
      <c r="G35" s="242">
        <v>8</v>
      </c>
      <c r="H35" s="242">
        <v>8</v>
      </c>
      <c r="I35" s="242">
        <v>8</v>
      </c>
      <c r="J35" s="242">
        <v>8</v>
      </c>
      <c r="K35" s="242">
        <v>8</v>
      </c>
      <c r="L35" s="242">
        <v>8</v>
      </c>
      <c r="M35" s="242">
        <v>8</v>
      </c>
      <c r="N35" s="242">
        <v>8</v>
      </c>
      <c r="O35" s="242">
        <v>8</v>
      </c>
      <c r="P35" s="242">
        <v>8</v>
      </c>
      <c r="Q35" s="242">
        <v>8.5</v>
      </c>
      <c r="R35" s="242">
        <v>7</v>
      </c>
      <c r="S35" s="242">
        <v>8</v>
      </c>
      <c r="T35" s="242">
        <v>8</v>
      </c>
      <c r="U35" s="242">
        <v>8</v>
      </c>
      <c r="V35" s="243">
        <f t="shared" si="0"/>
        <v>8</v>
      </c>
      <c r="W35" s="242"/>
      <c r="X35" s="242"/>
      <c r="Y35" s="242"/>
      <c r="Z35" s="277"/>
      <c r="AA35" s="277"/>
      <c r="AB35" s="252"/>
      <c r="AC35" s="273"/>
      <c r="AD35" s="305" t="s">
        <v>178</v>
      </c>
      <c r="AE35" s="255"/>
      <c r="AF35" s="613">
        <f t="shared" si="1"/>
        <v>8</v>
      </c>
    </row>
    <row r="36" spans="1:32" s="256" customFormat="1" ht="15.75" customHeight="1" x14ac:dyDescent="0.2">
      <c r="A36" s="287">
        <v>29</v>
      </c>
      <c r="B36" s="245" t="s">
        <v>378</v>
      </c>
      <c r="C36" s="246">
        <v>2022</v>
      </c>
      <c r="D36" s="315" t="s">
        <v>1332</v>
      </c>
      <c r="E36" s="316" t="s">
        <v>982</v>
      </c>
      <c r="F36" s="242">
        <v>6.8</v>
      </c>
      <c r="G36" s="242">
        <v>8</v>
      </c>
      <c r="H36" s="242">
        <v>8</v>
      </c>
      <c r="I36" s="242">
        <v>7</v>
      </c>
      <c r="J36" s="242">
        <v>7.5</v>
      </c>
      <c r="K36" s="242">
        <v>8</v>
      </c>
      <c r="L36" s="242">
        <v>8</v>
      </c>
      <c r="M36" s="242">
        <v>8</v>
      </c>
      <c r="N36" s="242">
        <v>7</v>
      </c>
      <c r="O36" s="242">
        <v>7</v>
      </c>
      <c r="P36" s="242">
        <v>8</v>
      </c>
      <c r="Q36" s="242">
        <v>7</v>
      </c>
      <c r="R36" s="242">
        <v>5</v>
      </c>
      <c r="S36" s="242">
        <v>7</v>
      </c>
      <c r="T36" s="242">
        <v>7.5</v>
      </c>
      <c r="U36" s="242">
        <v>7</v>
      </c>
      <c r="V36" s="243">
        <f t="shared" si="0"/>
        <v>7.3</v>
      </c>
      <c r="W36" s="242"/>
      <c r="X36" s="242"/>
      <c r="Y36" s="242"/>
      <c r="Z36" s="277"/>
      <c r="AA36" s="277"/>
      <c r="AB36" s="252"/>
      <c r="AC36" s="273"/>
      <c r="AD36" s="305" t="s">
        <v>215</v>
      </c>
      <c r="AE36" s="255"/>
      <c r="AF36" s="357">
        <f t="shared" si="1"/>
        <v>7.3</v>
      </c>
    </row>
    <row r="37" spans="1:32" s="256" customFormat="1" ht="15.75" customHeight="1" x14ac:dyDescent="0.2">
      <c r="A37" s="287">
        <v>30</v>
      </c>
      <c r="B37" s="245" t="s">
        <v>379</v>
      </c>
      <c r="C37" s="246">
        <v>2022</v>
      </c>
      <c r="D37" s="309" t="s">
        <v>1333</v>
      </c>
      <c r="E37" s="299" t="s">
        <v>1334</v>
      </c>
      <c r="F37" s="242">
        <v>7.4</v>
      </c>
      <c r="G37" s="242">
        <v>7.5</v>
      </c>
      <c r="H37" s="242">
        <v>7</v>
      </c>
      <c r="I37" s="242">
        <v>7</v>
      </c>
      <c r="J37" s="242">
        <v>8</v>
      </c>
      <c r="K37" s="242">
        <v>8</v>
      </c>
      <c r="L37" s="242">
        <v>7</v>
      </c>
      <c r="M37" s="242">
        <v>8</v>
      </c>
      <c r="N37" s="242">
        <v>8</v>
      </c>
      <c r="O37" s="242">
        <v>8</v>
      </c>
      <c r="P37" s="242">
        <v>8</v>
      </c>
      <c r="Q37" s="242">
        <v>7</v>
      </c>
      <c r="R37" s="242">
        <v>6.5</v>
      </c>
      <c r="S37" s="242">
        <v>7.5</v>
      </c>
      <c r="T37" s="242">
        <v>8</v>
      </c>
      <c r="U37" s="242">
        <v>7</v>
      </c>
      <c r="V37" s="243">
        <f t="shared" si="0"/>
        <v>7.4937500000000004</v>
      </c>
      <c r="W37" s="242"/>
      <c r="X37" s="242"/>
      <c r="Y37" s="242"/>
      <c r="Z37" s="277"/>
      <c r="AA37" s="277"/>
      <c r="AB37" s="252"/>
      <c r="AC37" s="273"/>
      <c r="AD37" s="305" t="s">
        <v>219</v>
      </c>
      <c r="AE37" s="255"/>
      <c r="AF37" s="357">
        <f t="shared" si="1"/>
        <v>7.4937500000000004</v>
      </c>
    </row>
    <row r="38" spans="1:32" s="256" customFormat="1" ht="15.75" customHeight="1" x14ac:dyDescent="0.2">
      <c r="A38" s="287">
        <v>31</v>
      </c>
      <c r="B38" s="245" t="s">
        <v>380</v>
      </c>
      <c r="C38" s="246">
        <v>2022</v>
      </c>
      <c r="D38" s="269" t="s">
        <v>1335</v>
      </c>
      <c r="E38" s="294" t="s">
        <v>1336</v>
      </c>
      <c r="F38" s="242">
        <v>8.8000000000000007</v>
      </c>
      <c r="G38" s="242">
        <v>8</v>
      </c>
      <c r="H38" s="242">
        <v>8</v>
      </c>
      <c r="I38" s="242">
        <v>8</v>
      </c>
      <c r="J38" s="242">
        <v>8</v>
      </c>
      <c r="K38" s="242">
        <v>8</v>
      </c>
      <c r="L38" s="242">
        <v>8</v>
      </c>
      <c r="M38" s="242">
        <v>8</v>
      </c>
      <c r="N38" s="242">
        <v>8</v>
      </c>
      <c r="O38" s="242">
        <v>8</v>
      </c>
      <c r="P38" s="242">
        <v>8</v>
      </c>
      <c r="Q38" s="242">
        <v>8</v>
      </c>
      <c r="R38" s="242">
        <v>8</v>
      </c>
      <c r="S38" s="242">
        <v>8</v>
      </c>
      <c r="T38" s="242">
        <v>8</v>
      </c>
      <c r="U38" s="242">
        <v>7.5</v>
      </c>
      <c r="V38" s="243">
        <f t="shared" si="0"/>
        <v>8.0187500000000007</v>
      </c>
      <c r="W38" s="242"/>
      <c r="X38" s="242"/>
      <c r="Y38" s="242"/>
      <c r="Z38" s="277"/>
      <c r="AA38" s="277"/>
      <c r="AB38" s="252"/>
      <c r="AC38" s="273"/>
      <c r="AD38" s="263" t="s">
        <v>1356</v>
      </c>
      <c r="AE38" s="255"/>
      <c r="AF38" s="613">
        <f t="shared" si="1"/>
        <v>8.0187500000000007</v>
      </c>
    </row>
    <row r="39" spans="1:32" s="256" customFormat="1" ht="15.75" customHeight="1" x14ac:dyDescent="0.2">
      <c r="A39" s="287">
        <v>32</v>
      </c>
      <c r="B39" s="245" t="s">
        <v>381</v>
      </c>
      <c r="C39" s="246">
        <v>2022</v>
      </c>
      <c r="D39" s="315" t="s">
        <v>1337</v>
      </c>
      <c r="E39" s="316" t="s">
        <v>152</v>
      </c>
      <c r="F39" s="242">
        <v>7.5</v>
      </c>
      <c r="G39" s="242">
        <v>7</v>
      </c>
      <c r="H39" s="242">
        <v>8</v>
      </c>
      <c r="I39" s="242">
        <v>7</v>
      </c>
      <c r="J39" s="242">
        <v>8</v>
      </c>
      <c r="K39" s="242">
        <v>7.5</v>
      </c>
      <c r="L39" s="242">
        <v>8</v>
      </c>
      <c r="M39" s="242">
        <v>7.5</v>
      </c>
      <c r="N39" s="242">
        <v>8</v>
      </c>
      <c r="O39" s="242">
        <v>6.5</v>
      </c>
      <c r="P39" s="242">
        <v>8</v>
      </c>
      <c r="Q39" s="242">
        <v>7</v>
      </c>
      <c r="R39" s="242">
        <v>7</v>
      </c>
      <c r="S39" s="242">
        <v>7.5</v>
      </c>
      <c r="T39" s="242">
        <v>7.5</v>
      </c>
      <c r="U39" s="242">
        <v>7.5</v>
      </c>
      <c r="V39" s="243">
        <f t="shared" si="0"/>
        <v>7.46875</v>
      </c>
      <c r="W39" s="242"/>
      <c r="X39" s="242"/>
      <c r="Y39" s="242"/>
      <c r="Z39" s="277"/>
      <c r="AA39" s="277"/>
      <c r="AB39" s="252"/>
      <c r="AC39" s="273"/>
      <c r="AD39" s="305" t="s">
        <v>201</v>
      </c>
      <c r="AE39" s="255"/>
      <c r="AF39" s="357">
        <f t="shared" si="1"/>
        <v>7.46875</v>
      </c>
    </row>
    <row r="40" spans="1:32" s="256" customFormat="1" ht="15.75" customHeight="1" x14ac:dyDescent="0.2">
      <c r="A40" s="287">
        <v>33</v>
      </c>
      <c r="B40" s="245" t="s">
        <v>382</v>
      </c>
      <c r="C40" s="246">
        <v>2022</v>
      </c>
      <c r="D40" s="315" t="s">
        <v>1338</v>
      </c>
      <c r="E40" s="316" t="s">
        <v>1339</v>
      </c>
      <c r="F40" s="242">
        <v>7</v>
      </c>
      <c r="G40" s="242">
        <v>8</v>
      </c>
      <c r="H40" s="242">
        <v>7</v>
      </c>
      <c r="I40" s="242">
        <v>5.5</v>
      </c>
      <c r="J40" s="242">
        <v>8</v>
      </c>
      <c r="K40" s="242">
        <v>7</v>
      </c>
      <c r="L40" s="242">
        <v>7.5</v>
      </c>
      <c r="M40" s="242">
        <v>7</v>
      </c>
      <c r="N40" s="242">
        <v>6.5</v>
      </c>
      <c r="O40" s="242">
        <v>8</v>
      </c>
      <c r="P40" s="242">
        <v>8</v>
      </c>
      <c r="Q40" s="242">
        <v>7.5</v>
      </c>
      <c r="R40" s="242">
        <v>7</v>
      </c>
      <c r="S40" s="242">
        <v>6.5</v>
      </c>
      <c r="T40" s="242">
        <v>7.5</v>
      </c>
      <c r="U40" s="242">
        <v>7</v>
      </c>
      <c r="V40" s="243">
        <f t="shared" si="0"/>
        <v>7.1875</v>
      </c>
      <c r="W40" s="242"/>
      <c r="X40" s="242"/>
      <c r="Y40" s="242"/>
      <c r="Z40" s="277"/>
      <c r="AA40" s="277"/>
      <c r="AB40" s="252"/>
      <c r="AC40" s="273"/>
      <c r="AD40" s="305" t="s">
        <v>190</v>
      </c>
      <c r="AE40" s="255"/>
      <c r="AF40" s="357">
        <f t="shared" si="1"/>
        <v>7.1875</v>
      </c>
    </row>
    <row r="41" spans="1:32" s="256" customFormat="1" ht="15.75" customHeight="1" x14ac:dyDescent="0.2">
      <c r="A41" s="287">
        <v>34</v>
      </c>
      <c r="B41" s="245" t="s">
        <v>383</v>
      </c>
      <c r="C41" s="246">
        <v>2022</v>
      </c>
      <c r="D41" s="315" t="s">
        <v>1340</v>
      </c>
      <c r="E41" s="316" t="s">
        <v>1341</v>
      </c>
      <c r="F41" s="242">
        <v>6.5</v>
      </c>
      <c r="G41" s="242">
        <v>8</v>
      </c>
      <c r="H41" s="242">
        <v>8</v>
      </c>
      <c r="I41" s="242">
        <v>8</v>
      </c>
      <c r="J41" s="242">
        <v>8</v>
      </c>
      <c r="K41" s="242">
        <v>7.5</v>
      </c>
      <c r="L41" s="242">
        <v>8</v>
      </c>
      <c r="M41" s="242">
        <v>6</v>
      </c>
      <c r="N41" s="242">
        <v>8</v>
      </c>
      <c r="O41" s="242">
        <v>8</v>
      </c>
      <c r="P41" s="242">
        <v>7.5</v>
      </c>
      <c r="Q41" s="242">
        <v>7</v>
      </c>
      <c r="R41" s="242">
        <v>5</v>
      </c>
      <c r="S41" s="242">
        <v>7</v>
      </c>
      <c r="T41" s="242">
        <v>7</v>
      </c>
      <c r="U41" s="242">
        <v>6.5</v>
      </c>
      <c r="V41" s="243">
        <f t="shared" si="0"/>
        <v>7.25</v>
      </c>
      <c r="W41" s="242"/>
      <c r="X41" s="242"/>
      <c r="Y41" s="242"/>
      <c r="Z41" s="277"/>
      <c r="AA41" s="277"/>
      <c r="AB41" s="252"/>
      <c r="AC41" s="273"/>
      <c r="AD41" s="305" t="s">
        <v>173</v>
      </c>
      <c r="AE41" s="255"/>
      <c r="AF41" s="357">
        <f t="shared" si="1"/>
        <v>7.25</v>
      </c>
    </row>
    <row r="42" spans="1:32" s="256" customFormat="1" ht="15.75" customHeight="1" x14ac:dyDescent="0.2">
      <c r="A42" s="287">
        <v>35</v>
      </c>
      <c r="B42" s="245" t="s">
        <v>384</v>
      </c>
      <c r="C42" s="246">
        <v>2022</v>
      </c>
      <c r="D42" s="315" t="s">
        <v>1342</v>
      </c>
      <c r="E42" s="316" t="s">
        <v>632</v>
      </c>
      <c r="F42" s="242">
        <v>7</v>
      </c>
      <c r="G42" s="242">
        <v>6.5</v>
      </c>
      <c r="H42" s="242">
        <v>8</v>
      </c>
      <c r="I42" s="242">
        <v>7</v>
      </c>
      <c r="J42" s="242">
        <v>8</v>
      </c>
      <c r="K42" s="242">
        <v>8</v>
      </c>
      <c r="L42" s="242">
        <v>8</v>
      </c>
      <c r="M42" s="242">
        <v>8</v>
      </c>
      <c r="N42" s="242">
        <v>8</v>
      </c>
      <c r="O42" s="242">
        <v>8</v>
      </c>
      <c r="P42" s="242">
        <v>8</v>
      </c>
      <c r="Q42" s="242">
        <v>7.5</v>
      </c>
      <c r="R42" s="242">
        <v>7</v>
      </c>
      <c r="S42" s="242">
        <v>8</v>
      </c>
      <c r="T42" s="242">
        <v>8</v>
      </c>
      <c r="U42" s="242">
        <v>7.5</v>
      </c>
      <c r="V42" s="243">
        <f t="shared" si="0"/>
        <v>7.65625</v>
      </c>
      <c r="W42" s="242"/>
      <c r="X42" s="242"/>
      <c r="Y42" s="242"/>
      <c r="Z42" s="277"/>
      <c r="AA42" s="277"/>
      <c r="AB42" s="252"/>
      <c r="AC42" s="273"/>
      <c r="AD42" s="305" t="s">
        <v>18</v>
      </c>
      <c r="AE42" s="255"/>
      <c r="AF42" s="357">
        <f t="shared" si="1"/>
        <v>7.65625</v>
      </c>
    </row>
    <row r="43" spans="1:32" s="256" customFormat="1" ht="15.75" customHeight="1" x14ac:dyDescent="0.2">
      <c r="A43" s="287">
        <v>36</v>
      </c>
      <c r="B43" s="245" t="s">
        <v>385</v>
      </c>
      <c r="C43" s="246">
        <v>2022</v>
      </c>
      <c r="D43" s="315" t="s">
        <v>711</v>
      </c>
      <c r="E43" s="316" t="s">
        <v>266</v>
      </c>
      <c r="F43" s="242">
        <v>7.8</v>
      </c>
      <c r="G43" s="242">
        <v>8</v>
      </c>
      <c r="H43" s="242">
        <v>8</v>
      </c>
      <c r="I43" s="242">
        <v>8</v>
      </c>
      <c r="J43" s="242">
        <v>8</v>
      </c>
      <c r="K43" s="242">
        <v>7</v>
      </c>
      <c r="L43" s="242">
        <v>7</v>
      </c>
      <c r="M43" s="242">
        <v>7</v>
      </c>
      <c r="N43" s="242">
        <v>6.5</v>
      </c>
      <c r="O43" s="242">
        <v>8</v>
      </c>
      <c r="P43" s="242">
        <v>8</v>
      </c>
      <c r="Q43" s="242">
        <v>7.5</v>
      </c>
      <c r="R43" s="242">
        <v>7.5</v>
      </c>
      <c r="S43" s="242">
        <v>6.5</v>
      </c>
      <c r="T43" s="242">
        <v>7</v>
      </c>
      <c r="U43" s="242">
        <v>7.5</v>
      </c>
      <c r="V43" s="243">
        <f t="shared" si="0"/>
        <v>7.4562499999999998</v>
      </c>
      <c r="W43" s="242"/>
      <c r="X43" s="242"/>
      <c r="Y43" s="242"/>
      <c r="Z43" s="277"/>
      <c r="AA43" s="277"/>
      <c r="AB43" s="252"/>
      <c r="AC43" s="273"/>
      <c r="AD43" s="263" t="s">
        <v>18</v>
      </c>
      <c r="AE43" s="255"/>
      <c r="AF43" s="357">
        <f t="shared" si="1"/>
        <v>7.4562499999999998</v>
      </c>
    </row>
    <row r="44" spans="1:32" s="256" customFormat="1" ht="15.75" customHeight="1" x14ac:dyDescent="0.2">
      <c r="A44" s="287">
        <v>37</v>
      </c>
      <c r="B44" s="245" t="s">
        <v>386</v>
      </c>
      <c r="C44" s="246">
        <v>2022</v>
      </c>
      <c r="D44" s="315" t="s">
        <v>253</v>
      </c>
      <c r="E44" s="316" t="s">
        <v>1343</v>
      </c>
      <c r="F44" s="242">
        <v>8</v>
      </c>
      <c r="G44" s="242">
        <v>8</v>
      </c>
      <c r="H44" s="242">
        <v>8</v>
      </c>
      <c r="I44" s="242">
        <v>8</v>
      </c>
      <c r="J44" s="242">
        <v>8</v>
      </c>
      <c r="K44" s="242">
        <v>8</v>
      </c>
      <c r="L44" s="242">
        <v>8</v>
      </c>
      <c r="M44" s="242">
        <v>8</v>
      </c>
      <c r="N44" s="242">
        <v>8</v>
      </c>
      <c r="O44" s="242">
        <v>8</v>
      </c>
      <c r="P44" s="242">
        <v>8</v>
      </c>
      <c r="Q44" s="242">
        <v>8</v>
      </c>
      <c r="R44" s="242">
        <v>7.5</v>
      </c>
      <c r="S44" s="242">
        <v>8</v>
      </c>
      <c r="T44" s="242">
        <v>7</v>
      </c>
      <c r="U44" s="242">
        <v>7.5</v>
      </c>
      <c r="V44" s="243">
        <f t="shared" si="0"/>
        <v>7.875</v>
      </c>
      <c r="W44" s="242"/>
      <c r="X44" s="242"/>
      <c r="Y44" s="242"/>
      <c r="Z44" s="277"/>
      <c r="AA44" s="277"/>
      <c r="AB44" s="252"/>
      <c r="AC44" s="273"/>
      <c r="AD44" s="300" t="s">
        <v>186</v>
      </c>
      <c r="AE44" s="255"/>
      <c r="AF44" s="357">
        <f t="shared" si="1"/>
        <v>7.875</v>
      </c>
    </row>
    <row r="45" spans="1:32" s="256" customFormat="1" ht="15.75" customHeight="1" x14ac:dyDescent="0.2">
      <c r="A45" s="287">
        <v>38</v>
      </c>
      <c r="B45" s="245" t="s">
        <v>387</v>
      </c>
      <c r="C45" s="246">
        <v>2022</v>
      </c>
      <c r="D45" s="315" t="s">
        <v>1344</v>
      </c>
      <c r="E45" s="316" t="s">
        <v>229</v>
      </c>
      <c r="F45" s="242">
        <v>7.5</v>
      </c>
      <c r="G45" s="242">
        <v>8</v>
      </c>
      <c r="H45" s="242">
        <v>7</v>
      </c>
      <c r="I45" s="242">
        <v>7</v>
      </c>
      <c r="J45" s="242">
        <v>8</v>
      </c>
      <c r="K45" s="242">
        <v>8</v>
      </c>
      <c r="L45" s="242">
        <v>8</v>
      </c>
      <c r="M45" s="242">
        <v>8</v>
      </c>
      <c r="N45" s="242">
        <v>8</v>
      </c>
      <c r="O45" s="242">
        <v>6.5</v>
      </c>
      <c r="P45" s="242">
        <v>8</v>
      </c>
      <c r="Q45" s="242">
        <v>7.5</v>
      </c>
      <c r="R45" s="242">
        <v>7</v>
      </c>
      <c r="S45" s="242">
        <v>7</v>
      </c>
      <c r="T45" s="242">
        <v>7</v>
      </c>
      <c r="U45" s="242">
        <v>7.5</v>
      </c>
      <c r="V45" s="243">
        <f t="shared" si="0"/>
        <v>7.5</v>
      </c>
      <c r="W45" s="242"/>
      <c r="X45" s="242"/>
      <c r="Y45" s="242"/>
      <c r="Z45" s="277"/>
      <c r="AA45" s="277"/>
      <c r="AB45" s="252"/>
      <c r="AC45" s="273"/>
      <c r="AD45" s="300" t="s">
        <v>18</v>
      </c>
      <c r="AE45" s="255"/>
      <c r="AF45" s="357">
        <f t="shared" si="1"/>
        <v>7.5</v>
      </c>
    </row>
    <row r="46" spans="1:32" s="256" customFormat="1" ht="15.75" customHeight="1" x14ac:dyDescent="0.2">
      <c r="A46" s="287">
        <v>39</v>
      </c>
      <c r="B46" s="245" t="s">
        <v>388</v>
      </c>
      <c r="C46" s="246">
        <v>2022</v>
      </c>
      <c r="D46" s="315" t="s">
        <v>1345</v>
      </c>
      <c r="E46" s="316" t="s">
        <v>1346</v>
      </c>
      <c r="F46" s="242">
        <v>7</v>
      </c>
      <c r="G46" s="242">
        <v>6.5</v>
      </c>
      <c r="H46" s="242">
        <v>8</v>
      </c>
      <c r="I46" s="242">
        <v>7</v>
      </c>
      <c r="J46" s="242">
        <v>7</v>
      </c>
      <c r="K46" s="242">
        <v>8</v>
      </c>
      <c r="L46" s="242">
        <v>6</v>
      </c>
      <c r="M46" s="242">
        <v>7</v>
      </c>
      <c r="N46" s="242">
        <v>7</v>
      </c>
      <c r="O46" s="242">
        <v>7</v>
      </c>
      <c r="P46" s="242">
        <v>8</v>
      </c>
      <c r="Q46" s="242">
        <v>6.5</v>
      </c>
      <c r="R46" s="242">
        <v>7</v>
      </c>
      <c r="S46" s="242">
        <v>7</v>
      </c>
      <c r="T46" s="242">
        <v>7</v>
      </c>
      <c r="U46" s="242">
        <v>7</v>
      </c>
      <c r="V46" s="243">
        <f t="shared" si="0"/>
        <v>7.0625</v>
      </c>
      <c r="W46" s="242"/>
      <c r="X46" s="242"/>
      <c r="Y46" s="242"/>
      <c r="Z46" s="277"/>
      <c r="AA46" s="277"/>
      <c r="AB46" s="252"/>
      <c r="AC46" s="273"/>
      <c r="AD46" s="300" t="s">
        <v>186</v>
      </c>
      <c r="AE46" s="255"/>
      <c r="AF46" s="357">
        <f t="shared" si="1"/>
        <v>7.0625</v>
      </c>
    </row>
    <row r="47" spans="1:32" s="256" customFormat="1" ht="15.75" customHeight="1" x14ac:dyDescent="0.2">
      <c r="A47" s="287">
        <v>40</v>
      </c>
      <c r="B47" s="245" t="s">
        <v>389</v>
      </c>
      <c r="C47" s="246">
        <v>2022</v>
      </c>
      <c r="D47" s="315" t="s">
        <v>1347</v>
      </c>
      <c r="E47" s="316" t="s">
        <v>222</v>
      </c>
      <c r="F47" s="242">
        <v>7.5</v>
      </c>
      <c r="G47" s="242">
        <v>6.5</v>
      </c>
      <c r="H47" s="242">
        <v>7</v>
      </c>
      <c r="I47" s="242">
        <v>7</v>
      </c>
      <c r="J47" s="242">
        <v>7</v>
      </c>
      <c r="K47" s="242">
        <v>6.5</v>
      </c>
      <c r="L47" s="242">
        <v>7</v>
      </c>
      <c r="M47" s="242">
        <v>8</v>
      </c>
      <c r="N47" s="242">
        <v>8</v>
      </c>
      <c r="O47" s="242">
        <v>7.5</v>
      </c>
      <c r="P47" s="242">
        <v>7.5</v>
      </c>
      <c r="Q47" s="242">
        <v>7</v>
      </c>
      <c r="R47" s="242">
        <v>7.5</v>
      </c>
      <c r="S47" s="242">
        <v>7</v>
      </c>
      <c r="T47" s="242">
        <v>7.5</v>
      </c>
      <c r="U47" s="242">
        <v>7</v>
      </c>
      <c r="V47" s="243">
        <f t="shared" si="0"/>
        <v>7.21875</v>
      </c>
      <c r="W47" s="242"/>
      <c r="X47" s="242"/>
      <c r="Y47" s="242"/>
      <c r="Z47" s="277"/>
      <c r="AA47" s="277"/>
      <c r="AB47" s="252"/>
      <c r="AC47" s="273"/>
      <c r="AD47" s="300" t="s">
        <v>196</v>
      </c>
      <c r="AE47" s="255"/>
      <c r="AF47" s="357">
        <f t="shared" si="1"/>
        <v>7.21875</v>
      </c>
    </row>
    <row r="48" spans="1:32" s="256" customFormat="1" ht="15.75" customHeight="1" x14ac:dyDescent="0.2">
      <c r="A48" s="287">
        <v>41</v>
      </c>
      <c r="B48" s="245" t="s">
        <v>390</v>
      </c>
      <c r="C48" s="246">
        <v>2022</v>
      </c>
      <c r="D48" s="315" t="s">
        <v>1348</v>
      </c>
      <c r="E48" s="316" t="s">
        <v>546</v>
      </c>
      <c r="F48" s="242">
        <v>8</v>
      </c>
      <c r="G48" s="242">
        <v>8</v>
      </c>
      <c r="H48" s="242">
        <v>8</v>
      </c>
      <c r="I48" s="242">
        <v>8</v>
      </c>
      <c r="J48" s="242">
        <v>8</v>
      </c>
      <c r="K48" s="242">
        <v>8</v>
      </c>
      <c r="L48" s="242">
        <v>8</v>
      </c>
      <c r="M48" s="242">
        <v>8</v>
      </c>
      <c r="N48" s="242">
        <v>8</v>
      </c>
      <c r="O48" s="242">
        <v>8</v>
      </c>
      <c r="P48" s="242">
        <v>8</v>
      </c>
      <c r="Q48" s="242">
        <v>8.5</v>
      </c>
      <c r="R48" s="242">
        <v>8</v>
      </c>
      <c r="S48" s="242">
        <v>8</v>
      </c>
      <c r="T48" s="242">
        <v>8</v>
      </c>
      <c r="U48" s="242">
        <v>8</v>
      </c>
      <c r="V48" s="243">
        <f t="shared" si="0"/>
        <v>8.03125</v>
      </c>
      <c r="W48" s="242"/>
      <c r="X48" s="242"/>
      <c r="Y48" s="242"/>
      <c r="Z48" s="277"/>
      <c r="AA48" s="277"/>
      <c r="AB48" s="252"/>
      <c r="AC48" s="273"/>
      <c r="AD48" s="300" t="s">
        <v>18</v>
      </c>
      <c r="AE48" s="255"/>
      <c r="AF48" s="613">
        <f t="shared" si="1"/>
        <v>8.03125</v>
      </c>
    </row>
    <row r="49" spans="1:32" s="256" customFormat="1" ht="15.75" customHeight="1" x14ac:dyDescent="0.2">
      <c r="A49" s="287">
        <v>42</v>
      </c>
      <c r="B49" s="245" t="s">
        <v>391</v>
      </c>
      <c r="C49" s="246">
        <v>2022</v>
      </c>
      <c r="D49" s="315" t="s">
        <v>1349</v>
      </c>
      <c r="E49" s="316" t="s">
        <v>1350</v>
      </c>
      <c r="F49" s="242">
        <v>8</v>
      </c>
      <c r="G49" s="242">
        <v>7.5</v>
      </c>
      <c r="H49" s="242">
        <v>6.5</v>
      </c>
      <c r="I49" s="242">
        <v>7</v>
      </c>
      <c r="J49" s="242">
        <v>7</v>
      </c>
      <c r="K49" s="242">
        <v>6.5</v>
      </c>
      <c r="L49" s="242">
        <v>7</v>
      </c>
      <c r="M49" s="242">
        <v>7</v>
      </c>
      <c r="N49" s="242">
        <v>6.5</v>
      </c>
      <c r="O49" s="242">
        <v>6.5</v>
      </c>
      <c r="P49" s="242">
        <v>7</v>
      </c>
      <c r="Q49" s="242">
        <v>6.5</v>
      </c>
      <c r="R49" s="242">
        <v>7.5</v>
      </c>
      <c r="S49" s="242">
        <v>6.5</v>
      </c>
      <c r="T49" s="242">
        <v>6.5</v>
      </c>
      <c r="U49" s="242">
        <v>7</v>
      </c>
      <c r="V49" s="243">
        <f t="shared" si="0"/>
        <v>6.90625</v>
      </c>
      <c r="W49" s="242"/>
      <c r="X49" s="242"/>
      <c r="Y49" s="242"/>
      <c r="Z49" s="277"/>
      <c r="AA49" s="277"/>
      <c r="AB49" s="252"/>
      <c r="AC49" s="273"/>
      <c r="AD49" s="305" t="s">
        <v>186</v>
      </c>
      <c r="AE49" s="255"/>
      <c r="AF49" s="628">
        <f t="shared" si="1"/>
        <v>6.90625</v>
      </c>
    </row>
    <row r="50" spans="1:32" s="256" customFormat="1" ht="15.75" customHeight="1" x14ac:dyDescent="0.2">
      <c r="A50" s="287">
        <v>43</v>
      </c>
      <c r="B50" s="245" t="s">
        <v>392</v>
      </c>
      <c r="C50" s="246">
        <v>2022</v>
      </c>
      <c r="D50" s="315" t="s">
        <v>1351</v>
      </c>
      <c r="E50" s="316" t="s">
        <v>620</v>
      </c>
      <c r="F50" s="242">
        <v>7.4</v>
      </c>
      <c r="G50" s="242">
        <v>8</v>
      </c>
      <c r="H50" s="242">
        <v>7</v>
      </c>
      <c r="I50" s="242">
        <v>7</v>
      </c>
      <c r="J50" s="242">
        <v>7</v>
      </c>
      <c r="K50" s="242">
        <v>7</v>
      </c>
      <c r="L50" s="242">
        <v>8</v>
      </c>
      <c r="M50" s="242">
        <v>7</v>
      </c>
      <c r="N50" s="242">
        <v>7</v>
      </c>
      <c r="O50" s="242">
        <v>8</v>
      </c>
      <c r="P50" s="242">
        <v>8</v>
      </c>
      <c r="Q50" s="242">
        <v>7.5</v>
      </c>
      <c r="R50" s="242">
        <v>7</v>
      </c>
      <c r="S50" s="242">
        <v>7</v>
      </c>
      <c r="T50" s="242">
        <v>8</v>
      </c>
      <c r="U50" s="242">
        <v>7.5</v>
      </c>
      <c r="V50" s="243">
        <f t="shared" si="0"/>
        <v>7.4</v>
      </c>
      <c r="W50" s="242"/>
      <c r="X50" s="242"/>
      <c r="Y50" s="242"/>
      <c r="Z50" s="277"/>
      <c r="AA50" s="277"/>
      <c r="AB50" s="252"/>
      <c r="AC50" s="273"/>
      <c r="AD50" s="305" t="s">
        <v>214</v>
      </c>
      <c r="AE50" s="255"/>
      <c r="AF50" s="357">
        <f t="shared" si="1"/>
        <v>7.4</v>
      </c>
    </row>
    <row r="51" spans="1:32" s="256" customFormat="1" ht="15.75" customHeight="1" x14ac:dyDescent="0.2">
      <c r="A51" s="287">
        <v>44</v>
      </c>
      <c r="B51" s="245" t="s">
        <v>393</v>
      </c>
      <c r="C51" s="246">
        <v>2022</v>
      </c>
      <c r="D51" s="315" t="s">
        <v>652</v>
      </c>
      <c r="E51" s="316" t="s">
        <v>1352</v>
      </c>
      <c r="F51" s="242">
        <v>6.6</v>
      </c>
      <c r="G51" s="242">
        <v>7</v>
      </c>
      <c r="H51" s="242">
        <v>7</v>
      </c>
      <c r="I51" s="242">
        <v>7</v>
      </c>
      <c r="J51" s="242">
        <v>8</v>
      </c>
      <c r="K51" s="242">
        <v>8</v>
      </c>
      <c r="L51" s="242">
        <v>8</v>
      </c>
      <c r="M51" s="242">
        <v>8</v>
      </c>
      <c r="N51" s="242">
        <v>8</v>
      </c>
      <c r="O51" s="242">
        <v>7</v>
      </c>
      <c r="P51" s="242">
        <v>7</v>
      </c>
      <c r="Q51" s="242">
        <v>7</v>
      </c>
      <c r="R51" s="242">
        <v>7</v>
      </c>
      <c r="S51" s="242">
        <v>7.5</v>
      </c>
      <c r="T51" s="242">
        <v>7.5</v>
      </c>
      <c r="U51" s="242">
        <v>7</v>
      </c>
      <c r="V51" s="243">
        <f t="shared" si="0"/>
        <v>7.35</v>
      </c>
      <c r="W51" s="242"/>
      <c r="X51" s="242"/>
      <c r="Y51" s="242"/>
      <c r="Z51" s="277"/>
      <c r="AA51" s="277"/>
      <c r="AB51" s="252"/>
      <c r="AC51" s="273"/>
      <c r="AD51" s="305" t="s">
        <v>173</v>
      </c>
      <c r="AE51" s="255"/>
      <c r="AF51" s="357">
        <f t="shared" si="1"/>
        <v>7.35</v>
      </c>
    </row>
    <row r="52" spans="1:32" s="256" customFormat="1" ht="15.75" customHeight="1" x14ac:dyDescent="0.2">
      <c r="A52" s="287">
        <v>45</v>
      </c>
      <c r="B52" s="245" t="s">
        <v>394</v>
      </c>
      <c r="C52" s="246">
        <v>2022</v>
      </c>
      <c r="D52" s="315" t="s">
        <v>1353</v>
      </c>
      <c r="E52" s="316" t="s">
        <v>1354</v>
      </c>
      <c r="F52" s="242">
        <v>8.1999999999999993</v>
      </c>
      <c r="G52" s="242">
        <v>7</v>
      </c>
      <c r="H52" s="242">
        <v>7</v>
      </c>
      <c r="I52" s="242">
        <v>7</v>
      </c>
      <c r="J52" s="242">
        <v>8</v>
      </c>
      <c r="K52" s="242">
        <v>8</v>
      </c>
      <c r="L52" s="242">
        <v>8</v>
      </c>
      <c r="M52" s="242">
        <v>7.5</v>
      </c>
      <c r="N52" s="242">
        <v>8</v>
      </c>
      <c r="O52" s="242">
        <v>8</v>
      </c>
      <c r="P52" s="242">
        <v>8</v>
      </c>
      <c r="Q52" s="242">
        <v>8</v>
      </c>
      <c r="R52" s="242">
        <v>7</v>
      </c>
      <c r="S52" s="242">
        <v>7</v>
      </c>
      <c r="T52" s="242">
        <v>7</v>
      </c>
      <c r="U52" s="242">
        <v>7</v>
      </c>
      <c r="V52" s="243">
        <f t="shared" si="0"/>
        <v>7.5437500000000002</v>
      </c>
      <c r="W52" s="242"/>
      <c r="X52" s="242"/>
      <c r="Y52" s="242"/>
      <c r="Z52" s="277"/>
      <c r="AA52" s="277"/>
      <c r="AB52" s="252"/>
      <c r="AC52" s="273"/>
      <c r="AD52" s="305" t="s">
        <v>178</v>
      </c>
      <c r="AE52" s="255"/>
      <c r="AF52" s="357">
        <f t="shared" si="1"/>
        <v>7.5437500000000002</v>
      </c>
    </row>
    <row r="53" spans="1:32" s="256" customFormat="1" ht="15.75" customHeight="1" x14ac:dyDescent="0.2">
      <c r="A53" s="287">
        <v>46</v>
      </c>
      <c r="B53" s="245" t="s">
        <v>395</v>
      </c>
      <c r="C53" s="246">
        <v>2022</v>
      </c>
      <c r="D53" s="315" t="s">
        <v>1355</v>
      </c>
      <c r="E53" s="316" t="s">
        <v>949</v>
      </c>
      <c r="F53" s="242">
        <v>7.5</v>
      </c>
      <c r="G53" s="242">
        <v>8</v>
      </c>
      <c r="H53" s="242">
        <v>7.5</v>
      </c>
      <c r="I53" s="242">
        <v>8</v>
      </c>
      <c r="J53" s="242">
        <v>8</v>
      </c>
      <c r="K53" s="242">
        <v>8</v>
      </c>
      <c r="L53" s="242">
        <v>8</v>
      </c>
      <c r="M53" s="242">
        <v>6.5</v>
      </c>
      <c r="N53" s="242">
        <v>8</v>
      </c>
      <c r="O53" s="242">
        <v>7.5</v>
      </c>
      <c r="P53" s="242">
        <v>8</v>
      </c>
      <c r="Q53" s="242">
        <v>7.5</v>
      </c>
      <c r="R53" s="242">
        <v>6</v>
      </c>
      <c r="S53" s="242">
        <v>8</v>
      </c>
      <c r="T53" s="242">
        <v>7.5</v>
      </c>
      <c r="U53" s="242">
        <v>7</v>
      </c>
      <c r="V53" s="243">
        <f t="shared" si="0"/>
        <v>7.5625</v>
      </c>
      <c r="W53" s="242"/>
      <c r="X53" s="242"/>
      <c r="Y53" s="242"/>
      <c r="Z53" s="277"/>
      <c r="AA53" s="277"/>
      <c r="AB53" s="252"/>
      <c r="AC53" s="273"/>
      <c r="AD53" s="305" t="s">
        <v>219</v>
      </c>
      <c r="AE53" s="255"/>
      <c r="AF53" s="357">
        <f t="shared" si="1"/>
        <v>7.5625</v>
      </c>
    </row>
    <row r="54" spans="1:32" s="368" customFormat="1" ht="15.75" customHeight="1" thickBot="1" x14ac:dyDescent="0.3">
      <c r="A54" s="359"/>
      <c r="B54" s="360"/>
      <c r="C54" s="361"/>
      <c r="D54" s="362"/>
      <c r="E54" s="363"/>
      <c r="F54" s="363"/>
      <c r="G54" s="363"/>
      <c r="H54" s="363"/>
      <c r="I54" s="363"/>
      <c r="J54" s="363"/>
      <c r="K54" s="363"/>
      <c r="L54" s="363"/>
      <c r="M54" s="363"/>
      <c r="N54" s="363"/>
      <c r="O54" s="363"/>
      <c r="P54" s="363"/>
      <c r="Q54" s="363"/>
      <c r="R54" s="363"/>
      <c r="S54" s="363"/>
      <c r="T54" s="363"/>
      <c r="U54" s="363"/>
      <c r="V54" s="554"/>
      <c r="W54" s="365"/>
      <c r="X54" s="365"/>
      <c r="Y54" s="365"/>
      <c r="Z54" s="363"/>
      <c r="AA54" s="363"/>
      <c r="AB54" s="363"/>
      <c r="AC54" s="549"/>
      <c r="AD54" s="367"/>
    </row>
    <row r="55" spans="1:32" s="368" customFormat="1" ht="19.5" thickTop="1" x14ac:dyDescent="0.3">
      <c r="A55" s="369"/>
      <c r="B55" s="369"/>
      <c r="C55" s="369"/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369"/>
      <c r="R55" s="369"/>
      <c r="S55" s="369"/>
      <c r="T55" s="369"/>
      <c r="U55" s="369"/>
      <c r="V55" s="370"/>
      <c r="W55" s="371"/>
      <c r="X55" s="371"/>
      <c r="Y55" s="371"/>
      <c r="Z55" s="369"/>
      <c r="AA55" s="369"/>
      <c r="AB55" s="369"/>
      <c r="AC55" s="372"/>
      <c r="AD55" s="369"/>
    </row>
    <row r="56" spans="1:32" s="368" customFormat="1" x14ac:dyDescent="0.3">
      <c r="A56" s="369"/>
      <c r="B56" s="369"/>
      <c r="C56" s="369"/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69"/>
      <c r="S56" s="369"/>
      <c r="T56" s="369"/>
      <c r="U56" s="369"/>
      <c r="V56" s="1065"/>
      <c r="W56" s="1065"/>
      <c r="X56" s="1065"/>
      <c r="Y56" s="1065"/>
      <c r="Z56" s="1065"/>
      <c r="AA56" s="1065"/>
      <c r="AB56" s="1065"/>
      <c r="AC56" s="1065"/>
      <c r="AD56" s="1065"/>
    </row>
    <row r="57" spans="1:32" s="3" customFormat="1" x14ac:dyDescent="0.3">
      <c r="A57" s="236"/>
      <c r="B57" s="201"/>
      <c r="C57" s="201"/>
      <c r="D57" s="159"/>
      <c r="E57" s="20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1296"/>
      <c r="W57" s="1296"/>
      <c r="X57" s="1296"/>
      <c r="Y57" s="45"/>
      <c r="Z57" s="43"/>
      <c r="AA57" s="43"/>
      <c r="AB57" s="43"/>
      <c r="AC57" s="46"/>
      <c r="AD57" s="43"/>
      <c r="AE57" s="134"/>
    </row>
    <row r="58" spans="1:32" s="3" customFormat="1" x14ac:dyDescent="0.3">
      <c r="A58" s="236"/>
      <c r="B58" s="201"/>
      <c r="C58" s="201"/>
      <c r="D58" s="159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9"/>
      <c r="W58" s="49"/>
      <c r="X58" s="49"/>
      <c r="Y58" s="45"/>
      <c r="Z58" s="43"/>
      <c r="AA58" s="43"/>
      <c r="AB58" s="43"/>
      <c r="AC58" s="46"/>
      <c r="AD58" s="43"/>
      <c r="AE58" s="134"/>
    </row>
    <row r="59" spans="1:32" s="3" customFormat="1" x14ac:dyDescent="0.3">
      <c r="A59" s="236"/>
      <c r="B59" s="201"/>
      <c r="C59" s="201"/>
      <c r="D59" s="159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9"/>
      <c r="W59" s="49"/>
      <c r="X59" s="49"/>
      <c r="Y59" s="45"/>
      <c r="Z59" s="43"/>
      <c r="AA59" s="43"/>
      <c r="AB59" s="43"/>
      <c r="AC59" s="46"/>
      <c r="AD59" s="43"/>
      <c r="AE59" s="134"/>
    </row>
    <row r="60" spans="1:32" s="3" customFormat="1" x14ac:dyDescent="0.3">
      <c r="A60" s="236"/>
      <c r="B60" s="236"/>
      <c r="C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1294"/>
      <c r="W60" s="1294"/>
      <c r="X60" s="1294"/>
      <c r="Y60" s="45"/>
      <c r="Z60" s="43"/>
      <c r="AA60" s="43"/>
      <c r="AB60" s="43"/>
      <c r="AC60" s="46"/>
      <c r="AD60" s="43"/>
      <c r="AE60" s="134"/>
    </row>
    <row r="61" spans="1:32" s="3" customFormat="1" ht="18" x14ac:dyDescent="0.25">
      <c r="A61" s="236"/>
      <c r="B61" s="236"/>
      <c r="C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1234"/>
      <c r="W61" s="1234"/>
      <c r="X61" s="1234"/>
      <c r="Y61" s="1234"/>
      <c r="Z61" s="1234"/>
      <c r="AA61" s="1234"/>
      <c r="AB61" s="1234"/>
      <c r="AC61" s="1234"/>
      <c r="AD61" s="1234"/>
      <c r="AE61" s="134"/>
    </row>
    <row r="62" spans="1:32" x14ac:dyDescent="0.3">
      <c r="A62" s="236"/>
      <c r="B62" s="236"/>
      <c r="C62" s="236"/>
      <c r="D62" s="3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W62" s="20"/>
      <c r="X62" s="20"/>
      <c r="Y62" s="20"/>
      <c r="Z62" s="236"/>
      <c r="AA62" s="236"/>
      <c r="AB62" s="236"/>
      <c r="AC62" s="14"/>
      <c r="AD62" s="236"/>
    </row>
  </sheetData>
  <autoFilter ref="V6:AE53">
    <filterColumn colId="1" showButton="0"/>
    <filterColumn colId="2" showButton="0"/>
    <filterColumn colId="3" showButton="0"/>
  </autoFilter>
  <mergeCells count="18">
    <mergeCell ref="E2:AD2"/>
    <mergeCell ref="E3:AD3"/>
    <mergeCell ref="E4:AM4"/>
    <mergeCell ref="A6:A7"/>
    <mergeCell ref="B6:C7"/>
    <mergeCell ref="D6:D7"/>
    <mergeCell ref="E6:E7"/>
    <mergeCell ref="F6:T6"/>
    <mergeCell ref="V6:V7"/>
    <mergeCell ref="W6:Z6"/>
    <mergeCell ref="V60:X60"/>
    <mergeCell ref="V61:AD61"/>
    <mergeCell ref="AA6:AA7"/>
    <mergeCell ref="AB6:AB7"/>
    <mergeCell ref="AC6:AC7"/>
    <mergeCell ref="AD6:AD7"/>
    <mergeCell ref="V56:AD56"/>
    <mergeCell ref="V57:X57"/>
  </mergeCells>
  <printOptions horizontalCentered="1"/>
  <pageMargins left="0.82677165354330717" right="0.15748031496062992" top="0.27559055118110237" bottom="0.31496062992125984" header="0.23622047244094491" footer="0.27559055118110237"/>
  <pageSetup scale="98" orientation="landscape" r:id="rId1"/>
  <headerFooter alignWithMargins="0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2:AI65"/>
  <sheetViews>
    <sheetView topLeftCell="A36" zoomScale="110" zoomScaleNormal="110" workbookViewId="0">
      <selection activeCell="K17" sqref="K17"/>
    </sheetView>
  </sheetViews>
  <sheetFormatPr defaultRowHeight="18.75" x14ac:dyDescent="0.3"/>
  <cols>
    <col min="1" max="1" width="2.796875" style="1" customWidth="1"/>
    <col min="2" max="2" width="4.09765625" style="1" customWidth="1"/>
    <col min="3" max="3" width="4" style="1" customWidth="1"/>
    <col min="4" max="4" width="13.59765625" customWidth="1"/>
    <col min="5" max="5" width="8.3984375" style="1" customWidth="1"/>
    <col min="6" max="8" width="2.8984375" style="1" customWidth="1"/>
    <col min="9" max="9" width="2.8984375" style="237" customWidth="1"/>
    <col min="10" max="16" width="2.8984375" style="1" customWidth="1"/>
    <col min="17" max="17" width="5.19921875" style="25" customWidth="1"/>
    <col min="18" max="20" width="2.19921875" style="22" hidden="1" customWidth="1"/>
    <col min="21" max="22" width="3.3984375" style="1" hidden="1" customWidth="1"/>
    <col min="23" max="23" width="4.796875" style="1" customWidth="1"/>
    <col min="24" max="24" width="4.3984375" style="15" hidden="1" customWidth="1"/>
    <col min="25" max="25" width="26.3984375" style="1" customWidth="1"/>
    <col min="26" max="26" width="5.8984375" customWidth="1"/>
    <col min="27" max="27" width="10.19921875" customWidth="1"/>
  </cols>
  <sheetData>
    <row r="2" spans="1:35" s="6" customFormat="1" ht="17.25" x14ac:dyDescent="0.3">
      <c r="B2" s="8"/>
      <c r="C2" s="8"/>
      <c r="D2" s="8"/>
      <c r="E2" s="1199" t="s">
        <v>30</v>
      </c>
      <c r="F2" s="1199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9"/>
      <c r="W2" s="1199"/>
      <c r="X2" s="1199"/>
      <c r="Y2" s="1199"/>
    </row>
    <row r="3" spans="1:35" s="6" customFormat="1" ht="15.75" x14ac:dyDescent="0.25">
      <c r="B3" s="10"/>
      <c r="C3" s="10"/>
      <c r="D3" s="10"/>
      <c r="E3" s="1200" t="s">
        <v>474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0"/>
      <c r="R3" s="1200"/>
      <c r="S3" s="1200"/>
      <c r="T3" s="1200"/>
      <c r="U3" s="1200"/>
      <c r="V3" s="1200"/>
      <c r="W3" s="1200"/>
      <c r="X3" s="1200"/>
      <c r="Y3" s="1200"/>
    </row>
    <row r="4" spans="1:35" s="6" customFormat="1" ht="15.75" hidden="1" x14ac:dyDescent="0.25">
      <c r="B4" s="11"/>
      <c r="C4" s="11"/>
      <c r="D4" s="11"/>
      <c r="E4" s="1201" t="s">
        <v>28</v>
      </c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1"/>
      <c r="U4" s="1201"/>
      <c r="V4" s="1201"/>
      <c r="W4" s="1201"/>
      <c r="X4" s="1201"/>
      <c r="Y4" s="1201"/>
    </row>
    <row r="5" spans="1:35" s="6" customFormat="1" ht="15.75" customHeight="1" x14ac:dyDescent="0.25">
      <c r="B5" s="10"/>
      <c r="C5" s="10"/>
      <c r="D5" s="10"/>
      <c r="E5" s="1202" t="s">
        <v>475</v>
      </c>
      <c r="F5" s="1202"/>
      <c r="G5" s="1202"/>
      <c r="H5" s="1202"/>
      <c r="I5" s="1202"/>
      <c r="J5" s="1202"/>
      <c r="K5" s="1202"/>
      <c r="L5" s="1202"/>
      <c r="M5" s="1202"/>
      <c r="N5" s="1202"/>
      <c r="O5" s="1202"/>
      <c r="P5" s="1202"/>
      <c r="Q5" s="1202"/>
      <c r="R5" s="1202"/>
      <c r="S5" s="1202"/>
      <c r="T5" s="1202"/>
      <c r="U5" s="1202"/>
      <c r="V5" s="1202"/>
      <c r="W5" s="1202"/>
      <c r="X5" s="1202"/>
      <c r="Y5" s="1202"/>
      <c r="Z5" s="1202"/>
      <c r="AA5" s="1202"/>
      <c r="AB5" s="1202"/>
      <c r="AC5" s="1202"/>
      <c r="AD5" s="1202"/>
      <c r="AE5" s="1202"/>
      <c r="AF5" s="1202"/>
      <c r="AG5" s="1202"/>
      <c r="AH5" s="1202"/>
      <c r="AI5" s="1202"/>
    </row>
    <row r="6" spans="1:35" thickBot="1" x14ac:dyDescent="0.3">
      <c r="A6" s="2"/>
      <c r="B6" s="2"/>
      <c r="C6" s="2"/>
      <c r="D6" s="2"/>
      <c r="E6" s="47"/>
      <c r="F6" s="47"/>
      <c r="G6" s="47"/>
      <c r="H6" s="47"/>
      <c r="I6" s="239"/>
      <c r="J6" s="47"/>
      <c r="K6" s="47"/>
      <c r="L6" s="47"/>
      <c r="M6" s="47"/>
      <c r="N6" s="47"/>
      <c r="O6" s="47"/>
      <c r="P6" s="47"/>
      <c r="Q6" s="234"/>
      <c r="R6" s="19"/>
      <c r="S6" s="19"/>
      <c r="T6" s="19"/>
      <c r="U6" s="2"/>
      <c r="V6" s="2"/>
      <c r="W6" s="2"/>
      <c r="X6" s="2"/>
      <c r="Y6" s="2"/>
      <c r="Z6" s="112"/>
    </row>
    <row r="7" spans="1:35" s="351" customFormat="1" ht="23.25" customHeight="1" thickTop="1" x14ac:dyDescent="0.2">
      <c r="A7" s="1268" t="s">
        <v>91</v>
      </c>
      <c r="B7" s="1270" t="s">
        <v>106</v>
      </c>
      <c r="C7" s="1271"/>
      <c r="D7" s="1274" t="s">
        <v>92</v>
      </c>
      <c r="E7" s="1270" t="s">
        <v>93</v>
      </c>
      <c r="F7" s="1300" t="s">
        <v>132</v>
      </c>
      <c r="G7" s="1276"/>
      <c r="H7" s="1276"/>
      <c r="I7" s="1276"/>
      <c r="J7" s="1276"/>
      <c r="K7" s="1276"/>
      <c r="L7" s="1276"/>
      <c r="M7" s="1276"/>
      <c r="N7" s="1276"/>
      <c r="O7" s="1276"/>
      <c r="P7" s="1276"/>
      <c r="Q7" s="1277" t="s">
        <v>102</v>
      </c>
      <c r="R7" s="1261" t="s">
        <v>104</v>
      </c>
      <c r="S7" s="1262"/>
      <c r="T7" s="1262"/>
      <c r="U7" s="1263"/>
      <c r="V7" s="1264" t="s">
        <v>99</v>
      </c>
      <c r="W7" s="1264" t="s">
        <v>100</v>
      </c>
      <c r="X7" s="1050" t="s">
        <v>103</v>
      </c>
      <c r="Y7" s="1266" t="s">
        <v>90</v>
      </c>
      <c r="Z7" s="351">
        <v>11</v>
      </c>
    </row>
    <row r="8" spans="1:35" s="351" customFormat="1" ht="132" customHeight="1" x14ac:dyDescent="0.2">
      <c r="A8" s="1298"/>
      <c r="B8" s="1299"/>
      <c r="C8" s="1297"/>
      <c r="D8" s="1275"/>
      <c r="E8" s="1275"/>
      <c r="F8" s="462" t="s">
        <v>313</v>
      </c>
      <c r="G8" s="463" t="s">
        <v>330</v>
      </c>
      <c r="H8" s="462" t="s">
        <v>43</v>
      </c>
      <c r="I8" s="462" t="s">
        <v>107</v>
      </c>
      <c r="J8" s="462" t="s">
        <v>111</v>
      </c>
      <c r="K8" s="463" t="s">
        <v>323</v>
      </c>
      <c r="L8" s="463" t="s">
        <v>326</v>
      </c>
      <c r="M8" s="282" t="s">
        <v>96</v>
      </c>
      <c r="N8" s="352" t="s">
        <v>458</v>
      </c>
      <c r="O8" s="282" t="s">
        <v>113</v>
      </c>
      <c r="P8" s="283" t="s">
        <v>469</v>
      </c>
      <c r="Q8" s="1292"/>
      <c r="R8" s="323" t="s">
        <v>108</v>
      </c>
      <c r="S8" s="323" t="s">
        <v>97</v>
      </c>
      <c r="T8" s="323" t="s">
        <v>96</v>
      </c>
      <c r="U8" s="324" t="s">
        <v>98</v>
      </c>
      <c r="V8" s="1265"/>
      <c r="W8" s="1265"/>
      <c r="X8" s="1051"/>
      <c r="Y8" s="1267"/>
      <c r="Z8" s="557" t="s">
        <v>94</v>
      </c>
    </row>
    <row r="9" spans="1:35" s="256" customFormat="1" ht="16.5" customHeight="1" x14ac:dyDescent="0.2">
      <c r="A9" s="353">
        <v>1</v>
      </c>
      <c r="B9" s="245" t="s">
        <v>22</v>
      </c>
      <c r="C9" s="246">
        <v>2022</v>
      </c>
      <c r="D9" s="315" t="s">
        <v>1357</v>
      </c>
      <c r="E9" s="404" t="s">
        <v>1358</v>
      </c>
      <c r="F9" s="268">
        <v>7</v>
      </c>
      <c r="G9" s="268">
        <v>7.5</v>
      </c>
      <c r="H9" s="268">
        <v>6.5</v>
      </c>
      <c r="I9" s="268">
        <v>7</v>
      </c>
      <c r="J9" s="268">
        <v>8</v>
      </c>
      <c r="K9" s="268">
        <v>10</v>
      </c>
      <c r="L9" s="268">
        <v>7</v>
      </c>
      <c r="M9" s="268">
        <v>7</v>
      </c>
      <c r="N9" s="268">
        <v>7</v>
      </c>
      <c r="O9" s="268">
        <v>6</v>
      </c>
      <c r="P9" s="268">
        <v>6.5</v>
      </c>
      <c r="Q9" s="243">
        <f>SUM(F9:P9)/11</f>
        <v>7.2272727272727275</v>
      </c>
      <c r="R9" s="268"/>
      <c r="S9" s="268"/>
      <c r="T9" s="268"/>
      <c r="U9" s="243">
        <f>SUM(R9:T9)/3</f>
        <v>0</v>
      </c>
      <c r="V9" s="243">
        <f>SUM(Q9+U9)/2</f>
        <v>3.6136363636363638</v>
      </c>
      <c r="W9" s="257"/>
      <c r="X9" s="358"/>
      <c r="Y9" s="261" t="s">
        <v>193</v>
      </c>
      <c r="Z9" s="545"/>
      <c r="AA9" s="357">
        <f t="shared" ref="AA9:AA52" si="0">AVERAGE(F9:P9)</f>
        <v>7.2272727272727275</v>
      </c>
    </row>
    <row r="10" spans="1:35" s="256" customFormat="1" ht="16.5" customHeight="1" x14ac:dyDescent="0.2">
      <c r="A10" s="287">
        <v>2</v>
      </c>
      <c r="B10" s="245"/>
      <c r="C10" s="246">
        <v>2022</v>
      </c>
      <c r="D10" s="269" t="s">
        <v>1359</v>
      </c>
      <c r="E10" s="270" t="s">
        <v>1360</v>
      </c>
      <c r="F10" s="242">
        <v>6.5</v>
      </c>
      <c r="G10" s="242">
        <v>8.4</v>
      </c>
      <c r="H10" s="242">
        <v>7</v>
      </c>
      <c r="I10" s="242">
        <v>8</v>
      </c>
      <c r="J10" s="242">
        <v>7</v>
      </c>
      <c r="K10" s="242">
        <v>10</v>
      </c>
      <c r="L10" s="242">
        <v>8</v>
      </c>
      <c r="M10" s="242">
        <v>7</v>
      </c>
      <c r="N10" s="242">
        <v>6</v>
      </c>
      <c r="O10" s="242">
        <v>7</v>
      </c>
      <c r="P10" s="242">
        <v>7</v>
      </c>
      <c r="Q10" s="243">
        <f>SUM(F10:P10)/11</f>
        <v>7.4454545454545462</v>
      </c>
      <c r="R10" s="242"/>
      <c r="S10" s="242"/>
      <c r="T10" s="242"/>
      <c r="U10" s="277">
        <f t="shared" ref="U10:U46" si="1">SUM(R10:T10)/3</f>
        <v>0</v>
      </c>
      <c r="V10" s="277">
        <f t="shared" ref="V10:V46" si="2">SUM(Q10+U10)/2</f>
        <v>3.7227272727272731</v>
      </c>
      <c r="W10" s="252"/>
      <c r="X10" s="273"/>
      <c r="Y10" s="263" t="s">
        <v>141</v>
      </c>
      <c r="Z10" s="545"/>
      <c r="AA10" s="357">
        <f t="shared" si="0"/>
        <v>7.4454545454545462</v>
      </c>
    </row>
    <row r="11" spans="1:35" s="256" customFormat="1" ht="16.5" customHeight="1" x14ac:dyDescent="0.2">
      <c r="A11" s="287">
        <v>3</v>
      </c>
      <c r="B11" s="245"/>
      <c r="C11" s="246">
        <v>2022</v>
      </c>
      <c r="D11" s="269" t="s">
        <v>1361</v>
      </c>
      <c r="E11" s="270" t="s">
        <v>251</v>
      </c>
      <c r="F11" s="242">
        <v>8</v>
      </c>
      <c r="G11" s="242">
        <v>6.5</v>
      </c>
      <c r="H11" s="242">
        <v>7</v>
      </c>
      <c r="I11" s="242">
        <v>7</v>
      </c>
      <c r="J11" s="242">
        <v>6.5</v>
      </c>
      <c r="K11" s="242">
        <v>10</v>
      </c>
      <c r="L11" s="242">
        <v>8</v>
      </c>
      <c r="M11" s="242">
        <v>7</v>
      </c>
      <c r="N11" s="242">
        <v>7</v>
      </c>
      <c r="O11" s="242">
        <v>7</v>
      </c>
      <c r="P11" s="242">
        <v>6.5</v>
      </c>
      <c r="Q11" s="243">
        <f t="shared" ref="Q11:Q52" si="3">SUM(F11:P11)/11</f>
        <v>7.3181818181818183</v>
      </c>
      <c r="R11" s="242"/>
      <c r="S11" s="242"/>
      <c r="T11" s="242"/>
      <c r="U11" s="277">
        <f t="shared" si="1"/>
        <v>0</v>
      </c>
      <c r="V11" s="277">
        <f t="shared" si="2"/>
        <v>3.6590909090909092</v>
      </c>
      <c r="W11" s="252"/>
      <c r="X11" s="273"/>
      <c r="Y11" s="263" t="s">
        <v>141</v>
      </c>
      <c r="Z11" s="545"/>
      <c r="AA11" s="357">
        <f t="shared" si="0"/>
        <v>7.3181818181818183</v>
      </c>
    </row>
    <row r="12" spans="1:35" s="256" customFormat="1" ht="16.5" customHeight="1" x14ac:dyDescent="0.2">
      <c r="A12" s="287">
        <v>4</v>
      </c>
      <c r="B12" s="245"/>
      <c r="C12" s="246">
        <v>2022</v>
      </c>
      <c r="D12" s="269" t="s">
        <v>1362</v>
      </c>
      <c r="E12" s="270" t="s">
        <v>1363</v>
      </c>
      <c r="F12" s="242">
        <v>7</v>
      </c>
      <c r="G12" s="242">
        <v>7</v>
      </c>
      <c r="H12" s="242">
        <v>8</v>
      </c>
      <c r="I12" s="242">
        <v>7</v>
      </c>
      <c r="J12" s="242">
        <v>8</v>
      </c>
      <c r="K12" s="242">
        <v>8</v>
      </c>
      <c r="L12" s="242">
        <v>7</v>
      </c>
      <c r="M12" s="242">
        <v>7</v>
      </c>
      <c r="N12" s="242">
        <v>7</v>
      </c>
      <c r="O12" s="242">
        <v>7.5</v>
      </c>
      <c r="P12" s="242">
        <v>7</v>
      </c>
      <c r="Q12" s="243">
        <f t="shared" si="3"/>
        <v>7.3181818181818183</v>
      </c>
      <c r="R12" s="242"/>
      <c r="S12" s="242"/>
      <c r="T12" s="242"/>
      <c r="U12" s="277">
        <f t="shared" si="1"/>
        <v>0</v>
      </c>
      <c r="V12" s="277">
        <f t="shared" si="2"/>
        <v>3.6590909090909092</v>
      </c>
      <c r="W12" s="252"/>
      <c r="X12" s="273"/>
      <c r="Y12" s="263" t="s">
        <v>182</v>
      </c>
      <c r="Z12" s="545"/>
      <c r="AA12" s="357">
        <f t="shared" si="0"/>
        <v>7.3181818181818183</v>
      </c>
    </row>
    <row r="13" spans="1:35" s="256" customFormat="1" ht="16.5" customHeight="1" x14ac:dyDescent="0.2">
      <c r="A13" s="287">
        <v>5</v>
      </c>
      <c r="B13" s="245"/>
      <c r="C13" s="246">
        <v>2022</v>
      </c>
      <c r="D13" s="269" t="s">
        <v>1364</v>
      </c>
      <c r="E13" s="270" t="s">
        <v>781</v>
      </c>
      <c r="F13" s="242">
        <v>8</v>
      </c>
      <c r="G13" s="242">
        <v>7</v>
      </c>
      <c r="H13" s="242">
        <v>6</v>
      </c>
      <c r="I13" s="242">
        <v>7</v>
      </c>
      <c r="J13" s="242">
        <v>7</v>
      </c>
      <c r="K13" s="242">
        <v>10</v>
      </c>
      <c r="L13" s="242">
        <v>8</v>
      </c>
      <c r="M13" s="242">
        <v>7</v>
      </c>
      <c r="N13" s="242">
        <v>7</v>
      </c>
      <c r="O13" s="242">
        <v>7</v>
      </c>
      <c r="P13" s="242">
        <v>7</v>
      </c>
      <c r="Q13" s="243">
        <f t="shared" si="3"/>
        <v>7.3636363636363633</v>
      </c>
      <c r="R13" s="242"/>
      <c r="S13" s="242"/>
      <c r="T13" s="242"/>
      <c r="U13" s="277">
        <f t="shared" si="1"/>
        <v>0</v>
      </c>
      <c r="V13" s="277">
        <f t="shared" si="2"/>
        <v>3.6818181818181817</v>
      </c>
      <c r="W13" s="252"/>
      <c r="X13" s="273"/>
      <c r="Y13" s="263" t="s">
        <v>170</v>
      </c>
      <c r="Z13" s="545"/>
      <c r="AA13" s="357">
        <f t="shared" si="0"/>
        <v>7.3636363636363633</v>
      </c>
    </row>
    <row r="14" spans="1:35" s="256" customFormat="1" ht="16.5" customHeight="1" x14ac:dyDescent="0.2">
      <c r="A14" s="287">
        <v>6</v>
      </c>
      <c r="B14" s="245"/>
      <c r="C14" s="246">
        <v>2022</v>
      </c>
      <c r="D14" s="269" t="s">
        <v>1365</v>
      </c>
      <c r="E14" s="270" t="s">
        <v>1006</v>
      </c>
      <c r="F14" s="242">
        <v>8</v>
      </c>
      <c r="G14" s="242">
        <v>6.8</v>
      </c>
      <c r="H14" s="242">
        <v>6.5</v>
      </c>
      <c r="I14" s="242">
        <v>5.5</v>
      </c>
      <c r="J14" s="242">
        <v>6</v>
      </c>
      <c r="K14" s="242">
        <v>9</v>
      </c>
      <c r="L14" s="242">
        <v>7</v>
      </c>
      <c r="M14" s="242">
        <v>7</v>
      </c>
      <c r="N14" s="242">
        <v>7</v>
      </c>
      <c r="O14" s="242">
        <v>7</v>
      </c>
      <c r="P14" s="242">
        <v>7</v>
      </c>
      <c r="Q14" s="243">
        <f t="shared" si="3"/>
        <v>6.9818181818181815</v>
      </c>
      <c r="R14" s="242"/>
      <c r="S14" s="242"/>
      <c r="T14" s="242"/>
      <c r="U14" s="277">
        <f t="shared" si="1"/>
        <v>0</v>
      </c>
      <c r="V14" s="277">
        <f t="shared" si="2"/>
        <v>3.4909090909090907</v>
      </c>
      <c r="W14" s="252"/>
      <c r="X14" s="273"/>
      <c r="Y14" s="263" t="s">
        <v>203</v>
      </c>
      <c r="Z14" s="545"/>
      <c r="AA14" s="628">
        <f t="shared" si="0"/>
        <v>6.9818181818181815</v>
      </c>
    </row>
    <row r="15" spans="1:35" s="256" customFormat="1" ht="16.5" customHeight="1" x14ac:dyDescent="0.2">
      <c r="A15" s="287">
        <v>7</v>
      </c>
      <c r="B15" s="245"/>
      <c r="C15" s="246">
        <v>2022</v>
      </c>
      <c r="D15" s="269" t="s">
        <v>1366</v>
      </c>
      <c r="E15" s="270" t="s">
        <v>1367</v>
      </c>
      <c r="F15" s="242">
        <v>7</v>
      </c>
      <c r="G15" s="242">
        <v>7.5</v>
      </c>
      <c r="H15" s="242">
        <v>8</v>
      </c>
      <c r="I15" s="242">
        <v>5.5</v>
      </c>
      <c r="J15" s="242">
        <v>7</v>
      </c>
      <c r="K15" s="242">
        <v>10</v>
      </c>
      <c r="L15" s="242">
        <v>7</v>
      </c>
      <c r="M15" s="242">
        <v>7.5</v>
      </c>
      <c r="N15" s="242">
        <v>6</v>
      </c>
      <c r="O15" s="242">
        <v>6</v>
      </c>
      <c r="P15" s="242">
        <v>7</v>
      </c>
      <c r="Q15" s="243">
        <f t="shared" si="3"/>
        <v>7.1363636363636367</v>
      </c>
      <c r="R15" s="242"/>
      <c r="S15" s="242"/>
      <c r="T15" s="242"/>
      <c r="U15" s="277">
        <f t="shared" si="1"/>
        <v>0</v>
      </c>
      <c r="V15" s="277">
        <f t="shared" si="2"/>
        <v>3.5681818181818183</v>
      </c>
      <c r="W15" s="252"/>
      <c r="X15" s="273"/>
      <c r="Y15" s="263" t="s">
        <v>206</v>
      </c>
      <c r="Z15" s="545"/>
      <c r="AA15" s="357">
        <f t="shared" si="0"/>
        <v>7.1363636363636367</v>
      </c>
    </row>
    <row r="16" spans="1:35" s="256" customFormat="1" ht="16.5" customHeight="1" x14ac:dyDescent="0.2">
      <c r="A16" s="287">
        <v>8</v>
      </c>
      <c r="B16" s="245"/>
      <c r="C16" s="246">
        <v>2022</v>
      </c>
      <c r="D16" s="269" t="s">
        <v>157</v>
      </c>
      <c r="E16" s="270" t="s">
        <v>960</v>
      </c>
      <c r="F16" s="242">
        <v>8</v>
      </c>
      <c r="G16" s="242">
        <v>7.5</v>
      </c>
      <c r="H16" s="242">
        <v>7.5</v>
      </c>
      <c r="I16" s="242">
        <v>7</v>
      </c>
      <c r="J16" s="242">
        <v>8</v>
      </c>
      <c r="K16" s="242">
        <v>8</v>
      </c>
      <c r="L16" s="242">
        <v>6.5</v>
      </c>
      <c r="M16" s="242">
        <v>7.5</v>
      </c>
      <c r="N16" s="242">
        <v>7.5</v>
      </c>
      <c r="O16" s="242">
        <v>7</v>
      </c>
      <c r="P16" s="242">
        <v>7</v>
      </c>
      <c r="Q16" s="243">
        <f t="shared" si="3"/>
        <v>7.4090909090909092</v>
      </c>
      <c r="R16" s="242"/>
      <c r="S16" s="242"/>
      <c r="T16" s="242"/>
      <c r="U16" s="277">
        <f t="shared" si="1"/>
        <v>0</v>
      </c>
      <c r="V16" s="277">
        <f t="shared" si="2"/>
        <v>3.7045454545454546</v>
      </c>
      <c r="W16" s="252"/>
      <c r="X16" s="273"/>
      <c r="Y16" s="263" t="s">
        <v>193</v>
      </c>
      <c r="Z16" s="545"/>
      <c r="AA16" s="357">
        <f t="shared" si="0"/>
        <v>7.4090909090909092</v>
      </c>
    </row>
    <row r="17" spans="1:27" s="256" customFormat="1" ht="16.5" customHeight="1" x14ac:dyDescent="0.2">
      <c r="A17" s="287">
        <v>9</v>
      </c>
      <c r="B17" s="245"/>
      <c r="C17" s="246">
        <v>2022</v>
      </c>
      <c r="D17" s="269" t="s">
        <v>1368</v>
      </c>
      <c r="E17" s="270" t="s">
        <v>1369</v>
      </c>
      <c r="F17" s="242">
        <v>6.5</v>
      </c>
      <c r="G17" s="242">
        <v>7.5</v>
      </c>
      <c r="H17" s="242">
        <v>6.5</v>
      </c>
      <c r="I17" s="242">
        <v>5.5</v>
      </c>
      <c r="J17" s="242">
        <v>6</v>
      </c>
      <c r="K17" s="242">
        <v>10</v>
      </c>
      <c r="L17" s="242">
        <v>6.5</v>
      </c>
      <c r="M17" s="242">
        <v>7</v>
      </c>
      <c r="N17" s="242">
        <v>7</v>
      </c>
      <c r="O17" s="242">
        <v>7</v>
      </c>
      <c r="P17" s="242">
        <v>7</v>
      </c>
      <c r="Q17" s="243">
        <f t="shared" si="3"/>
        <v>6.9545454545454541</v>
      </c>
      <c r="R17" s="242"/>
      <c r="S17" s="242"/>
      <c r="T17" s="242"/>
      <c r="U17" s="277">
        <f t="shared" si="1"/>
        <v>0</v>
      </c>
      <c r="V17" s="277">
        <f t="shared" si="2"/>
        <v>3.4772727272727271</v>
      </c>
      <c r="W17" s="252"/>
      <c r="X17" s="273"/>
      <c r="Y17" s="263" t="s">
        <v>141</v>
      </c>
      <c r="Z17" s="545"/>
      <c r="AA17" s="628">
        <f t="shared" si="0"/>
        <v>6.9545454545454541</v>
      </c>
    </row>
    <row r="18" spans="1:27" s="256" customFormat="1" ht="16.5" customHeight="1" x14ac:dyDescent="0.2">
      <c r="A18" s="287">
        <v>10</v>
      </c>
      <c r="B18" s="245"/>
      <c r="C18" s="246">
        <v>2022</v>
      </c>
      <c r="D18" s="269" t="s">
        <v>1793</v>
      </c>
      <c r="E18" s="270"/>
      <c r="F18" s="458">
        <v>7</v>
      </c>
      <c r="G18" s="242">
        <v>7</v>
      </c>
      <c r="H18" s="242">
        <v>7</v>
      </c>
      <c r="I18" s="242">
        <v>7</v>
      </c>
      <c r="J18" s="242">
        <v>7.5</v>
      </c>
      <c r="K18" s="242">
        <v>9</v>
      </c>
      <c r="L18" s="242">
        <v>7.5</v>
      </c>
      <c r="M18" s="242">
        <v>7</v>
      </c>
      <c r="N18" s="242">
        <v>6</v>
      </c>
      <c r="O18" s="242">
        <v>6</v>
      </c>
      <c r="P18" s="242">
        <v>7</v>
      </c>
      <c r="Q18" s="243">
        <f t="shared" ref="Q18" si="4">SUM(F18:P18)/11</f>
        <v>7.0909090909090908</v>
      </c>
      <c r="R18" s="242"/>
      <c r="S18" s="242"/>
      <c r="T18" s="242"/>
      <c r="U18" s="277">
        <f t="shared" ref="U18" si="5">SUM(R18:T18)/3</f>
        <v>0</v>
      </c>
      <c r="V18" s="277">
        <f t="shared" si="2"/>
        <v>3.5454545454545454</v>
      </c>
      <c r="W18" s="252"/>
      <c r="X18" s="273"/>
      <c r="Y18" s="263"/>
      <c r="Z18" s="545"/>
      <c r="AA18" s="357">
        <f t="shared" si="0"/>
        <v>7.0909090909090908</v>
      </c>
    </row>
    <row r="19" spans="1:27" s="256" customFormat="1" ht="16.5" customHeight="1" x14ac:dyDescent="0.2">
      <c r="A19" s="287">
        <v>11</v>
      </c>
      <c r="B19" s="245"/>
      <c r="C19" s="246">
        <v>2022</v>
      </c>
      <c r="D19" s="269" t="s">
        <v>1370</v>
      </c>
      <c r="E19" s="270" t="s">
        <v>607</v>
      </c>
      <c r="F19" s="242">
        <v>6.5</v>
      </c>
      <c r="G19" s="242">
        <v>7</v>
      </c>
      <c r="H19" s="242">
        <v>7</v>
      </c>
      <c r="I19" s="242">
        <v>7</v>
      </c>
      <c r="J19" s="242">
        <v>8</v>
      </c>
      <c r="K19" s="242">
        <v>9</v>
      </c>
      <c r="L19" s="242">
        <v>7</v>
      </c>
      <c r="M19" s="242">
        <v>7.5</v>
      </c>
      <c r="N19" s="242">
        <v>6</v>
      </c>
      <c r="O19" s="242">
        <v>6</v>
      </c>
      <c r="P19" s="242">
        <v>7.5</v>
      </c>
      <c r="Q19" s="243">
        <f t="shared" si="3"/>
        <v>7.1363636363636367</v>
      </c>
      <c r="R19" s="242"/>
      <c r="S19" s="242"/>
      <c r="T19" s="242"/>
      <c r="U19" s="277">
        <f t="shared" si="1"/>
        <v>0</v>
      </c>
      <c r="V19" s="277">
        <f t="shared" si="2"/>
        <v>3.5681818181818183</v>
      </c>
      <c r="W19" s="252"/>
      <c r="X19" s="273"/>
      <c r="Y19" s="263" t="s">
        <v>141</v>
      </c>
      <c r="Z19" s="545"/>
      <c r="AA19" s="357">
        <f t="shared" si="0"/>
        <v>7.1363636363636367</v>
      </c>
    </row>
    <row r="20" spans="1:27" s="256" customFormat="1" ht="16.5" customHeight="1" x14ac:dyDescent="0.2">
      <c r="A20" s="287">
        <v>12</v>
      </c>
      <c r="B20" s="245"/>
      <c r="C20" s="246">
        <v>2022</v>
      </c>
      <c r="D20" s="269" t="s">
        <v>1371</v>
      </c>
      <c r="E20" s="270" t="s">
        <v>534</v>
      </c>
      <c r="F20" s="242">
        <v>6.5</v>
      </c>
      <c r="G20" s="242">
        <v>7</v>
      </c>
      <c r="H20" s="242">
        <v>8</v>
      </c>
      <c r="I20" s="242">
        <v>7</v>
      </c>
      <c r="J20" s="242">
        <v>7.5</v>
      </c>
      <c r="K20" s="242">
        <v>8</v>
      </c>
      <c r="L20" s="242">
        <v>7</v>
      </c>
      <c r="M20" s="242">
        <v>6.5</v>
      </c>
      <c r="N20" s="242">
        <v>6</v>
      </c>
      <c r="O20" s="242">
        <v>7</v>
      </c>
      <c r="P20" s="242">
        <v>7</v>
      </c>
      <c r="Q20" s="243">
        <f t="shared" si="3"/>
        <v>7.0454545454545459</v>
      </c>
      <c r="R20" s="242"/>
      <c r="S20" s="242"/>
      <c r="T20" s="242"/>
      <c r="U20" s="277">
        <f t="shared" si="1"/>
        <v>0</v>
      </c>
      <c r="V20" s="277">
        <f t="shared" si="2"/>
        <v>3.5227272727272729</v>
      </c>
      <c r="W20" s="252"/>
      <c r="X20" s="273"/>
      <c r="Y20" s="263" t="s">
        <v>181</v>
      </c>
      <c r="Z20" s="545"/>
      <c r="AA20" s="357">
        <f t="shared" si="0"/>
        <v>7.0454545454545459</v>
      </c>
    </row>
    <row r="21" spans="1:27" s="256" customFormat="1" ht="16.5" customHeight="1" x14ac:dyDescent="0.2">
      <c r="A21" s="287">
        <v>13</v>
      </c>
      <c r="B21" s="245"/>
      <c r="C21" s="246">
        <v>2022</v>
      </c>
      <c r="D21" s="269" t="s">
        <v>1372</v>
      </c>
      <c r="E21" s="270" t="s">
        <v>748</v>
      </c>
      <c r="F21" s="242">
        <v>7</v>
      </c>
      <c r="G21" s="242">
        <v>6.6</v>
      </c>
      <c r="H21" s="242">
        <v>7.5</v>
      </c>
      <c r="I21" s="242">
        <v>5.5</v>
      </c>
      <c r="J21" s="242">
        <v>8</v>
      </c>
      <c r="K21" s="242">
        <v>9</v>
      </c>
      <c r="L21" s="242">
        <v>8</v>
      </c>
      <c r="M21" s="242">
        <v>7.5</v>
      </c>
      <c r="N21" s="242">
        <v>6.5</v>
      </c>
      <c r="O21" s="242">
        <v>8</v>
      </c>
      <c r="P21" s="242">
        <v>7</v>
      </c>
      <c r="Q21" s="243">
        <f t="shared" si="3"/>
        <v>7.3272727272727272</v>
      </c>
      <c r="R21" s="242"/>
      <c r="S21" s="242"/>
      <c r="T21" s="242"/>
      <c r="U21" s="277">
        <f t="shared" si="1"/>
        <v>0</v>
      </c>
      <c r="V21" s="277">
        <f t="shared" si="2"/>
        <v>3.6636363636363636</v>
      </c>
      <c r="W21" s="252"/>
      <c r="X21" s="273"/>
      <c r="Y21" s="263" t="s">
        <v>190</v>
      </c>
      <c r="Z21" s="545"/>
      <c r="AA21" s="357">
        <f t="shared" si="0"/>
        <v>7.3272727272727272</v>
      </c>
    </row>
    <row r="22" spans="1:27" s="256" customFormat="1" ht="16.5" customHeight="1" x14ac:dyDescent="0.2">
      <c r="A22" s="287">
        <v>14</v>
      </c>
      <c r="B22" s="245"/>
      <c r="C22" s="246">
        <v>2022</v>
      </c>
      <c r="D22" s="269" t="s">
        <v>158</v>
      </c>
      <c r="E22" s="270" t="s">
        <v>1373</v>
      </c>
      <c r="F22" s="242">
        <v>8</v>
      </c>
      <c r="G22" s="242">
        <v>7.4</v>
      </c>
      <c r="H22" s="242">
        <v>8</v>
      </c>
      <c r="I22" s="242">
        <v>7</v>
      </c>
      <c r="J22" s="242">
        <v>7</v>
      </c>
      <c r="K22" s="242">
        <v>9</v>
      </c>
      <c r="L22" s="242">
        <v>8</v>
      </c>
      <c r="M22" s="242">
        <v>7.5</v>
      </c>
      <c r="N22" s="242">
        <v>6.5</v>
      </c>
      <c r="O22" s="242">
        <v>7.5</v>
      </c>
      <c r="P22" s="242">
        <v>7</v>
      </c>
      <c r="Q22" s="243">
        <f t="shared" si="3"/>
        <v>7.536363636363637</v>
      </c>
      <c r="R22" s="242"/>
      <c r="S22" s="242"/>
      <c r="T22" s="242"/>
      <c r="U22" s="277">
        <f t="shared" si="1"/>
        <v>0</v>
      </c>
      <c r="V22" s="277">
        <f t="shared" si="2"/>
        <v>3.7681818181818185</v>
      </c>
      <c r="W22" s="252"/>
      <c r="X22" s="273"/>
      <c r="Y22" s="263" t="s">
        <v>200</v>
      </c>
      <c r="Z22" s="545"/>
      <c r="AA22" s="357">
        <f t="shared" si="0"/>
        <v>7.536363636363637</v>
      </c>
    </row>
    <row r="23" spans="1:27" s="256" customFormat="1" ht="16.5" customHeight="1" x14ac:dyDescent="0.2">
      <c r="A23" s="287">
        <v>15</v>
      </c>
      <c r="B23" s="245"/>
      <c r="C23" s="246">
        <v>2022</v>
      </c>
      <c r="D23" s="269" t="s">
        <v>1374</v>
      </c>
      <c r="E23" s="270" t="s">
        <v>1375</v>
      </c>
      <c r="F23" s="242">
        <v>8</v>
      </c>
      <c r="G23" s="242">
        <v>7.2</v>
      </c>
      <c r="H23" s="242">
        <v>8</v>
      </c>
      <c r="I23" s="242">
        <v>8</v>
      </c>
      <c r="J23" s="242">
        <v>7</v>
      </c>
      <c r="K23" s="242">
        <v>9</v>
      </c>
      <c r="L23" s="242">
        <v>7</v>
      </c>
      <c r="M23" s="242">
        <v>7</v>
      </c>
      <c r="N23" s="242">
        <v>7</v>
      </c>
      <c r="O23" s="242">
        <v>7</v>
      </c>
      <c r="P23" s="242">
        <v>7</v>
      </c>
      <c r="Q23" s="243">
        <f t="shared" si="3"/>
        <v>7.4727272727272727</v>
      </c>
      <c r="R23" s="242"/>
      <c r="S23" s="242"/>
      <c r="T23" s="242"/>
      <c r="U23" s="277">
        <f t="shared" si="1"/>
        <v>0</v>
      </c>
      <c r="V23" s="277">
        <f t="shared" si="2"/>
        <v>3.7363636363636363</v>
      </c>
      <c r="W23" s="252"/>
      <c r="X23" s="273"/>
      <c r="Y23" s="263" t="s">
        <v>667</v>
      </c>
      <c r="Z23" s="545"/>
      <c r="AA23" s="357">
        <f t="shared" si="0"/>
        <v>7.4727272727272727</v>
      </c>
    </row>
    <row r="24" spans="1:27" s="256" customFormat="1" ht="16.5" customHeight="1" x14ac:dyDescent="0.2">
      <c r="A24" s="287">
        <v>16</v>
      </c>
      <c r="B24" s="245"/>
      <c r="C24" s="246">
        <v>2022</v>
      </c>
      <c r="D24" s="269" t="s">
        <v>1376</v>
      </c>
      <c r="E24" s="270" t="s">
        <v>1024</v>
      </c>
      <c r="F24" s="242">
        <v>8</v>
      </c>
      <c r="G24" s="242">
        <v>8.5</v>
      </c>
      <c r="H24" s="242">
        <v>8</v>
      </c>
      <c r="I24" s="242">
        <v>8</v>
      </c>
      <c r="J24" s="242">
        <v>8</v>
      </c>
      <c r="K24" s="242">
        <v>10</v>
      </c>
      <c r="L24" s="242">
        <v>8</v>
      </c>
      <c r="M24" s="242">
        <v>8</v>
      </c>
      <c r="N24" s="242">
        <v>7</v>
      </c>
      <c r="O24" s="242">
        <v>6</v>
      </c>
      <c r="P24" s="242">
        <v>8</v>
      </c>
      <c r="Q24" s="243">
        <f t="shared" si="3"/>
        <v>7.9545454545454541</v>
      </c>
      <c r="R24" s="242"/>
      <c r="S24" s="242"/>
      <c r="T24" s="242"/>
      <c r="U24" s="277">
        <f t="shared" si="1"/>
        <v>0</v>
      </c>
      <c r="V24" s="277">
        <f t="shared" si="2"/>
        <v>3.9772727272727271</v>
      </c>
      <c r="W24" s="252"/>
      <c r="X24" s="273"/>
      <c r="Y24" s="263" t="s">
        <v>216</v>
      </c>
      <c r="Z24" s="545"/>
      <c r="AA24" s="357">
        <f t="shared" si="0"/>
        <v>7.9545454545454541</v>
      </c>
    </row>
    <row r="25" spans="1:27" s="256" customFormat="1" ht="16.5" customHeight="1" x14ac:dyDescent="0.2">
      <c r="A25" s="287">
        <v>17</v>
      </c>
      <c r="B25" s="245"/>
      <c r="C25" s="246">
        <v>2022</v>
      </c>
      <c r="D25" s="269" t="s">
        <v>1377</v>
      </c>
      <c r="E25" s="270" t="s">
        <v>1378</v>
      </c>
      <c r="F25" s="242">
        <v>8</v>
      </c>
      <c r="G25" s="242">
        <v>8.5</v>
      </c>
      <c r="H25" s="242">
        <v>8</v>
      </c>
      <c r="I25" s="242">
        <v>8</v>
      </c>
      <c r="J25" s="242">
        <v>8</v>
      </c>
      <c r="K25" s="242">
        <v>9</v>
      </c>
      <c r="L25" s="242">
        <v>8</v>
      </c>
      <c r="M25" s="242">
        <v>8</v>
      </c>
      <c r="N25" s="242">
        <v>8</v>
      </c>
      <c r="O25" s="242">
        <v>8</v>
      </c>
      <c r="P25" s="242">
        <v>7.5</v>
      </c>
      <c r="Q25" s="243">
        <f t="shared" si="3"/>
        <v>8.0909090909090917</v>
      </c>
      <c r="R25" s="242"/>
      <c r="S25" s="242"/>
      <c r="T25" s="242"/>
      <c r="U25" s="277">
        <f t="shared" si="1"/>
        <v>0</v>
      </c>
      <c r="V25" s="277">
        <f t="shared" si="2"/>
        <v>4.0454545454545459</v>
      </c>
      <c r="W25" s="252"/>
      <c r="X25" s="273"/>
      <c r="Y25" s="263" t="s">
        <v>203</v>
      </c>
      <c r="Z25" s="545"/>
      <c r="AA25" s="613">
        <f t="shared" si="0"/>
        <v>8.0909090909090917</v>
      </c>
    </row>
    <row r="26" spans="1:27" s="256" customFormat="1" ht="16.5" customHeight="1" x14ac:dyDescent="0.2">
      <c r="A26" s="287">
        <v>18</v>
      </c>
      <c r="B26" s="245"/>
      <c r="C26" s="246">
        <v>2022</v>
      </c>
      <c r="D26" s="269" t="s">
        <v>1379</v>
      </c>
      <c r="E26" s="270" t="s">
        <v>718</v>
      </c>
      <c r="F26" s="242">
        <v>8</v>
      </c>
      <c r="G26" s="242">
        <v>8.6</v>
      </c>
      <c r="H26" s="242">
        <v>8</v>
      </c>
      <c r="I26" s="242">
        <v>7</v>
      </c>
      <c r="J26" s="242">
        <v>8</v>
      </c>
      <c r="K26" s="242">
        <v>9</v>
      </c>
      <c r="L26" s="242">
        <v>8</v>
      </c>
      <c r="M26" s="242">
        <v>8</v>
      </c>
      <c r="N26" s="242">
        <v>7.5</v>
      </c>
      <c r="O26" s="242">
        <v>7</v>
      </c>
      <c r="P26" s="242">
        <v>7.5</v>
      </c>
      <c r="Q26" s="243">
        <f t="shared" si="3"/>
        <v>7.8727272727272721</v>
      </c>
      <c r="R26" s="242"/>
      <c r="S26" s="242"/>
      <c r="T26" s="242"/>
      <c r="U26" s="277">
        <f t="shared" si="1"/>
        <v>0</v>
      </c>
      <c r="V26" s="277">
        <f t="shared" si="2"/>
        <v>3.9363636363636361</v>
      </c>
      <c r="W26" s="252"/>
      <c r="X26" s="273"/>
      <c r="Y26" s="263" t="s">
        <v>206</v>
      </c>
      <c r="Z26" s="545"/>
      <c r="AA26" s="357">
        <f t="shared" si="0"/>
        <v>7.8727272727272721</v>
      </c>
    </row>
    <row r="27" spans="1:27" s="256" customFormat="1" ht="16.5" customHeight="1" x14ac:dyDescent="0.2">
      <c r="A27" s="287">
        <v>19</v>
      </c>
      <c r="B27" s="245"/>
      <c r="C27" s="246">
        <v>2022</v>
      </c>
      <c r="D27" s="269" t="s">
        <v>161</v>
      </c>
      <c r="E27" s="270" t="s">
        <v>1380</v>
      </c>
      <c r="F27" s="458">
        <v>7.5</v>
      </c>
      <c r="G27" s="242">
        <v>7</v>
      </c>
      <c r="H27" s="242">
        <v>8</v>
      </c>
      <c r="I27" s="242">
        <v>8</v>
      </c>
      <c r="J27" s="242">
        <v>6</v>
      </c>
      <c r="K27" s="242">
        <v>8</v>
      </c>
      <c r="L27" s="242">
        <v>7</v>
      </c>
      <c r="M27" s="242">
        <v>7</v>
      </c>
      <c r="N27" s="242">
        <v>7</v>
      </c>
      <c r="O27" s="242">
        <v>7</v>
      </c>
      <c r="P27" s="242">
        <v>7</v>
      </c>
      <c r="Q27" s="243">
        <f t="shared" si="3"/>
        <v>7.2272727272727275</v>
      </c>
      <c r="R27" s="242"/>
      <c r="S27" s="242"/>
      <c r="T27" s="242"/>
      <c r="U27" s="277">
        <f t="shared" si="1"/>
        <v>0</v>
      </c>
      <c r="V27" s="277">
        <f t="shared" si="2"/>
        <v>3.6136363636363638</v>
      </c>
      <c r="W27" s="252"/>
      <c r="X27" s="273"/>
      <c r="Y27" s="263" t="s">
        <v>190</v>
      </c>
      <c r="Z27" s="545"/>
      <c r="AA27" s="357">
        <f t="shared" si="0"/>
        <v>7.2272727272727275</v>
      </c>
    </row>
    <row r="28" spans="1:27" s="256" customFormat="1" ht="16.5" customHeight="1" x14ac:dyDescent="0.2">
      <c r="A28" s="287">
        <v>20</v>
      </c>
      <c r="B28" s="245"/>
      <c r="C28" s="246">
        <v>2022</v>
      </c>
      <c r="D28" s="269" t="s">
        <v>1381</v>
      </c>
      <c r="E28" s="270" t="s">
        <v>1382</v>
      </c>
      <c r="F28" s="242">
        <v>7</v>
      </c>
      <c r="G28" s="242">
        <v>7</v>
      </c>
      <c r="H28" s="242">
        <v>7.5</v>
      </c>
      <c r="I28" s="242">
        <v>7</v>
      </c>
      <c r="J28" s="242">
        <v>7</v>
      </c>
      <c r="K28" s="242">
        <v>8</v>
      </c>
      <c r="L28" s="242">
        <v>7</v>
      </c>
      <c r="M28" s="242">
        <v>7</v>
      </c>
      <c r="N28" s="242">
        <v>7.5</v>
      </c>
      <c r="O28" s="242">
        <v>7</v>
      </c>
      <c r="P28" s="242">
        <v>7</v>
      </c>
      <c r="Q28" s="243">
        <f t="shared" si="3"/>
        <v>7.1818181818181817</v>
      </c>
      <c r="R28" s="242"/>
      <c r="S28" s="242"/>
      <c r="T28" s="242"/>
      <c r="U28" s="277">
        <f t="shared" si="1"/>
        <v>0</v>
      </c>
      <c r="V28" s="277">
        <f t="shared" si="2"/>
        <v>3.5909090909090908</v>
      </c>
      <c r="W28" s="252"/>
      <c r="X28" s="273"/>
      <c r="Y28" s="263" t="s">
        <v>182</v>
      </c>
      <c r="Z28" s="545"/>
      <c r="AA28" s="357">
        <f t="shared" si="0"/>
        <v>7.1818181818181817</v>
      </c>
    </row>
    <row r="29" spans="1:27" s="256" customFormat="1" ht="16.5" customHeight="1" x14ac:dyDescent="0.2">
      <c r="A29" s="287">
        <v>21</v>
      </c>
      <c r="B29" s="245"/>
      <c r="C29" s="246">
        <v>2022</v>
      </c>
      <c r="D29" s="269" t="s">
        <v>1383</v>
      </c>
      <c r="E29" s="270" t="s">
        <v>1384</v>
      </c>
      <c r="F29" s="242">
        <v>6.5</v>
      </c>
      <c r="G29" s="242">
        <v>7</v>
      </c>
      <c r="H29" s="242">
        <v>7</v>
      </c>
      <c r="I29" s="242">
        <v>7</v>
      </c>
      <c r="J29" s="242">
        <v>7</v>
      </c>
      <c r="K29" s="242">
        <v>8</v>
      </c>
      <c r="L29" s="242">
        <v>6</v>
      </c>
      <c r="M29" s="242">
        <v>6.5</v>
      </c>
      <c r="N29" s="242">
        <v>7</v>
      </c>
      <c r="O29" s="242">
        <v>6</v>
      </c>
      <c r="P29" s="242">
        <v>7</v>
      </c>
      <c r="Q29" s="243">
        <f t="shared" si="3"/>
        <v>6.8181818181818183</v>
      </c>
      <c r="R29" s="242"/>
      <c r="S29" s="242"/>
      <c r="T29" s="242"/>
      <c r="U29" s="277">
        <f t="shared" si="1"/>
        <v>0</v>
      </c>
      <c r="V29" s="277">
        <f t="shared" si="2"/>
        <v>3.4090909090909092</v>
      </c>
      <c r="W29" s="252"/>
      <c r="X29" s="273"/>
      <c r="Y29" s="263" t="s">
        <v>206</v>
      </c>
      <c r="Z29" s="545"/>
      <c r="AA29" s="628">
        <f t="shared" si="0"/>
        <v>6.8181818181818183</v>
      </c>
    </row>
    <row r="30" spans="1:27" s="256" customFormat="1" ht="16.5" customHeight="1" x14ac:dyDescent="0.2">
      <c r="A30" s="287">
        <v>22</v>
      </c>
      <c r="B30" s="245"/>
      <c r="C30" s="246">
        <v>2022</v>
      </c>
      <c r="D30" s="269" t="s">
        <v>1385</v>
      </c>
      <c r="E30" s="270" t="s">
        <v>960</v>
      </c>
      <c r="F30" s="242">
        <v>7</v>
      </c>
      <c r="G30" s="242">
        <v>7.5</v>
      </c>
      <c r="H30" s="242">
        <v>6.5</v>
      </c>
      <c r="I30" s="242">
        <v>7</v>
      </c>
      <c r="J30" s="242">
        <v>8</v>
      </c>
      <c r="K30" s="242">
        <v>10</v>
      </c>
      <c r="L30" s="242">
        <v>7</v>
      </c>
      <c r="M30" s="242">
        <v>7</v>
      </c>
      <c r="N30" s="242">
        <v>7</v>
      </c>
      <c r="O30" s="242">
        <v>7</v>
      </c>
      <c r="P30" s="242">
        <v>7.5</v>
      </c>
      <c r="Q30" s="243">
        <f t="shared" si="3"/>
        <v>7.4090909090909092</v>
      </c>
      <c r="R30" s="242"/>
      <c r="S30" s="242"/>
      <c r="T30" s="242"/>
      <c r="U30" s="277">
        <f t="shared" si="1"/>
        <v>0</v>
      </c>
      <c r="V30" s="277">
        <f t="shared" si="2"/>
        <v>3.7045454545454546</v>
      </c>
      <c r="W30" s="252"/>
      <c r="X30" s="273"/>
      <c r="Y30" s="263" t="s">
        <v>174</v>
      </c>
      <c r="Z30" s="545"/>
      <c r="AA30" s="357">
        <f t="shared" si="0"/>
        <v>7.4090909090909092</v>
      </c>
    </row>
    <row r="31" spans="1:27" s="256" customFormat="1" ht="16.5" customHeight="1" x14ac:dyDescent="0.2">
      <c r="A31" s="287">
        <v>23</v>
      </c>
      <c r="B31" s="245"/>
      <c r="C31" s="246">
        <v>2022</v>
      </c>
      <c r="D31" s="269" t="s">
        <v>1386</v>
      </c>
      <c r="E31" s="270" t="s">
        <v>867</v>
      </c>
      <c r="F31" s="242">
        <v>8</v>
      </c>
      <c r="G31" s="242">
        <v>7</v>
      </c>
      <c r="H31" s="242">
        <v>8</v>
      </c>
      <c r="I31" s="242">
        <v>7</v>
      </c>
      <c r="J31" s="242">
        <v>8</v>
      </c>
      <c r="K31" s="242">
        <v>9</v>
      </c>
      <c r="L31" s="242">
        <v>8</v>
      </c>
      <c r="M31" s="242">
        <v>7.5</v>
      </c>
      <c r="N31" s="242">
        <v>7</v>
      </c>
      <c r="O31" s="242">
        <v>8</v>
      </c>
      <c r="P31" s="242">
        <v>7</v>
      </c>
      <c r="Q31" s="243">
        <f t="shared" si="3"/>
        <v>7.6818181818181817</v>
      </c>
      <c r="R31" s="242"/>
      <c r="S31" s="242"/>
      <c r="T31" s="242"/>
      <c r="U31" s="277">
        <f t="shared" si="1"/>
        <v>0</v>
      </c>
      <c r="V31" s="277">
        <f t="shared" si="2"/>
        <v>3.8409090909090908</v>
      </c>
      <c r="W31" s="252"/>
      <c r="X31" s="273"/>
      <c r="Y31" s="263" t="s">
        <v>206</v>
      </c>
      <c r="Z31" s="545"/>
      <c r="AA31" s="357">
        <f t="shared" si="0"/>
        <v>7.6818181818181817</v>
      </c>
    </row>
    <row r="32" spans="1:27" s="256" customFormat="1" ht="16.5" customHeight="1" x14ac:dyDescent="0.2">
      <c r="A32" s="287">
        <v>24</v>
      </c>
      <c r="B32" s="245"/>
      <c r="C32" s="246">
        <v>2022</v>
      </c>
      <c r="D32" s="269" t="s">
        <v>1387</v>
      </c>
      <c r="E32" s="270" t="s">
        <v>785</v>
      </c>
      <c r="F32" s="242">
        <v>7.5</v>
      </c>
      <c r="G32" s="242">
        <v>7</v>
      </c>
      <c r="H32" s="242">
        <v>8</v>
      </c>
      <c r="I32" s="242">
        <v>7</v>
      </c>
      <c r="J32" s="242">
        <v>8</v>
      </c>
      <c r="K32" s="242">
        <v>9</v>
      </c>
      <c r="L32" s="242">
        <v>8</v>
      </c>
      <c r="M32" s="242">
        <v>7</v>
      </c>
      <c r="N32" s="242">
        <v>7.5</v>
      </c>
      <c r="O32" s="242">
        <v>8</v>
      </c>
      <c r="P32" s="242">
        <v>7</v>
      </c>
      <c r="Q32" s="243">
        <f t="shared" si="3"/>
        <v>7.6363636363636367</v>
      </c>
      <c r="R32" s="242"/>
      <c r="S32" s="242"/>
      <c r="T32" s="242"/>
      <c r="U32" s="277">
        <f t="shared" si="1"/>
        <v>0</v>
      </c>
      <c r="V32" s="277">
        <f t="shared" si="2"/>
        <v>3.8181818181818183</v>
      </c>
      <c r="W32" s="252"/>
      <c r="X32" s="273"/>
      <c r="Y32" s="263" t="s">
        <v>182</v>
      </c>
      <c r="Z32" s="545"/>
      <c r="AA32" s="357">
        <f t="shared" si="0"/>
        <v>7.6363636363636367</v>
      </c>
    </row>
    <row r="33" spans="1:27" s="256" customFormat="1" ht="16.5" customHeight="1" x14ac:dyDescent="0.2">
      <c r="A33" s="287">
        <v>25</v>
      </c>
      <c r="B33" s="245"/>
      <c r="C33" s="246">
        <v>2022</v>
      </c>
      <c r="D33" s="269" t="s">
        <v>1388</v>
      </c>
      <c r="E33" s="270" t="s">
        <v>138</v>
      </c>
      <c r="F33" s="242">
        <v>8</v>
      </c>
      <c r="G33" s="242">
        <v>6.5</v>
      </c>
      <c r="H33" s="242">
        <v>6</v>
      </c>
      <c r="I33" s="242">
        <v>7</v>
      </c>
      <c r="J33" s="242">
        <v>7</v>
      </c>
      <c r="K33" s="242">
        <v>9</v>
      </c>
      <c r="L33" s="242">
        <v>8</v>
      </c>
      <c r="M33" s="242">
        <v>7.5</v>
      </c>
      <c r="N33" s="242">
        <v>7</v>
      </c>
      <c r="O33" s="242">
        <v>7.5</v>
      </c>
      <c r="P33" s="242">
        <v>7</v>
      </c>
      <c r="Q33" s="243">
        <f t="shared" si="3"/>
        <v>7.3181818181818183</v>
      </c>
      <c r="R33" s="242"/>
      <c r="S33" s="242"/>
      <c r="T33" s="242"/>
      <c r="U33" s="277">
        <f t="shared" si="1"/>
        <v>0</v>
      </c>
      <c r="V33" s="277">
        <f t="shared" si="2"/>
        <v>3.6590909090909092</v>
      </c>
      <c r="W33" s="252"/>
      <c r="X33" s="273"/>
      <c r="Y33" s="263" t="s">
        <v>206</v>
      </c>
      <c r="Z33" s="545"/>
      <c r="AA33" s="357">
        <f t="shared" si="0"/>
        <v>7.3181818181818183</v>
      </c>
    </row>
    <row r="34" spans="1:27" s="256" customFormat="1" ht="16.5" customHeight="1" x14ac:dyDescent="0.2">
      <c r="A34" s="287">
        <v>26</v>
      </c>
      <c r="B34" s="245"/>
      <c r="C34" s="246">
        <v>2022</v>
      </c>
      <c r="D34" s="269" t="s">
        <v>1389</v>
      </c>
      <c r="E34" s="270" t="s">
        <v>247</v>
      </c>
      <c r="F34" s="242">
        <v>7</v>
      </c>
      <c r="G34" s="242">
        <v>7.5</v>
      </c>
      <c r="H34" s="242">
        <v>8</v>
      </c>
      <c r="I34" s="242">
        <v>7</v>
      </c>
      <c r="J34" s="242">
        <v>6.5</v>
      </c>
      <c r="K34" s="242">
        <v>8</v>
      </c>
      <c r="L34" s="242">
        <v>7</v>
      </c>
      <c r="M34" s="242">
        <v>7</v>
      </c>
      <c r="N34" s="242">
        <v>7.5</v>
      </c>
      <c r="O34" s="242">
        <v>8</v>
      </c>
      <c r="P34" s="242">
        <v>7</v>
      </c>
      <c r="Q34" s="243">
        <f t="shared" si="3"/>
        <v>7.3181818181818183</v>
      </c>
      <c r="R34" s="242"/>
      <c r="S34" s="242"/>
      <c r="T34" s="242"/>
      <c r="U34" s="277"/>
      <c r="V34" s="277"/>
      <c r="W34" s="252"/>
      <c r="X34" s="273"/>
      <c r="Y34" s="263" t="s">
        <v>193</v>
      </c>
      <c r="Z34" s="545"/>
      <c r="AA34" s="357">
        <f t="shared" si="0"/>
        <v>7.3181818181818183</v>
      </c>
    </row>
    <row r="35" spans="1:27" s="256" customFormat="1" ht="16.5" customHeight="1" x14ac:dyDescent="0.2">
      <c r="A35" s="287">
        <v>27</v>
      </c>
      <c r="B35" s="245"/>
      <c r="C35" s="246">
        <v>2022</v>
      </c>
      <c r="D35" s="269" t="s">
        <v>1390</v>
      </c>
      <c r="E35" s="270" t="s">
        <v>1391</v>
      </c>
      <c r="F35" s="242">
        <v>7</v>
      </c>
      <c r="G35" s="242">
        <v>7.5</v>
      </c>
      <c r="H35" s="242">
        <v>7</v>
      </c>
      <c r="I35" s="242">
        <v>5.5</v>
      </c>
      <c r="J35" s="242">
        <v>8</v>
      </c>
      <c r="K35" s="242">
        <v>9</v>
      </c>
      <c r="L35" s="242">
        <v>8</v>
      </c>
      <c r="M35" s="242">
        <v>7.5</v>
      </c>
      <c r="N35" s="242">
        <v>7</v>
      </c>
      <c r="O35" s="242">
        <v>7</v>
      </c>
      <c r="P35" s="242">
        <v>7.5</v>
      </c>
      <c r="Q35" s="243">
        <f t="shared" si="3"/>
        <v>7.3636363636363633</v>
      </c>
      <c r="R35" s="242"/>
      <c r="S35" s="242"/>
      <c r="T35" s="242"/>
      <c r="U35" s="277">
        <f t="shared" si="1"/>
        <v>0</v>
      </c>
      <c r="V35" s="277">
        <f t="shared" si="2"/>
        <v>3.6818181818181817</v>
      </c>
      <c r="W35" s="252"/>
      <c r="X35" s="273"/>
      <c r="Y35" s="263" t="s">
        <v>181</v>
      </c>
      <c r="Z35" s="545"/>
      <c r="AA35" s="357">
        <f t="shared" si="0"/>
        <v>7.3636363636363633</v>
      </c>
    </row>
    <row r="36" spans="1:27" s="256" customFormat="1" ht="16.5" customHeight="1" x14ac:dyDescent="0.2">
      <c r="A36" s="287">
        <v>28</v>
      </c>
      <c r="B36" s="245"/>
      <c r="C36" s="246">
        <v>2022</v>
      </c>
      <c r="D36" s="269" t="s">
        <v>135</v>
      </c>
      <c r="E36" s="270" t="s">
        <v>1392</v>
      </c>
      <c r="F36" s="242">
        <v>8</v>
      </c>
      <c r="G36" s="242">
        <v>6.6</v>
      </c>
      <c r="H36" s="242">
        <v>8</v>
      </c>
      <c r="I36" s="242">
        <v>8</v>
      </c>
      <c r="J36" s="242">
        <v>8</v>
      </c>
      <c r="K36" s="242">
        <v>8</v>
      </c>
      <c r="L36" s="242">
        <v>8</v>
      </c>
      <c r="M36" s="242">
        <v>7.5</v>
      </c>
      <c r="N36" s="242">
        <v>7</v>
      </c>
      <c r="O36" s="242">
        <v>8</v>
      </c>
      <c r="P36" s="242">
        <v>7</v>
      </c>
      <c r="Q36" s="243">
        <f t="shared" si="3"/>
        <v>7.6454545454545446</v>
      </c>
      <c r="R36" s="242"/>
      <c r="S36" s="242"/>
      <c r="T36" s="242"/>
      <c r="U36" s="277">
        <f t="shared" si="1"/>
        <v>0</v>
      </c>
      <c r="V36" s="277">
        <f t="shared" si="2"/>
        <v>3.8227272727272723</v>
      </c>
      <c r="W36" s="252"/>
      <c r="X36" s="273"/>
      <c r="Y36" s="263" t="s">
        <v>200</v>
      </c>
      <c r="Z36" s="545"/>
      <c r="AA36" s="357">
        <f t="shared" si="0"/>
        <v>7.6454545454545446</v>
      </c>
    </row>
    <row r="37" spans="1:27" s="256" customFormat="1" ht="16.5" customHeight="1" x14ac:dyDescent="0.2">
      <c r="A37" s="287">
        <v>29</v>
      </c>
      <c r="B37" s="245"/>
      <c r="C37" s="246">
        <v>2022</v>
      </c>
      <c r="D37" s="269" t="s">
        <v>1393</v>
      </c>
      <c r="E37" s="270" t="s">
        <v>261</v>
      </c>
      <c r="F37" s="242">
        <v>8</v>
      </c>
      <c r="G37" s="242">
        <v>7.8</v>
      </c>
      <c r="H37" s="242">
        <v>6.5</v>
      </c>
      <c r="I37" s="242">
        <v>7</v>
      </c>
      <c r="J37" s="242">
        <v>8</v>
      </c>
      <c r="K37" s="242">
        <v>8</v>
      </c>
      <c r="L37" s="242">
        <v>7.5</v>
      </c>
      <c r="M37" s="242">
        <v>6.5</v>
      </c>
      <c r="N37" s="242">
        <v>7.5</v>
      </c>
      <c r="O37" s="242">
        <v>7</v>
      </c>
      <c r="P37" s="242">
        <v>7</v>
      </c>
      <c r="Q37" s="243">
        <f t="shared" si="3"/>
        <v>7.3454545454545448</v>
      </c>
      <c r="R37" s="242"/>
      <c r="S37" s="242"/>
      <c r="T37" s="242"/>
      <c r="U37" s="277">
        <f t="shared" si="1"/>
        <v>0</v>
      </c>
      <c r="V37" s="277">
        <f t="shared" si="2"/>
        <v>3.6727272727272724</v>
      </c>
      <c r="W37" s="252"/>
      <c r="X37" s="273"/>
      <c r="Y37" s="263" t="s">
        <v>218</v>
      </c>
      <c r="Z37" s="545"/>
      <c r="AA37" s="357">
        <f t="shared" si="0"/>
        <v>7.3454545454545448</v>
      </c>
    </row>
    <row r="38" spans="1:27" s="256" customFormat="1" ht="16.5" customHeight="1" x14ac:dyDescent="0.2">
      <c r="A38" s="287">
        <v>30</v>
      </c>
      <c r="B38" s="245"/>
      <c r="C38" s="246">
        <v>2022</v>
      </c>
      <c r="D38" s="269" t="s">
        <v>1394</v>
      </c>
      <c r="E38" s="270" t="s">
        <v>780</v>
      </c>
      <c r="F38" s="242">
        <v>6</v>
      </c>
      <c r="G38" s="242">
        <v>7.4</v>
      </c>
      <c r="H38" s="242">
        <v>7.5</v>
      </c>
      <c r="I38" s="242">
        <v>5.5</v>
      </c>
      <c r="J38" s="242">
        <v>8</v>
      </c>
      <c r="K38" s="242">
        <v>8</v>
      </c>
      <c r="L38" s="242">
        <v>6.5</v>
      </c>
      <c r="M38" s="242">
        <v>6.5</v>
      </c>
      <c r="N38" s="242">
        <v>7</v>
      </c>
      <c r="O38" s="242">
        <v>6.5</v>
      </c>
      <c r="P38" s="242">
        <v>6.5</v>
      </c>
      <c r="Q38" s="243">
        <f t="shared" si="3"/>
        <v>6.8545454545454554</v>
      </c>
      <c r="R38" s="242"/>
      <c r="S38" s="242"/>
      <c r="T38" s="242"/>
      <c r="U38" s="277">
        <f t="shared" si="1"/>
        <v>0</v>
      </c>
      <c r="V38" s="277">
        <f t="shared" si="2"/>
        <v>3.4272727272727277</v>
      </c>
      <c r="W38" s="252"/>
      <c r="X38" s="273"/>
      <c r="Y38" s="263" t="s">
        <v>141</v>
      </c>
      <c r="Z38" s="545"/>
      <c r="AA38" s="628">
        <f t="shared" si="0"/>
        <v>6.8545454545454554</v>
      </c>
    </row>
    <row r="39" spans="1:27" s="256" customFormat="1" ht="16.5" customHeight="1" x14ac:dyDescent="0.2">
      <c r="A39" s="287">
        <v>31</v>
      </c>
      <c r="B39" s="245"/>
      <c r="C39" s="246">
        <v>2022</v>
      </c>
      <c r="D39" s="269" t="s">
        <v>1395</v>
      </c>
      <c r="E39" s="270" t="s">
        <v>563</v>
      </c>
      <c r="F39" s="242">
        <v>7.5</v>
      </c>
      <c r="G39" s="242">
        <v>7</v>
      </c>
      <c r="H39" s="242">
        <v>8</v>
      </c>
      <c r="I39" s="242">
        <v>7</v>
      </c>
      <c r="J39" s="242">
        <v>7</v>
      </c>
      <c r="K39" s="242">
        <v>9</v>
      </c>
      <c r="L39" s="242">
        <v>7</v>
      </c>
      <c r="M39" s="242">
        <v>7</v>
      </c>
      <c r="N39" s="242">
        <v>7</v>
      </c>
      <c r="O39" s="242">
        <v>7</v>
      </c>
      <c r="P39" s="242">
        <v>7</v>
      </c>
      <c r="Q39" s="243">
        <f t="shared" si="3"/>
        <v>7.3181818181818183</v>
      </c>
      <c r="R39" s="242"/>
      <c r="S39" s="242"/>
      <c r="T39" s="242"/>
      <c r="U39" s="277">
        <f t="shared" si="1"/>
        <v>0</v>
      </c>
      <c r="V39" s="277">
        <f t="shared" si="2"/>
        <v>3.6590909090909092</v>
      </c>
      <c r="W39" s="252"/>
      <c r="X39" s="273"/>
      <c r="Y39" s="263" t="s">
        <v>170</v>
      </c>
      <c r="Z39" s="545"/>
      <c r="AA39" s="357">
        <f t="shared" si="0"/>
        <v>7.3181818181818183</v>
      </c>
    </row>
    <row r="40" spans="1:27" s="256" customFormat="1" ht="16.5" customHeight="1" x14ac:dyDescent="0.2">
      <c r="A40" s="287">
        <v>32</v>
      </c>
      <c r="B40" s="245"/>
      <c r="C40" s="246">
        <v>2022</v>
      </c>
      <c r="D40" s="393" t="s">
        <v>1396</v>
      </c>
      <c r="E40" s="405" t="s">
        <v>1397</v>
      </c>
      <c r="F40" s="242">
        <v>8</v>
      </c>
      <c r="G40" s="242">
        <v>7.2</v>
      </c>
      <c r="H40" s="242">
        <v>8</v>
      </c>
      <c r="I40" s="242">
        <v>8</v>
      </c>
      <c r="J40" s="242">
        <v>8</v>
      </c>
      <c r="K40" s="242">
        <v>9</v>
      </c>
      <c r="L40" s="242">
        <v>8</v>
      </c>
      <c r="M40" s="242">
        <v>7</v>
      </c>
      <c r="N40" s="242">
        <v>7</v>
      </c>
      <c r="O40" s="242">
        <v>7</v>
      </c>
      <c r="P40" s="242">
        <v>7</v>
      </c>
      <c r="Q40" s="243">
        <f t="shared" si="3"/>
        <v>7.6545454545454552</v>
      </c>
      <c r="R40" s="242"/>
      <c r="S40" s="242"/>
      <c r="T40" s="242"/>
      <c r="U40" s="277">
        <f t="shared" si="1"/>
        <v>0</v>
      </c>
      <c r="V40" s="277">
        <f t="shared" si="2"/>
        <v>3.8272727272727276</v>
      </c>
      <c r="W40" s="252"/>
      <c r="X40" s="273"/>
      <c r="Y40" s="394" t="s">
        <v>667</v>
      </c>
      <c r="Z40" s="545"/>
      <c r="AA40" s="357">
        <f t="shared" si="0"/>
        <v>7.6545454545454552</v>
      </c>
    </row>
    <row r="41" spans="1:27" s="256" customFormat="1" ht="16.5" customHeight="1" x14ac:dyDescent="0.2">
      <c r="A41" s="287">
        <v>33</v>
      </c>
      <c r="B41" s="245"/>
      <c r="C41" s="246">
        <v>2022</v>
      </c>
      <c r="D41" s="269" t="s">
        <v>1400</v>
      </c>
      <c r="E41" s="270" t="s">
        <v>1363</v>
      </c>
      <c r="F41" s="242">
        <v>8</v>
      </c>
      <c r="G41" s="242">
        <v>6.5</v>
      </c>
      <c r="H41" s="242">
        <v>8</v>
      </c>
      <c r="I41" s="242">
        <v>5.5</v>
      </c>
      <c r="J41" s="242">
        <v>8</v>
      </c>
      <c r="K41" s="242">
        <v>10</v>
      </c>
      <c r="L41" s="242">
        <v>6</v>
      </c>
      <c r="M41" s="242">
        <v>7.5</v>
      </c>
      <c r="N41" s="242">
        <v>7</v>
      </c>
      <c r="O41" s="242">
        <v>7</v>
      </c>
      <c r="P41" s="242">
        <v>7</v>
      </c>
      <c r="Q41" s="243">
        <f t="shared" si="3"/>
        <v>7.3181818181818183</v>
      </c>
      <c r="R41" s="242"/>
      <c r="S41" s="242"/>
      <c r="T41" s="242"/>
      <c r="U41" s="277">
        <f t="shared" si="1"/>
        <v>0</v>
      </c>
      <c r="V41" s="277">
        <f t="shared" si="2"/>
        <v>3.6590909090909092</v>
      </c>
      <c r="W41" s="252"/>
      <c r="X41" s="273"/>
      <c r="Y41" s="263" t="s">
        <v>174</v>
      </c>
      <c r="Z41" s="545"/>
      <c r="AA41" s="357">
        <f t="shared" si="0"/>
        <v>7.3181818181818183</v>
      </c>
    </row>
    <row r="42" spans="1:27" s="256" customFormat="1" ht="16.5" customHeight="1" x14ac:dyDescent="0.2">
      <c r="A42" s="287">
        <v>34</v>
      </c>
      <c r="B42" s="245"/>
      <c r="C42" s="246">
        <v>2022</v>
      </c>
      <c r="D42" s="269" t="s">
        <v>1401</v>
      </c>
      <c r="E42" s="270" t="s">
        <v>770</v>
      </c>
      <c r="F42" s="242">
        <v>8</v>
      </c>
      <c r="G42" s="242">
        <v>8</v>
      </c>
      <c r="H42" s="242">
        <v>8</v>
      </c>
      <c r="I42" s="242">
        <v>8</v>
      </c>
      <c r="J42" s="242">
        <v>8</v>
      </c>
      <c r="K42" s="242">
        <v>8</v>
      </c>
      <c r="L42" s="242">
        <v>8</v>
      </c>
      <c r="M42" s="242">
        <v>8</v>
      </c>
      <c r="N42" s="242">
        <v>8</v>
      </c>
      <c r="O42" s="242">
        <v>8</v>
      </c>
      <c r="P42" s="242">
        <v>8</v>
      </c>
      <c r="Q42" s="243">
        <f t="shared" si="3"/>
        <v>8</v>
      </c>
      <c r="R42" s="242"/>
      <c r="S42" s="242"/>
      <c r="T42" s="242"/>
      <c r="U42" s="277">
        <f t="shared" si="1"/>
        <v>0</v>
      </c>
      <c r="V42" s="277">
        <f t="shared" si="2"/>
        <v>4</v>
      </c>
      <c r="W42" s="252"/>
      <c r="X42" s="273"/>
      <c r="Y42" s="263" t="s">
        <v>178</v>
      </c>
      <c r="Z42" s="545"/>
      <c r="AA42" s="613">
        <f t="shared" si="0"/>
        <v>8</v>
      </c>
    </row>
    <row r="43" spans="1:27" s="256" customFormat="1" ht="16.5" customHeight="1" x14ac:dyDescent="0.2">
      <c r="A43" s="287">
        <v>35</v>
      </c>
      <c r="B43" s="245"/>
      <c r="C43" s="246">
        <v>2022</v>
      </c>
      <c r="D43" s="269" t="s">
        <v>1402</v>
      </c>
      <c r="E43" s="270" t="s">
        <v>1403</v>
      </c>
      <c r="F43" s="242">
        <v>6</v>
      </c>
      <c r="G43" s="242">
        <v>6.8</v>
      </c>
      <c r="H43" s="242">
        <v>7.5</v>
      </c>
      <c r="I43" s="242">
        <v>5.5</v>
      </c>
      <c r="J43" s="242">
        <v>7</v>
      </c>
      <c r="K43" s="242">
        <v>9</v>
      </c>
      <c r="L43" s="242">
        <v>6.5</v>
      </c>
      <c r="M43" s="242">
        <v>6.5</v>
      </c>
      <c r="N43" s="242">
        <v>7</v>
      </c>
      <c r="O43" s="242">
        <v>7</v>
      </c>
      <c r="P43" s="242">
        <v>6.5</v>
      </c>
      <c r="Q43" s="243">
        <f t="shared" si="3"/>
        <v>6.8454545454545448</v>
      </c>
      <c r="R43" s="242"/>
      <c r="S43" s="242"/>
      <c r="T43" s="242"/>
      <c r="U43" s="277">
        <f t="shared" si="1"/>
        <v>0</v>
      </c>
      <c r="V43" s="277">
        <f t="shared" si="2"/>
        <v>3.4227272727272724</v>
      </c>
      <c r="W43" s="252"/>
      <c r="X43" s="273"/>
      <c r="Y43" s="263" t="s">
        <v>181</v>
      </c>
      <c r="Z43" s="545"/>
      <c r="AA43" s="628">
        <f t="shared" si="0"/>
        <v>6.8454545454545448</v>
      </c>
    </row>
    <row r="44" spans="1:27" s="256" customFormat="1" ht="16.5" customHeight="1" x14ac:dyDescent="0.2">
      <c r="A44" s="287">
        <v>36</v>
      </c>
      <c r="B44" s="245"/>
      <c r="C44" s="246">
        <v>2022</v>
      </c>
      <c r="D44" s="269" t="s">
        <v>1404</v>
      </c>
      <c r="E44" s="270" t="s">
        <v>1405</v>
      </c>
      <c r="F44" s="242">
        <v>8</v>
      </c>
      <c r="G44" s="242">
        <v>7</v>
      </c>
      <c r="H44" s="242">
        <v>8</v>
      </c>
      <c r="I44" s="242">
        <v>7</v>
      </c>
      <c r="J44" s="242">
        <v>8</v>
      </c>
      <c r="K44" s="242">
        <v>10</v>
      </c>
      <c r="L44" s="242">
        <v>8</v>
      </c>
      <c r="M44" s="242">
        <v>6.5</v>
      </c>
      <c r="N44" s="242">
        <v>7</v>
      </c>
      <c r="O44" s="242">
        <v>8</v>
      </c>
      <c r="P44" s="242">
        <v>7</v>
      </c>
      <c r="Q44" s="243">
        <f t="shared" si="3"/>
        <v>7.6818181818181817</v>
      </c>
      <c r="R44" s="242"/>
      <c r="S44" s="242"/>
      <c r="T44" s="242"/>
      <c r="U44" s="277">
        <f t="shared" si="1"/>
        <v>0</v>
      </c>
      <c r="V44" s="277">
        <f t="shared" si="2"/>
        <v>3.8409090909090908</v>
      </c>
      <c r="W44" s="252"/>
      <c r="X44" s="273"/>
      <c r="Y44" s="263" t="s">
        <v>202</v>
      </c>
      <c r="Z44" s="545"/>
      <c r="AA44" s="357">
        <f t="shared" si="0"/>
        <v>7.6818181818181817</v>
      </c>
    </row>
    <row r="45" spans="1:27" s="256" customFormat="1" ht="16.5" customHeight="1" x14ac:dyDescent="0.2">
      <c r="A45" s="287">
        <v>37</v>
      </c>
      <c r="B45" s="245"/>
      <c r="C45" s="246">
        <v>2022</v>
      </c>
      <c r="D45" s="269" t="s">
        <v>1406</v>
      </c>
      <c r="E45" s="270" t="s">
        <v>788</v>
      </c>
      <c r="F45" s="242">
        <v>7.5</v>
      </c>
      <c r="G45" s="242">
        <v>7</v>
      </c>
      <c r="H45" s="242">
        <v>7</v>
      </c>
      <c r="I45" s="242">
        <v>7</v>
      </c>
      <c r="J45" s="242">
        <v>7</v>
      </c>
      <c r="K45" s="242">
        <v>8</v>
      </c>
      <c r="L45" s="242">
        <v>8</v>
      </c>
      <c r="M45" s="242">
        <v>7.5</v>
      </c>
      <c r="N45" s="242">
        <v>7</v>
      </c>
      <c r="O45" s="242">
        <v>7</v>
      </c>
      <c r="P45" s="242">
        <v>7</v>
      </c>
      <c r="Q45" s="243">
        <f t="shared" si="3"/>
        <v>7.2727272727272725</v>
      </c>
      <c r="R45" s="242"/>
      <c r="S45" s="242"/>
      <c r="T45" s="242"/>
      <c r="U45" s="277">
        <f t="shared" si="1"/>
        <v>0</v>
      </c>
      <c r="V45" s="277">
        <f t="shared" si="2"/>
        <v>3.6363636363636362</v>
      </c>
      <c r="W45" s="252"/>
      <c r="X45" s="273"/>
      <c r="Y45" s="263" t="s">
        <v>218</v>
      </c>
      <c r="Z45" s="545"/>
      <c r="AA45" s="357">
        <f t="shared" si="0"/>
        <v>7.2727272727272725</v>
      </c>
    </row>
    <row r="46" spans="1:27" s="256" customFormat="1" ht="16.5" customHeight="1" x14ac:dyDescent="0.2">
      <c r="A46" s="287">
        <v>38</v>
      </c>
      <c r="B46" s="245"/>
      <c r="C46" s="246">
        <v>2022</v>
      </c>
      <c r="D46" s="269" t="s">
        <v>1407</v>
      </c>
      <c r="E46" s="270" t="s">
        <v>1408</v>
      </c>
      <c r="F46" s="242">
        <v>8</v>
      </c>
      <c r="G46" s="242">
        <v>8.1999999999999993</v>
      </c>
      <c r="H46" s="242">
        <v>8</v>
      </c>
      <c r="I46" s="242">
        <v>8</v>
      </c>
      <c r="J46" s="242">
        <v>8</v>
      </c>
      <c r="K46" s="242">
        <v>9</v>
      </c>
      <c r="L46" s="242">
        <v>8</v>
      </c>
      <c r="M46" s="242">
        <v>7</v>
      </c>
      <c r="N46" s="242">
        <v>7.5</v>
      </c>
      <c r="O46" s="242">
        <v>6</v>
      </c>
      <c r="P46" s="242">
        <v>7.5</v>
      </c>
      <c r="Q46" s="243">
        <f t="shared" si="3"/>
        <v>7.745454545454546</v>
      </c>
      <c r="R46" s="242"/>
      <c r="S46" s="242"/>
      <c r="T46" s="242"/>
      <c r="U46" s="277">
        <f t="shared" si="1"/>
        <v>0</v>
      </c>
      <c r="V46" s="277">
        <f t="shared" si="2"/>
        <v>3.872727272727273</v>
      </c>
      <c r="W46" s="252"/>
      <c r="X46" s="273"/>
      <c r="Y46" s="263" t="s">
        <v>226</v>
      </c>
      <c r="Z46" s="545"/>
      <c r="AA46" s="357">
        <f t="shared" si="0"/>
        <v>7.745454545454546</v>
      </c>
    </row>
    <row r="47" spans="1:27" s="256" customFormat="1" ht="16.5" customHeight="1" x14ac:dyDescent="0.2">
      <c r="A47" s="287">
        <v>39</v>
      </c>
      <c r="B47" s="245"/>
      <c r="C47" s="246">
        <v>2022</v>
      </c>
      <c r="D47" s="269" t="s">
        <v>1409</v>
      </c>
      <c r="E47" s="270" t="s">
        <v>550</v>
      </c>
      <c r="F47" s="242">
        <v>8</v>
      </c>
      <c r="G47" s="242">
        <v>7.8</v>
      </c>
      <c r="H47" s="242">
        <v>7</v>
      </c>
      <c r="I47" s="242">
        <v>8</v>
      </c>
      <c r="J47" s="242">
        <v>6.5</v>
      </c>
      <c r="K47" s="242">
        <v>10</v>
      </c>
      <c r="L47" s="242">
        <v>8</v>
      </c>
      <c r="M47" s="242">
        <v>7</v>
      </c>
      <c r="N47" s="242">
        <v>6</v>
      </c>
      <c r="O47" s="242">
        <v>7</v>
      </c>
      <c r="P47" s="242">
        <v>7</v>
      </c>
      <c r="Q47" s="243">
        <f t="shared" si="3"/>
        <v>7.4818181818181815</v>
      </c>
      <c r="R47" s="242"/>
      <c r="S47" s="242"/>
      <c r="T47" s="242"/>
      <c r="U47" s="277">
        <f>SUM(R47:T47)/3</f>
        <v>0</v>
      </c>
      <c r="V47" s="277">
        <f>SUM(Q47+U47)/2</f>
        <v>3.7409090909090907</v>
      </c>
      <c r="W47" s="252"/>
      <c r="X47" s="273"/>
      <c r="Y47" s="263" t="s">
        <v>141</v>
      </c>
      <c r="Z47" s="545"/>
      <c r="AA47" s="357">
        <f t="shared" si="0"/>
        <v>7.4818181818181815</v>
      </c>
    </row>
    <row r="48" spans="1:27" s="256" customFormat="1" ht="16.5" customHeight="1" x14ac:dyDescent="0.2">
      <c r="A48" s="287">
        <v>40</v>
      </c>
      <c r="B48" s="245"/>
      <c r="C48" s="246">
        <v>2022</v>
      </c>
      <c r="D48" s="269" t="s">
        <v>149</v>
      </c>
      <c r="E48" s="270" t="s">
        <v>152</v>
      </c>
      <c r="F48" s="242">
        <v>7</v>
      </c>
      <c r="G48" s="242">
        <v>7.2</v>
      </c>
      <c r="H48" s="242">
        <v>6</v>
      </c>
      <c r="I48" s="242">
        <v>5.5</v>
      </c>
      <c r="J48" s="242">
        <v>7</v>
      </c>
      <c r="K48" s="242">
        <v>10</v>
      </c>
      <c r="L48" s="242">
        <v>6</v>
      </c>
      <c r="M48" s="242">
        <v>7</v>
      </c>
      <c r="N48" s="242">
        <v>6</v>
      </c>
      <c r="O48" s="242">
        <v>8</v>
      </c>
      <c r="P48" s="242">
        <v>7</v>
      </c>
      <c r="Q48" s="243">
        <f t="shared" si="3"/>
        <v>6.9727272727272727</v>
      </c>
      <c r="R48" s="242"/>
      <c r="S48" s="242"/>
      <c r="T48" s="242"/>
      <c r="U48" s="277"/>
      <c r="V48" s="277"/>
      <c r="W48" s="252"/>
      <c r="X48" s="273"/>
      <c r="Y48" s="263" t="s">
        <v>182</v>
      </c>
      <c r="Z48" s="545"/>
      <c r="AA48" s="628">
        <f t="shared" si="0"/>
        <v>6.9727272727272727</v>
      </c>
    </row>
    <row r="49" spans="1:27" s="256" customFormat="1" ht="16.5" customHeight="1" x14ac:dyDescent="0.2">
      <c r="A49" s="287">
        <v>41</v>
      </c>
      <c r="B49" s="245"/>
      <c r="C49" s="246">
        <v>2022</v>
      </c>
      <c r="D49" s="269" t="s">
        <v>1410</v>
      </c>
      <c r="E49" s="270" t="s">
        <v>867</v>
      </c>
      <c r="F49" s="242">
        <v>7</v>
      </c>
      <c r="G49" s="242">
        <v>7</v>
      </c>
      <c r="H49" s="242">
        <v>8</v>
      </c>
      <c r="I49" s="242">
        <v>5.5</v>
      </c>
      <c r="J49" s="242">
        <v>7</v>
      </c>
      <c r="K49" s="242">
        <v>9</v>
      </c>
      <c r="L49" s="242">
        <v>6.5</v>
      </c>
      <c r="M49" s="242">
        <v>7</v>
      </c>
      <c r="N49" s="242">
        <v>7</v>
      </c>
      <c r="O49" s="242">
        <v>7</v>
      </c>
      <c r="P49" s="242">
        <v>7</v>
      </c>
      <c r="Q49" s="243">
        <f t="shared" si="3"/>
        <v>7.0909090909090908</v>
      </c>
      <c r="R49" s="242"/>
      <c r="S49" s="242"/>
      <c r="T49" s="242"/>
      <c r="U49" s="277"/>
      <c r="V49" s="277"/>
      <c r="W49" s="252"/>
      <c r="X49" s="273"/>
      <c r="Y49" s="263" t="s">
        <v>169</v>
      </c>
      <c r="Z49" s="545"/>
      <c r="AA49" s="357">
        <f t="shared" si="0"/>
        <v>7.0909090909090908</v>
      </c>
    </row>
    <row r="50" spans="1:27" s="256" customFormat="1" ht="16.5" customHeight="1" x14ac:dyDescent="0.2">
      <c r="A50" s="287">
        <v>42</v>
      </c>
      <c r="B50" s="245"/>
      <c r="C50" s="246">
        <v>2022</v>
      </c>
      <c r="D50" s="269" t="s">
        <v>638</v>
      </c>
      <c r="E50" s="270" t="s">
        <v>1411</v>
      </c>
      <c r="F50" s="242">
        <v>8</v>
      </c>
      <c r="G50" s="242">
        <v>7.2</v>
      </c>
      <c r="H50" s="242">
        <v>8</v>
      </c>
      <c r="I50" s="242">
        <v>8</v>
      </c>
      <c r="J50" s="242">
        <v>8</v>
      </c>
      <c r="K50" s="242">
        <v>9</v>
      </c>
      <c r="L50" s="242">
        <v>8</v>
      </c>
      <c r="M50" s="242">
        <v>7.5</v>
      </c>
      <c r="N50" s="242">
        <v>7</v>
      </c>
      <c r="O50" s="242">
        <v>7</v>
      </c>
      <c r="P50" s="242">
        <v>6.5</v>
      </c>
      <c r="Q50" s="243">
        <f t="shared" si="3"/>
        <v>7.6545454545454552</v>
      </c>
      <c r="R50" s="242"/>
      <c r="S50" s="242"/>
      <c r="T50" s="242"/>
      <c r="U50" s="277">
        <f>SUM(R50:T50)/3</f>
        <v>0</v>
      </c>
      <c r="V50" s="277">
        <f>SUM(Q50+U50)/2</f>
        <v>3.8272727272727276</v>
      </c>
      <c r="W50" s="252"/>
      <c r="X50" s="273"/>
      <c r="Y50" s="263" t="s">
        <v>214</v>
      </c>
      <c r="Z50" s="545"/>
      <c r="AA50" s="357">
        <f t="shared" si="0"/>
        <v>7.6545454545454552</v>
      </c>
    </row>
    <row r="51" spans="1:27" s="256" customFormat="1" ht="16.5" customHeight="1" x14ac:dyDescent="0.2">
      <c r="A51" s="287">
        <v>43</v>
      </c>
      <c r="B51" s="245"/>
      <c r="C51" s="246">
        <v>2022</v>
      </c>
      <c r="D51" s="269" t="s">
        <v>1412</v>
      </c>
      <c r="E51" s="270" t="s">
        <v>1413</v>
      </c>
      <c r="F51" s="242">
        <v>8</v>
      </c>
      <c r="G51" s="242">
        <v>7.4</v>
      </c>
      <c r="H51" s="242">
        <v>8</v>
      </c>
      <c r="I51" s="242">
        <v>7</v>
      </c>
      <c r="J51" s="242">
        <v>8</v>
      </c>
      <c r="K51" s="242">
        <v>9</v>
      </c>
      <c r="L51" s="242">
        <v>8</v>
      </c>
      <c r="M51" s="242">
        <v>7</v>
      </c>
      <c r="N51" s="242">
        <v>7</v>
      </c>
      <c r="O51" s="242">
        <v>7.5</v>
      </c>
      <c r="P51" s="242">
        <v>7</v>
      </c>
      <c r="Q51" s="243">
        <f t="shared" si="3"/>
        <v>7.6272727272727279</v>
      </c>
      <c r="R51" s="242"/>
      <c r="S51" s="242"/>
      <c r="T51" s="242"/>
      <c r="U51" s="277">
        <f>SUM(R51:T51)/3</f>
        <v>0</v>
      </c>
      <c r="V51" s="277">
        <f>SUM(Q51+U51)/2</f>
        <v>3.8136363636363639</v>
      </c>
      <c r="W51" s="252"/>
      <c r="X51" s="273"/>
      <c r="Y51" s="263" t="s">
        <v>193</v>
      </c>
      <c r="Z51" s="545"/>
      <c r="AA51" s="357">
        <f t="shared" si="0"/>
        <v>7.6272727272727279</v>
      </c>
    </row>
    <row r="52" spans="1:27" s="256" customFormat="1" ht="16.5" customHeight="1" x14ac:dyDescent="0.2">
      <c r="A52" s="287">
        <v>44</v>
      </c>
      <c r="B52" s="245"/>
      <c r="C52" s="246">
        <v>2022</v>
      </c>
      <c r="D52" s="269" t="s">
        <v>1414</v>
      </c>
      <c r="E52" s="270" t="s">
        <v>1415</v>
      </c>
      <c r="F52" s="242">
        <v>8</v>
      </c>
      <c r="G52" s="242">
        <v>7</v>
      </c>
      <c r="H52" s="242">
        <v>8</v>
      </c>
      <c r="I52" s="242">
        <v>8</v>
      </c>
      <c r="J52" s="242">
        <v>7</v>
      </c>
      <c r="K52" s="242">
        <v>10</v>
      </c>
      <c r="L52" s="242">
        <v>8</v>
      </c>
      <c r="M52" s="242">
        <v>7</v>
      </c>
      <c r="N52" s="242">
        <v>7</v>
      </c>
      <c r="O52" s="242">
        <v>8</v>
      </c>
      <c r="P52" s="242">
        <v>7</v>
      </c>
      <c r="Q52" s="243">
        <f t="shared" si="3"/>
        <v>7.7272727272727275</v>
      </c>
      <c r="R52" s="242"/>
      <c r="S52" s="242"/>
      <c r="T52" s="242"/>
      <c r="U52" s="277">
        <f>SUM(R52:T52)/3</f>
        <v>0</v>
      </c>
      <c r="V52" s="277">
        <f>SUM(Q52+U52)/2</f>
        <v>3.8636363636363638</v>
      </c>
      <c r="W52" s="252"/>
      <c r="X52" s="273"/>
      <c r="Y52" s="263" t="s">
        <v>214</v>
      </c>
      <c r="Z52" s="545"/>
      <c r="AA52" s="357">
        <f t="shared" si="0"/>
        <v>7.7272727272727275</v>
      </c>
    </row>
    <row r="53" spans="1:27" s="368" customFormat="1" ht="15" customHeight="1" thickBot="1" x14ac:dyDescent="0.3">
      <c r="A53" s="359"/>
      <c r="B53" s="360"/>
      <c r="C53" s="361"/>
      <c r="D53" s="362"/>
      <c r="E53" s="363"/>
      <c r="F53" s="363"/>
      <c r="G53" s="363"/>
      <c r="H53" s="363"/>
      <c r="I53" s="363"/>
      <c r="J53" s="363"/>
      <c r="K53" s="363"/>
      <c r="L53" s="363"/>
      <c r="M53" s="363"/>
      <c r="N53" s="558"/>
      <c r="O53" s="363"/>
      <c r="P53" s="363"/>
      <c r="Q53" s="364"/>
      <c r="R53" s="365"/>
      <c r="S53" s="365"/>
      <c r="T53" s="365"/>
      <c r="U53" s="363"/>
      <c r="V53" s="363"/>
      <c r="W53" s="363"/>
      <c r="X53" s="549"/>
      <c r="Y53" s="367"/>
    </row>
    <row r="54" spans="1:27" s="368" customFormat="1" ht="19.5" thickTop="1" x14ac:dyDescent="0.3">
      <c r="A54" s="369"/>
      <c r="B54" s="369"/>
      <c r="C54" s="369"/>
      <c r="E54" s="369"/>
      <c r="F54" s="369"/>
      <c r="G54" s="369"/>
      <c r="H54" s="369"/>
      <c r="I54" s="369"/>
      <c r="J54" s="369"/>
      <c r="K54" s="369"/>
      <c r="L54" s="369"/>
      <c r="M54" s="369"/>
      <c r="N54" s="369"/>
      <c r="O54" s="369"/>
      <c r="P54" s="369"/>
      <c r="Q54" s="1065"/>
      <c r="R54" s="1065"/>
      <c r="S54" s="1065"/>
      <c r="T54" s="1065"/>
      <c r="U54" s="1065"/>
      <c r="V54" s="1065"/>
      <c r="W54" s="1065"/>
      <c r="X54" s="1065"/>
      <c r="Y54" s="1065"/>
    </row>
    <row r="55" spans="1:27" s="368" customFormat="1" x14ac:dyDescent="0.3">
      <c r="A55" s="369"/>
      <c r="B55" s="369"/>
      <c r="C55" s="369"/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1065"/>
      <c r="R55" s="1065"/>
      <c r="S55" s="1065"/>
      <c r="T55" s="371"/>
      <c r="U55" s="369"/>
      <c r="V55" s="369"/>
      <c r="W55" s="369"/>
      <c r="X55" s="372"/>
      <c r="Y55" s="369"/>
    </row>
    <row r="56" spans="1:27" s="3" customFormat="1" x14ac:dyDescent="0.3">
      <c r="A56" s="236"/>
      <c r="B56" s="236"/>
      <c r="C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41"/>
      <c r="R56" s="49"/>
      <c r="S56" s="49"/>
      <c r="T56" s="45"/>
      <c r="U56" s="43"/>
      <c r="V56" s="43"/>
      <c r="W56" s="43"/>
      <c r="X56" s="46"/>
      <c r="Y56" s="43"/>
    </row>
    <row r="57" spans="1:27" s="3" customFormat="1" x14ac:dyDescent="0.3">
      <c r="A57" s="236"/>
      <c r="B57" s="236"/>
      <c r="C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41"/>
      <c r="R57" s="49"/>
      <c r="S57" s="49"/>
      <c r="T57" s="45"/>
      <c r="U57" s="43"/>
      <c r="V57" s="43"/>
      <c r="W57" s="43"/>
      <c r="X57" s="46"/>
      <c r="Y57" s="43"/>
    </row>
    <row r="58" spans="1:27" s="3" customFormat="1" x14ac:dyDescent="0.3">
      <c r="A58" s="236"/>
      <c r="B58" s="236"/>
      <c r="C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1294"/>
      <c r="R58" s="1294"/>
      <c r="S58" s="1294"/>
      <c r="T58" s="45"/>
      <c r="U58" s="43"/>
      <c r="V58" s="43"/>
      <c r="W58" s="43"/>
      <c r="X58" s="46"/>
      <c r="Y58" s="43"/>
    </row>
    <row r="59" spans="1:27" s="3" customFormat="1" ht="18" x14ac:dyDescent="0.25">
      <c r="A59" s="236"/>
      <c r="B59" s="236"/>
      <c r="C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234"/>
      <c r="R59" s="1234"/>
      <c r="S59" s="1234"/>
      <c r="T59" s="1234"/>
      <c r="U59" s="1234"/>
      <c r="V59" s="1234"/>
      <c r="W59" s="1234"/>
      <c r="X59" s="1234"/>
      <c r="Y59" s="1234"/>
    </row>
    <row r="60" spans="1:27" s="256" customFormat="1" ht="16.5" customHeight="1" x14ac:dyDescent="0.2">
      <c r="A60" s="287">
        <v>32</v>
      </c>
      <c r="B60" s="245"/>
      <c r="C60" s="246">
        <v>2022</v>
      </c>
      <c r="D60" s="269" t="s">
        <v>1398</v>
      </c>
      <c r="E60" s="270" t="s">
        <v>1399</v>
      </c>
      <c r="F60" s="458" t="s">
        <v>1779</v>
      </c>
      <c r="G60" s="242"/>
      <c r="H60" s="242">
        <v>7</v>
      </c>
      <c r="I60" s="242">
        <v>7</v>
      </c>
      <c r="J60" s="242"/>
      <c r="K60" s="242"/>
      <c r="L60" s="242"/>
      <c r="M60" s="242"/>
      <c r="N60" s="242">
        <v>6</v>
      </c>
      <c r="O60" s="242"/>
      <c r="P60" s="242"/>
      <c r="Q60" s="243">
        <f>SUM(F60:P60)/11</f>
        <v>1.8181818181818181</v>
      </c>
      <c r="R60" s="242"/>
      <c r="S60" s="242"/>
      <c r="T60" s="242"/>
      <c r="U60" s="277">
        <f>SUM(R60:T60)/3</f>
        <v>0</v>
      </c>
      <c r="V60" s="277">
        <f>SUM(Q60+U60)/2</f>
        <v>0.90909090909090906</v>
      </c>
      <c r="W60" s="252"/>
      <c r="X60" s="273"/>
      <c r="Y60" s="263" t="s">
        <v>17</v>
      </c>
      <c r="Z60" s="545"/>
      <c r="AA60" s="357">
        <f>AVERAGE(F60:P60)</f>
        <v>6.666666666666667</v>
      </c>
    </row>
    <row r="61" spans="1:27" x14ac:dyDescent="0.3">
      <c r="A61" s="236"/>
      <c r="B61" s="236"/>
      <c r="C61" s="236"/>
      <c r="D61" s="3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R61" s="20"/>
      <c r="S61" s="20"/>
      <c r="T61" s="20"/>
      <c r="U61" s="236"/>
      <c r="V61" s="236"/>
      <c r="W61" s="236"/>
      <c r="X61" s="14"/>
      <c r="Y61" s="236"/>
    </row>
    <row r="62" spans="1:27" x14ac:dyDescent="0.3">
      <c r="A62" s="236"/>
      <c r="B62" s="236"/>
      <c r="C62" s="236"/>
      <c r="D62" s="3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R62" s="20"/>
      <c r="S62" s="20"/>
      <c r="T62" s="20"/>
      <c r="U62" s="236"/>
      <c r="V62" s="236"/>
      <c r="W62" s="236"/>
      <c r="X62" s="14"/>
      <c r="Y62" s="236"/>
    </row>
    <row r="63" spans="1:27" x14ac:dyDescent="0.3">
      <c r="A63" s="236"/>
      <c r="B63" s="236"/>
      <c r="C63" s="236"/>
      <c r="D63" s="3"/>
      <c r="E63" s="236"/>
      <c r="F63" s="236"/>
      <c r="G63" s="236"/>
      <c r="H63" s="236"/>
      <c r="I63" s="236"/>
      <c r="J63" s="236"/>
      <c r="K63" s="236"/>
      <c r="L63" s="236"/>
      <c r="M63" s="236"/>
      <c r="N63" s="236"/>
      <c r="O63" s="236"/>
      <c r="P63" s="236"/>
      <c r="R63" s="20"/>
      <c r="S63" s="20"/>
      <c r="T63" s="20"/>
      <c r="U63" s="236"/>
      <c r="V63" s="236"/>
      <c r="W63" s="236"/>
      <c r="X63" s="14"/>
      <c r="Y63" s="236"/>
    </row>
    <row r="64" spans="1:27" x14ac:dyDescent="0.3">
      <c r="A64" s="236"/>
      <c r="B64" s="236"/>
      <c r="C64" s="236"/>
      <c r="D64" s="3"/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R64" s="20"/>
      <c r="S64" s="20"/>
      <c r="T64" s="20"/>
      <c r="U64" s="236"/>
      <c r="V64" s="236"/>
      <c r="W64" s="236"/>
      <c r="X64" s="14"/>
      <c r="Y64" s="236"/>
    </row>
    <row r="65" spans="1:25" x14ac:dyDescent="0.3">
      <c r="A65" s="236"/>
      <c r="B65" s="236"/>
      <c r="C65" s="236"/>
      <c r="D65" s="3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R65" s="20"/>
      <c r="S65" s="20"/>
      <c r="T65" s="20"/>
      <c r="U65" s="236"/>
      <c r="V65" s="236"/>
      <c r="W65" s="236"/>
      <c r="X65" s="14"/>
      <c r="Y65" s="236"/>
    </row>
  </sheetData>
  <autoFilter ref="Q7:Z52">
    <filterColumn colId="1" showButton="0"/>
    <filterColumn colId="2" showButton="0"/>
    <filterColumn colId="3" showButton="0"/>
  </autoFilter>
  <mergeCells count="19">
    <mergeCell ref="E2:Y2"/>
    <mergeCell ref="E3:Y3"/>
    <mergeCell ref="E4:Y4"/>
    <mergeCell ref="E5:AI5"/>
    <mergeCell ref="A7:A8"/>
    <mergeCell ref="B7:C8"/>
    <mergeCell ref="D7:D8"/>
    <mergeCell ref="E7:E8"/>
    <mergeCell ref="F7:P7"/>
    <mergeCell ref="Q7:Q8"/>
    <mergeCell ref="Q55:S55"/>
    <mergeCell ref="Q58:S58"/>
    <mergeCell ref="Q59:Y59"/>
    <mergeCell ref="R7:U7"/>
    <mergeCell ref="V7:V8"/>
    <mergeCell ref="W7:W8"/>
    <mergeCell ref="X7:X8"/>
    <mergeCell ref="Y7:Y8"/>
    <mergeCell ref="Q54:Y54"/>
  </mergeCells>
  <printOptions horizontalCentered="1"/>
  <pageMargins left="0.64" right="0.16" top="0.27" bottom="0.28000000000000003" header="0.2" footer="0.2"/>
  <pageSetup scale="98"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H45"/>
  <sheetViews>
    <sheetView topLeftCell="A14" zoomScale="110" zoomScaleNormal="110" workbookViewId="0">
      <selection activeCell="K17" sqref="K17"/>
    </sheetView>
  </sheetViews>
  <sheetFormatPr defaultRowHeight="18.75" x14ac:dyDescent="0.3"/>
  <cols>
    <col min="1" max="1" width="4" style="1" customWidth="1"/>
    <col min="2" max="2" width="4.59765625" style="1" customWidth="1"/>
    <col min="3" max="3" width="4.19921875" style="1" customWidth="1"/>
    <col min="4" max="4" width="15.59765625" customWidth="1"/>
    <col min="5" max="5" width="7.3984375" style="1" customWidth="1"/>
    <col min="6" max="16" width="2.796875" style="1" customWidth="1"/>
    <col min="17" max="17" width="5" style="25" customWidth="1"/>
    <col min="18" max="20" width="2.19921875" style="20" hidden="1" customWidth="1"/>
    <col min="21" max="22" width="3.3984375" style="235" hidden="1" customWidth="1"/>
    <col min="23" max="23" width="5.3984375" style="235" customWidth="1"/>
    <col min="24" max="24" width="4.3984375" style="14" hidden="1" customWidth="1"/>
    <col min="25" max="25" width="24.69921875" style="235" customWidth="1"/>
    <col min="26" max="26" width="6.3984375" customWidth="1"/>
    <col min="27" max="27" width="10.19921875" customWidth="1"/>
  </cols>
  <sheetData>
    <row r="1" spans="1:34" ht="7.5" customHeight="1" x14ac:dyDescent="0.3">
      <c r="Q1" s="5"/>
    </row>
    <row r="2" spans="1:34" s="6" customFormat="1" ht="17.25" x14ac:dyDescent="0.3">
      <c r="B2" s="8"/>
      <c r="C2" s="8"/>
      <c r="D2" s="8"/>
      <c r="E2" s="1199" t="s">
        <v>30</v>
      </c>
      <c r="F2" s="1199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9"/>
      <c r="W2" s="1199"/>
      <c r="X2" s="1199"/>
      <c r="Y2" s="1199"/>
    </row>
    <row r="3" spans="1:34" s="6" customFormat="1" ht="15.75" x14ac:dyDescent="0.25">
      <c r="B3" s="10"/>
      <c r="C3" s="10"/>
      <c r="D3" s="10"/>
      <c r="E3" s="1200" t="s">
        <v>476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0"/>
      <c r="R3" s="1200"/>
      <c r="S3" s="1200"/>
      <c r="T3" s="1200"/>
      <c r="U3" s="1200"/>
      <c r="V3" s="1200"/>
      <c r="W3" s="1200"/>
      <c r="X3" s="1200"/>
      <c r="Y3" s="1200"/>
    </row>
    <row r="4" spans="1:34" s="6" customFormat="1" ht="15.75" hidden="1" x14ac:dyDescent="0.25">
      <c r="B4" s="11"/>
      <c r="C4" s="11"/>
      <c r="D4" s="11"/>
      <c r="E4" s="1201" t="s">
        <v>34</v>
      </c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1"/>
      <c r="U4" s="1201"/>
      <c r="V4" s="1201"/>
      <c r="W4" s="1201"/>
      <c r="X4" s="1201"/>
      <c r="Y4" s="1201"/>
    </row>
    <row r="5" spans="1:34" s="6" customFormat="1" ht="15.75" customHeight="1" x14ac:dyDescent="0.25">
      <c r="B5" s="10"/>
      <c r="C5" s="10"/>
      <c r="D5" s="10"/>
      <c r="E5" s="1202" t="s">
        <v>468</v>
      </c>
      <c r="F5" s="1202"/>
      <c r="G5" s="1202"/>
      <c r="H5" s="1202"/>
      <c r="I5" s="1202"/>
      <c r="J5" s="1202"/>
      <c r="K5" s="1202"/>
      <c r="L5" s="1202"/>
      <c r="M5" s="1202"/>
      <c r="N5" s="1202"/>
      <c r="O5" s="1202"/>
      <c r="P5" s="1202"/>
      <c r="Q5" s="1202"/>
      <c r="R5" s="1202"/>
      <c r="S5" s="1202"/>
      <c r="T5" s="1202"/>
      <c r="U5" s="1202"/>
      <c r="V5" s="1202"/>
      <c r="W5" s="1202"/>
      <c r="X5" s="1202"/>
      <c r="Y5" s="1202"/>
      <c r="Z5" s="1202"/>
      <c r="AA5" s="1202"/>
      <c r="AB5" s="1202"/>
      <c r="AC5" s="1202"/>
      <c r="AD5" s="1202"/>
      <c r="AE5" s="1202"/>
      <c r="AF5" s="1202"/>
      <c r="AG5" s="1202"/>
      <c r="AH5" s="1202"/>
    </row>
    <row r="6" spans="1:34" ht="0.75" customHeight="1" thickBo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34"/>
      <c r="R6" s="177"/>
      <c r="S6" s="177"/>
      <c r="T6" s="177"/>
      <c r="U6" s="234"/>
      <c r="V6" s="234"/>
      <c r="W6" s="234"/>
      <c r="X6" s="234"/>
      <c r="Y6" s="234"/>
      <c r="Z6" s="112">
        <v>11</v>
      </c>
    </row>
    <row r="7" spans="1:34" s="351" customFormat="1" ht="23.25" customHeight="1" thickTop="1" x14ac:dyDescent="0.2">
      <c r="A7" s="1268" t="s">
        <v>91</v>
      </c>
      <c r="B7" s="1270" t="s">
        <v>106</v>
      </c>
      <c r="C7" s="1271"/>
      <c r="D7" s="1274" t="s">
        <v>92</v>
      </c>
      <c r="E7" s="1274" t="s">
        <v>93</v>
      </c>
      <c r="F7" s="1261" t="s">
        <v>132</v>
      </c>
      <c r="G7" s="1262"/>
      <c r="H7" s="1262"/>
      <c r="I7" s="1262"/>
      <c r="J7" s="1262"/>
      <c r="K7" s="1262"/>
      <c r="L7" s="1262"/>
      <c r="M7" s="1262"/>
      <c r="N7" s="1262"/>
      <c r="O7" s="1262"/>
      <c r="P7" s="672"/>
      <c r="Q7" s="1277" t="s">
        <v>102</v>
      </c>
      <c r="R7" s="1261" t="s">
        <v>104</v>
      </c>
      <c r="S7" s="1262"/>
      <c r="T7" s="1262"/>
      <c r="U7" s="1263"/>
      <c r="V7" s="1264" t="s">
        <v>99</v>
      </c>
      <c r="W7" s="1264" t="s">
        <v>100</v>
      </c>
      <c r="X7" s="1264" t="s">
        <v>103</v>
      </c>
      <c r="Y7" s="1266" t="s">
        <v>90</v>
      </c>
    </row>
    <row r="8" spans="1:34" s="351" customFormat="1" ht="117" customHeight="1" x14ac:dyDescent="0.2">
      <c r="A8" s="1269"/>
      <c r="B8" s="1272"/>
      <c r="C8" s="1273"/>
      <c r="D8" s="1289"/>
      <c r="E8" s="1289"/>
      <c r="F8" s="279" t="s">
        <v>313</v>
      </c>
      <c r="G8" s="279" t="s">
        <v>330</v>
      </c>
      <c r="H8" s="279" t="s">
        <v>43</v>
      </c>
      <c r="I8" s="556" t="s">
        <v>107</v>
      </c>
      <c r="J8" s="279" t="s">
        <v>111</v>
      </c>
      <c r="K8" s="559" t="s">
        <v>323</v>
      </c>
      <c r="L8" s="463" t="s">
        <v>326</v>
      </c>
      <c r="M8" s="280" t="s">
        <v>96</v>
      </c>
      <c r="N8" s="413" t="s">
        <v>458</v>
      </c>
      <c r="O8" s="282" t="s">
        <v>113</v>
      </c>
      <c r="P8" s="456" t="s">
        <v>1784</v>
      </c>
      <c r="Q8" s="1278"/>
      <c r="R8" s="279" t="s">
        <v>108</v>
      </c>
      <c r="S8" s="279" t="s">
        <v>97</v>
      </c>
      <c r="T8" s="279" t="s">
        <v>96</v>
      </c>
      <c r="U8" s="284" t="s">
        <v>98</v>
      </c>
      <c r="V8" s="1290"/>
      <c r="W8" s="1290"/>
      <c r="X8" s="1290"/>
      <c r="Y8" s="1267"/>
      <c r="Z8" s="544" t="s">
        <v>94</v>
      </c>
    </row>
    <row r="9" spans="1:34" s="256" customFormat="1" ht="15.75" customHeight="1" x14ac:dyDescent="0.2">
      <c r="A9" s="285">
        <v>1</v>
      </c>
      <c r="B9" s="245" t="s">
        <v>21</v>
      </c>
      <c r="C9" s="246">
        <v>2022</v>
      </c>
      <c r="D9" s="310" t="s">
        <v>1416</v>
      </c>
      <c r="E9" s="296" t="s">
        <v>1417</v>
      </c>
      <c r="F9" s="266">
        <v>8</v>
      </c>
      <c r="G9" s="266">
        <v>6.6</v>
      </c>
      <c r="H9" s="266">
        <v>7</v>
      </c>
      <c r="I9" s="266">
        <v>8</v>
      </c>
      <c r="J9" s="266">
        <v>8</v>
      </c>
      <c r="K9" s="266">
        <v>8</v>
      </c>
      <c r="L9" s="266">
        <v>8</v>
      </c>
      <c r="M9" s="266">
        <v>7.5</v>
      </c>
      <c r="N9" s="266">
        <v>7.5</v>
      </c>
      <c r="O9" s="266">
        <v>7</v>
      </c>
      <c r="P9" s="297">
        <v>7.5</v>
      </c>
      <c r="Q9" s="243">
        <f>SUM(F9:P9)/11</f>
        <v>7.5545454545454538</v>
      </c>
      <c r="R9" s="266"/>
      <c r="S9" s="266"/>
      <c r="T9" s="266"/>
      <c r="U9" s="286">
        <f>SUM(R9:T9)/3</f>
        <v>0</v>
      </c>
      <c r="V9" s="286">
        <f>SUM(Q9+U9)/2</f>
        <v>3.7772727272727269</v>
      </c>
      <c r="W9" s="257"/>
      <c r="X9" s="271"/>
      <c r="Y9" s="259" t="s">
        <v>666</v>
      </c>
      <c r="Z9" s="560"/>
      <c r="AA9" s="357">
        <f>AVERAGE(F9:P9)</f>
        <v>7.5545454545454538</v>
      </c>
    </row>
    <row r="10" spans="1:34" s="256" customFormat="1" ht="15.75" customHeight="1" x14ac:dyDescent="0.2">
      <c r="A10" s="287">
        <v>2</v>
      </c>
      <c r="B10" s="245"/>
      <c r="C10" s="246">
        <v>2022</v>
      </c>
      <c r="D10" s="311" t="s">
        <v>1418</v>
      </c>
      <c r="E10" s="292" t="s">
        <v>583</v>
      </c>
      <c r="F10" s="242">
        <v>8</v>
      </c>
      <c r="G10" s="242">
        <v>7</v>
      </c>
      <c r="H10" s="242">
        <v>7</v>
      </c>
      <c r="I10" s="242">
        <v>7</v>
      </c>
      <c r="J10" s="242">
        <v>8</v>
      </c>
      <c r="K10" s="242">
        <v>9</v>
      </c>
      <c r="L10" s="242">
        <v>8</v>
      </c>
      <c r="M10" s="242">
        <v>7</v>
      </c>
      <c r="N10" s="242">
        <v>7</v>
      </c>
      <c r="O10" s="242">
        <v>7</v>
      </c>
      <c r="P10" s="242">
        <v>7</v>
      </c>
      <c r="Q10" s="243">
        <f t="shared" ref="Q10:Q32" si="0">SUM(F10:P10)/11</f>
        <v>7.4545454545454541</v>
      </c>
      <c r="R10" s="242"/>
      <c r="S10" s="242"/>
      <c r="T10" s="242"/>
      <c r="U10" s="277">
        <f t="shared" ref="U10:U18" si="1">SUM(R10:T10)/3</f>
        <v>0</v>
      </c>
      <c r="V10" s="277">
        <f t="shared" ref="V10:V18" si="2">SUM(Q10+U10)/2</f>
        <v>3.7272727272727271</v>
      </c>
      <c r="W10" s="252"/>
      <c r="X10" s="273"/>
      <c r="Y10" s="263" t="s">
        <v>186</v>
      </c>
      <c r="Z10" s="560"/>
      <c r="AA10" s="357">
        <f t="shared" ref="AA10:AA32" si="3">AVERAGE(F10:P10)</f>
        <v>7.4545454545454541</v>
      </c>
    </row>
    <row r="11" spans="1:34" s="256" customFormat="1" ht="15.75" customHeight="1" x14ac:dyDescent="0.2">
      <c r="A11" s="287">
        <v>3</v>
      </c>
      <c r="B11" s="245"/>
      <c r="C11" s="246">
        <v>2022</v>
      </c>
      <c r="D11" s="311" t="s">
        <v>1419</v>
      </c>
      <c r="E11" s="292" t="s">
        <v>1044</v>
      </c>
      <c r="F11" s="242">
        <v>7</v>
      </c>
      <c r="G11" s="242">
        <v>6.5</v>
      </c>
      <c r="H11" s="242">
        <v>7</v>
      </c>
      <c r="I11" s="242">
        <v>7</v>
      </c>
      <c r="J11" s="242">
        <v>7.5</v>
      </c>
      <c r="K11" s="242">
        <v>8</v>
      </c>
      <c r="L11" s="242">
        <v>8</v>
      </c>
      <c r="M11" s="242">
        <v>7</v>
      </c>
      <c r="N11" s="242">
        <v>6</v>
      </c>
      <c r="O11" s="242">
        <v>7</v>
      </c>
      <c r="P11" s="242">
        <v>6.5</v>
      </c>
      <c r="Q11" s="243">
        <f t="shared" si="0"/>
        <v>7.0454545454545459</v>
      </c>
      <c r="R11" s="242"/>
      <c r="S11" s="242"/>
      <c r="T11" s="242"/>
      <c r="U11" s="277">
        <f t="shared" si="1"/>
        <v>0</v>
      </c>
      <c r="V11" s="277">
        <f t="shared" si="2"/>
        <v>3.5227272727272729</v>
      </c>
      <c r="W11" s="252"/>
      <c r="X11" s="273"/>
      <c r="Y11" s="263" t="s">
        <v>241</v>
      </c>
      <c r="Z11" s="560"/>
      <c r="AA11" s="357">
        <f t="shared" si="3"/>
        <v>7.0454545454545459</v>
      </c>
    </row>
    <row r="12" spans="1:34" s="256" customFormat="1" ht="15.75" customHeight="1" x14ac:dyDescent="0.2">
      <c r="A12" s="287">
        <v>4</v>
      </c>
      <c r="B12" s="245"/>
      <c r="C12" s="246">
        <v>2022</v>
      </c>
      <c r="D12" s="311" t="s">
        <v>1420</v>
      </c>
      <c r="E12" s="292" t="s">
        <v>1421</v>
      </c>
      <c r="F12" s="242">
        <v>6</v>
      </c>
      <c r="G12" s="242">
        <v>8.1999999999999993</v>
      </c>
      <c r="H12" s="242">
        <v>7</v>
      </c>
      <c r="I12" s="242">
        <v>7</v>
      </c>
      <c r="J12" s="242">
        <v>8</v>
      </c>
      <c r="K12" s="242">
        <v>9</v>
      </c>
      <c r="L12" s="242">
        <v>8</v>
      </c>
      <c r="M12" s="242">
        <v>7.5</v>
      </c>
      <c r="N12" s="242">
        <v>7</v>
      </c>
      <c r="O12" s="242">
        <v>7.5</v>
      </c>
      <c r="P12" s="242">
        <v>7</v>
      </c>
      <c r="Q12" s="243">
        <f t="shared" si="0"/>
        <v>7.4727272727272727</v>
      </c>
      <c r="R12" s="242"/>
      <c r="S12" s="242"/>
      <c r="T12" s="242"/>
      <c r="U12" s="277">
        <f t="shared" si="1"/>
        <v>0</v>
      </c>
      <c r="V12" s="277">
        <f t="shared" si="2"/>
        <v>3.7363636363636363</v>
      </c>
      <c r="W12" s="252"/>
      <c r="X12" s="273"/>
      <c r="Y12" s="263" t="s">
        <v>666</v>
      </c>
      <c r="Z12" s="560"/>
      <c r="AA12" s="357">
        <f t="shared" si="3"/>
        <v>7.4727272727272727</v>
      </c>
    </row>
    <row r="13" spans="1:34" s="256" customFormat="1" ht="15.75" customHeight="1" x14ac:dyDescent="0.2">
      <c r="A13" s="287">
        <v>5</v>
      </c>
      <c r="B13" s="245"/>
      <c r="C13" s="246">
        <v>2022</v>
      </c>
      <c r="D13" s="311" t="s">
        <v>1422</v>
      </c>
      <c r="E13" s="292" t="s">
        <v>546</v>
      </c>
      <c r="F13" s="242">
        <v>7</v>
      </c>
      <c r="G13" s="242">
        <v>8</v>
      </c>
      <c r="H13" s="242">
        <v>8</v>
      </c>
      <c r="I13" s="242">
        <v>6</v>
      </c>
      <c r="J13" s="242">
        <v>6</v>
      </c>
      <c r="K13" s="242">
        <v>9</v>
      </c>
      <c r="L13" s="242">
        <v>7</v>
      </c>
      <c r="M13" s="242">
        <v>7</v>
      </c>
      <c r="N13" s="242">
        <v>7</v>
      </c>
      <c r="O13" s="242">
        <v>7</v>
      </c>
      <c r="P13" s="242">
        <v>6.5</v>
      </c>
      <c r="Q13" s="243">
        <f t="shared" si="0"/>
        <v>7.1363636363636367</v>
      </c>
      <c r="R13" s="242"/>
      <c r="S13" s="242"/>
      <c r="T13" s="242"/>
      <c r="U13" s="277">
        <f t="shared" si="1"/>
        <v>0</v>
      </c>
      <c r="V13" s="277">
        <f t="shared" si="2"/>
        <v>3.5681818181818183</v>
      </c>
      <c r="W13" s="252"/>
      <c r="X13" s="273"/>
      <c r="Y13" s="263" t="s">
        <v>666</v>
      </c>
      <c r="Z13" s="560"/>
      <c r="AA13" s="357">
        <f t="shared" si="3"/>
        <v>7.1363636363636367</v>
      </c>
    </row>
    <row r="14" spans="1:34" s="256" customFormat="1" ht="15.75" customHeight="1" x14ac:dyDescent="0.2">
      <c r="A14" s="287">
        <v>6</v>
      </c>
      <c r="B14" s="245"/>
      <c r="C14" s="246">
        <v>2022</v>
      </c>
      <c r="D14" s="311" t="s">
        <v>1423</v>
      </c>
      <c r="E14" s="292" t="s">
        <v>1424</v>
      </c>
      <c r="F14" s="242">
        <v>7</v>
      </c>
      <c r="G14" s="242">
        <v>6.8</v>
      </c>
      <c r="H14" s="242">
        <v>7.5</v>
      </c>
      <c r="I14" s="242">
        <v>7</v>
      </c>
      <c r="J14" s="242">
        <v>8</v>
      </c>
      <c r="K14" s="242">
        <v>10</v>
      </c>
      <c r="L14" s="242">
        <v>8</v>
      </c>
      <c r="M14" s="242">
        <v>7</v>
      </c>
      <c r="N14" s="242">
        <v>7</v>
      </c>
      <c r="O14" s="242">
        <v>7</v>
      </c>
      <c r="P14" s="242">
        <v>6.5</v>
      </c>
      <c r="Q14" s="243">
        <f t="shared" si="0"/>
        <v>7.4363636363636365</v>
      </c>
      <c r="R14" s="242"/>
      <c r="S14" s="242"/>
      <c r="T14" s="242"/>
      <c r="U14" s="277">
        <f t="shared" si="1"/>
        <v>0</v>
      </c>
      <c r="V14" s="277">
        <f t="shared" si="2"/>
        <v>3.7181818181818183</v>
      </c>
      <c r="W14" s="252"/>
      <c r="X14" s="273"/>
      <c r="Y14" s="263" t="s">
        <v>218</v>
      </c>
      <c r="Z14" s="560"/>
      <c r="AA14" s="357">
        <f t="shared" si="3"/>
        <v>7.4363636363636365</v>
      </c>
    </row>
    <row r="15" spans="1:34" s="256" customFormat="1" ht="15.75" customHeight="1" x14ac:dyDescent="0.2">
      <c r="A15" s="287">
        <v>7</v>
      </c>
      <c r="B15" s="245"/>
      <c r="C15" s="246">
        <v>2022</v>
      </c>
      <c r="D15" s="311" t="s">
        <v>1425</v>
      </c>
      <c r="E15" s="292" t="s">
        <v>1426</v>
      </c>
      <c r="F15" s="242">
        <v>6</v>
      </c>
      <c r="G15" s="242">
        <v>7.5</v>
      </c>
      <c r="H15" s="242">
        <v>8</v>
      </c>
      <c r="I15" s="242">
        <v>7</v>
      </c>
      <c r="J15" s="242">
        <v>7</v>
      </c>
      <c r="K15" s="242">
        <v>9</v>
      </c>
      <c r="L15" s="242">
        <v>6</v>
      </c>
      <c r="M15" s="242">
        <v>7</v>
      </c>
      <c r="N15" s="242">
        <v>5.5</v>
      </c>
      <c r="O15" s="242">
        <v>7</v>
      </c>
      <c r="P15" s="242">
        <v>6.5</v>
      </c>
      <c r="Q15" s="243">
        <f t="shared" si="0"/>
        <v>6.9545454545454541</v>
      </c>
      <c r="R15" s="242"/>
      <c r="S15" s="242"/>
      <c r="T15" s="242"/>
      <c r="U15" s="277">
        <f t="shared" si="1"/>
        <v>0</v>
      </c>
      <c r="V15" s="277">
        <f t="shared" si="2"/>
        <v>3.4772727272727271</v>
      </c>
      <c r="W15" s="252"/>
      <c r="X15" s="273"/>
      <c r="Y15" s="263" t="s">
        <v>196</v>
      </c>
      <c r="Z15" s="560"/>
      <c r="AA15" s="628">
        <f t="shared" si="3"/>
        <v>6.9545454545454541</v>
      </c>
    </row>
    <row r="16" spans="1:34" s="256" customFormat="1" ht="15.75" customHeight="1" x14ac:dyDescent="0.2">
      <c r="A16" s="287">
        <v>8</v>
      </c>
      <c r="B16" s="245"/>
      <c r="C16" s="246">
        <v>2022</v>
      </c>
      <c r="D16" s="311" t="s">
        <v>1427</v>
      </c>
      <c r="E16" s="292" t="s">
        <v>1428</v>
      </c>
      <c r="F16" s="242">
        <v>8</v>
      </c>
      <c r="G16" s="242">
        <v>8</v>
      </c>
      <c r="H16" s="242">
        <v>8</v>
      </c>
      <c r="I16" s="242">
        <v>8</v>
      </c>
      <c r="J16" s="242">
        <v>8</v>
      </c>
      <c r="K16" s="242">
        <v>10</v>
      </c>
      <c r="L16" s="242">
        <v>8</v>
      </c>
      <c r="M16" s="242">
        <v>8</v>
      </c>
      <c r="N16" s="242">
        <v>8</v>
      </c>
      <c r="O16" s="242">
        <v>8</v>
      </c>
      <c r="P16" s="242">
        <v>8</v>
      </c>
      <c r="Q16" s="444">
        <f t="shared" si="0"/>
        <v>8.1818181818181817</v>
      </c>
      <c r="R16" s="242"/>
      <c r="S16" s="242"/>
      <c r="T16" s="242"/>
      <c r="U16" s="277">
        <f t="shared" si="1"/>
        <v>0</v>
      </c>
      <c r="V16" s="277">
        <f t="shared" si="2"/>
        <v>4.0909090909090908</v>
      </c>
      <c r="W16" s="252"/>
      <c r="X16" s="273"/>
      <c r="Y16" s="263" t="s">
        <v>171</v>
      </c>
      <c r="Z16" s="560"/>
      <c r="AA16" s="613">
        <f t="shared" si="3"/>
        <v>8.1818181818181817</v>
      </c>
    </row>
    <row r="17" spans="1:27" s="256" customFormat="1" ht="15.75" customHeight="1" x14ac:dyDescent="0.2">
      <c r="A17" s="287">
        <v>9</v>
      </c>
      <c r="B17" s="245"/>
      <c r="C17" s="246">
        <v>2022</v>
      </c>
      <c r="D17" s="311" t="s">
        <v>1429</v>
      </c>
      <c r="E17" s="292" t="s">
        <v>165</v>
      </c>
      <c r="F17" s="242">
        <v>8</v>
      </c>
      <c r="G17" s="242">
        <v>8</v>
      </c>
      <c r="H17" s="242">
        <v>8</v>
      </c>
      <c r="I17" s="242">
        <v>7</v>
      </c>
      <c r="J17" s="242">
        <v>8</v>
      </c>
      <c r="K17" s="242">
        <v>10</v>
      </c>
      <c r="L17" s="242">
        <v>8</v>
      </c>
      <c r="M17" s="242">
        <v>8</v>
      </c>
      <c r="N17" s="242">
        <v>7</v>
      </c>
      <c r="O17" s="242">
        <v>8</v>
      </c>
      <c r="P17" s="242">
        <v>6.5</v>
      </c>
      <c r="Q17" s="243">
        <f t="shared" si="0"/>
        <v>7.8636363636363633</v>
      </c>
      <c r="R17" s="242"/>
      <c r="S17" s="242"/>
      <c r="T17" s="242"/>
      <c r="U17" s="277">
        <f t="shared" si="1"/>
        <v>0</v>
      </c>
      <c r="V17" s="277">
        <f t="shared" si="2"/>
        <v>3.9318181818181817</v>
      </c>
      <c r="W17" s="252"/>
      <c r="X17" s="273"/>
      <c r="Y17" s="263" t="s">
        <v>666</v>
      </c>
      <c r="Z17" s="560"/>
      <c r="AA17" s="357">
        <f t="shared" si="3"/>
        <v>7.8636363636363633</v>
      </c>
    </row>
    <row r="18" spans="1:27" s="256" customFormat="1" ht="15.75" customHeight="1" x14ac:dyDescent="0.2">
      <c r="A18" s="287">
        <v>10</v>
      </c>
      <c r="B18" s="245"/>
      <c r="C18" s="246">
        <v>2022</v>
      </c>
      <c r="D18" s="311" t="s">
        <v>1430</v>
      </c>
      <c r="E18" s="292" t="s">
        <v>949</v>
      </c>
      <c r="F18" s="242">
        <v>8</v>
      </c>
      <c r="G18" s="242">
        <v>8.4</v>
      </c>
      <c r="H18" s="242">
        <v>8</v>
      </c>
      <c r="I18" s="242">
        <v>7</v>
      </c>
      <c r="J18" s="242">
        <v>7</v>
      </c>
      <c r="K18" s="242">
        <v>8</v>
      </c>
      <c r="L18" s="242">
        <v>8</v>
      </c>
      <c r="M18" s="242">
        <v>7</v>
      </c>
      <c r="N18" s="242">
        <v>5.5</v>
      </c>
      <c r="O18" s="242">
        <v>7</v>
      </c>
      <c r="P18" s="242">
        <v>6.5</v>
      </c>
      <c r="Q18" s="243">
        <f t="shared" si="0"/>
        <v>7.3090909090909095</v>
      </c>
      <c r="R18" s="242"/>
      <c r="S18" s="242"/>
      <c r="T18" s="242"/>
      <c r="U18" s="277">
        <f t="shared" si="1"/>
        <v>0</v>
      </c>
      <c r="V18" s="277">
        <f t="shared" si="2"/>
        <v>3.6545454545454548</v>
      </c>
      <c r="W18" s="252"/>
      <c r="X18" s="273"/>
      <c r="Y18" s="263" t="s">
        <v>666</v>
      </c>
      <c r="Z18" s="560"/>
      <c r="AA18" s="357">
        <f t="shared" si="3"/>
        <v>7.3090909090909095</v>
      </c>
    </row>
    <row r="19" spans="1:27" s="256" customFormat="1" ht="15.75" customHeight="1" x14ac:dyDescent="0.2">
      <c r="A19" s="287">
        <v>11</v>
      </c>
      <c r="B19" s="245"/>
      <c r="C19" s="246">
        <v>2022</v>
      </c>
      <c r="D19" s="311" t="s">
        <v>1431</v>
      </c>
      <c r="E19" s="292" t="s">
        <v>720</v>
      </c>
      <c r="F19" s="242">
        <v>7.5</v>
      </c>
      <c r="G19" s="242">
        <v>8.4</v>
      </c>
      <c r="H19" s="242">
        <v>7.5</v>
      </c>
      <c r="I19" s="242">
        <v>5.5</v>
      </c>
      <c r="J19" s="242">
        <v>7</v>
      </c>
      <c r="K19" s="242">
        <v>9</v>
      </c>
      <c r="L19" s="242">
        <v>7</v>
      </c>
      <c r="M19" s="242">
        <v>7.5</v>
      </c>
      <c r="N19" s="242">
        <v>7</v>
      </c>
      <c r="O19" s="242">
        <v>8</v>
      </c>
      <c r="P19" s="242">
        <v>6.5</v>
      </c>
      <c r="Q19" s="243">
        <f t="shared" si="0"/>
        <v>7.3545454545454554</v>
      </c>
      <c r="R19" s="242"/>
      <c r="S19" s="242"/>
      <c r="T19" s="242"/>
      <c r="U19" s="277"/>
      <c r="V19" s="277"/>
      <c r="W19" s="252"/>
      <c r="X19" s="273"/>
      <c r="Y19" s="263" t="s">
        <v>196</v>
      </c>
      <c r="Z19" s="560"/>
      <c r="AA19" s="357">
        <f t="shared" si="3"/>
        <v>7.3545454545454554</v>
      </c>
    </row>
    <row r="20" spans="1:27" s="256" customFormat="1" ht="15.75" customHeight="1" x14ac:dyDescent="0.2">
      <c r="A20" s="287">
        <v>12</v>
      </c>
      <c r="B20" s="245"/>
      <c r="C20" s="246">
        <v>2022</v>
      </c>
      <c r="D20" s="311" t="s">
        <v>1432</v>
      </c>
      <c r="E20" s="292" t="s">
        <v>1433</v>
      </c>
      <c r="F20" s="242">
        <v>8</v>
      </c>
      <c r="G20" s="242">
        <v>7.5</v>
      </c>
      <c r="H20" s="242">
        <v>8</v>
      </c>
      <c r="I20" s="242">
        <v>7</v>
      </c>
      <c r="J20" s="242">
        <v>8</v>
      </c>
      <c r="K20" s="242">
        <v>10</v>
      </c>
      <c r="L20" s="242">
        <v>8</v>
      </c>
      <c r="M20" s="242">
        <v>7.5</v>
      </c>
      <c r="N20" s="242">
        <v>7</v>
      </c>
      <c r="O20" s="242">
        <v>7</v>
      </c>
      <c r="P20" s="242">
        <v>6.5</v>
      </c>
      <c r="Q20" s="243">
        <f t="shared" si="0"/>
        <v>7.6818181818181817</v>
      </c>
      <c r="R20" s="242"/>
      <c r="S20" s="242"/>
      <c r="T20" s="242"/>
      <c r="U20" s="277"/>
      <c r="V20" s="277"/>
      <c r="W20" s="252"/>
      <c r="X20" s="273"/>
      <c r="Y20" s="263" t="s">
        <v>196</v>
      </c>
      <c r="Z20" s="560"/>
      <c r="AA20" s="357">
        <f t="shared" si="3"/>
        <v>7.6818181818181817</v>
      </c>
    </row>
    <row r="21" spans="1:27" s="256" customFormat="1" ht="15.75" customHeight="1" x14ac:dyDescent="0.2">
      <c r="A21" s="287">
        <v>13</v>
      </c>
      <c r="B21" s="245"/>
      <c r="C21" s="246">
        <v>2022</v>
      </c>
      <c r="D21" s="311" t="s">
        <v>1434</v>
      </c>
      <c r="E21" s="292" t="s">
        <v>1435</v>
      </c>
      <c r="F21" s="242">
        <v>7</v>
      </c>
      <c r="G21" s="242">
        <v>7.5</v>
      </c>
      <c r="H21" s="242">
        <v>8</v>
      </c>
      <c r="I21" s="242">
        <v>7</v>
      </c>
      <c r="J21" s="242">
        <v>8</v>
      </c>
      <c r="K21" s="242">
        <v>9</v>
      </c>
      <c r="L21" s="242">
        <v>7</v>
      </c>
      <c r="M21" s="242">
        <v>7.5</v>
      </c>
      <c r="N21" s="242">
        <v>7</v>
      </c>
      <c r="O21" s="242">
        <v>7</v>
      </c>
      <c r="P21" s="242">
        <v>6.5</v>
      </c>
      <c r="Q21" s="243">
        <f t="shared" si="0"/>
        <v>7.4090909090909092</v>
      </c>
      <c r="R21" s="242"/>
      <c r="S21" s="242"/>
      <c r="T21" s="242"/>
      <c r="U21" s="277">
        <f>SUM(R21:T21)/3</f>
        <v>0</v>
      </c>
      <c r="V21" s="277">
        <f>SUM(Q21+U21)/2</f>
        <v>3.7045454545454546</v>
      </c>
      <c r="W21" s="252"/>
      <c r="X21" s="273"/>
      <c r="Y21" s="263" t="s">
        <v>196</v>
      </c>
      <c r="Z21" s="560"/>
      <c r="AA21" s="357">
        <f t="shared" si="3"/>
        <v>7.4090909090909092</v>
      </c>
    </row>
    <row r="22" spans="1:27" s="256" customFormat="1" ht="15.75" customHeight="1" x14ac:dyDescent="0.2">
      <c r="A22" s="287">
        <v>14</v>
      </c>
      <c r="B22" s="245"/>
      <c r="C22" s="246">
        <v>2022</v>
      </c>
      <c r="D22" s="311" t="s">
        <v>1436</v>
      </c>
      <c r="E22" s="292" t="s">
        <v>1437</v>
      </c>
      <c r="F22" s="242">
        <v>7</v>
      </c>
      <c r="G22" s="242">
        <v>7</v>
      </c>
      <c r="H22" s="242">
        <v>8</v>
      </c>
      <c r="I22" s="242">
        <v>7</v>
      </c>
      <c r="J22" s="242">
        <v>8</v>
      </c>
      <c r="K22" s="242">
        <v>9</v>
      </c>
      <c r="L22" s="242">
        <v>7</v>
      </c>
      <c r="M22" s="242">
        <v>7.5</v>
      </c>
      <c r="N22" s="242">
        <v>7</v>
      </c>
      <c r="O22" s="242">
        <v>7</v>
      </c>
      <c r="P22" s="242">
        <v>7</v>
      </c>
      <c r="Q22" s="243">
        <f t="shared" si="0"/>
        <v>7.4090909090909092</v>
      </c>
      <c r="R22" s="242"/>
      <c r="S22" s="242"/>
      <c r="T22" s="242"/>
      <c r="U22" s="277">
        <f>SUM(R22:T22)/3</f>
        <v>0</v>
      </c>
      <c r="V22" s="277">
        <f>SUM(Q22+U22)/2</f>
        <v>3.7045454545454546</v>
      </c>
      <c r="W22" s="252"/>
      <c r="X22" s="273"/>
      <c r="Y22" s="263" t="s">
        <v>196</v>
      </c>
      <c r="Z22" s="560"/>
      <c r="AA22" s="357">
        <f t="shared" si="3"/>
        <v>7.4090909090909092</v>
      </c>
    </row>
    <row r="23" spans="1:27" s="256" customFormat="1" ht="15.75" customHeight="1" x14ac:dyDescent="0.2">
      <c r="A23" s="287">
        <v>15</v>
      </c>
      <c r="B23" s="245"/>
      <c r="C23" s="246">
        <v>2022</v>
      </c>
      <c r="D23" s="311" t="s">
        <v>1438</v>
      </c>
      <c r="E23" s="292" t="s">
        <v>1082</v>
      </c>
      <c r="F23" s="242">
        <v>7</v>
      </c>
      <c r="G23" s="242">
        <v>7.5</v>
      </c>
      <c r="H23" s="242">
        <v>7</v>
      </c>
      <c r="I23" s="242">
        <v>5.5</v>
      </c>
      <c r="J23" s="242">
        <v>7</v>
      </c>
      <c r="K23" s="242">
        <v>8</v>
      </c>
      <c r="L23" s="242">
        <v>7.5</v>
      </c>
      <c r="M23" s="242">
        <v>7.5</v>
      </c>
      <c r="N23" s="242">
        <v>5.5</v>
      </c>
      <c r="O23" s="242">
        <v>7</v>
      </c>
      <c r="P23" s="242">
        <v>6.5</v>
      </c>
      <c r="Q23" s="243">
        <f t="shared" si="0"/>
        <v>6.9090909090909092</v>
      </c>
      <c r="R23" s="242"/>
      <c r="S23" s="242"/>
      <c r="T23" s="242"/>
      <c r="U23" s="277">
        <f>SUM(R23:T23)/3</f>
        <v>0</v>
      </c>
      <c r="V23" s="277">
        <f>SUM(Q23+U23)/2</f>
        <v>3.4545454545454546</v>
      </c>
      <c r="W23" s="252"/>
      <c r="X23" s="273"/>
      <c r="Y23" s="263" t="s">
        <v>216</v>
      </c>
      <c r="Z23" s="560"/>
      <c r="AA23" s="628">
        <f t="shared" si="3"/>
        <v>6.9090909090909092</v>
      </c>
    </row>
    <row r="24" spans="1:27" s="256" customFormat="1" ht="15.75" customHeight="1" x14ac:dyDescent="0.2">
      <c r="A24" s="287">
        <v>16</v>
      </c>
      <c r="B24" s="245"/>
      <c r="C24" s="246">
        <v>2022</v>
      </c>
      <c r="D24" s="311" t="s">
        <v>1439</v>
      </c>
      <c r="E24" s="292" t="s">
        <v>643</v>
      </c>
      <c r="F24" s="242">
        <v>8</v>
      </c>
      <c r="G24" s="242">
        <v>6.5</v>
      </c>
      <c r="H24" s="242">
        <v>7.5</v>
      </c>
      <c r="I24" s="242">
        <v>7</v>
      </c>
      <c r="J24" s="242">
        <v>7.5</v>
      </c>
      <c r="K24" s="242">
        <v>10</v>
      </c>
      <c r="L24" s="242">
        <v>7.5</v>
      </c>
      <c r="M24" s="242">
        <v>6.5</v>
      </c>
      <c r="N24" s="242">
        <v>7</v>
      </c>
      <c r="O24" s="242">
        <v>7</v>
      </c>
      <c r="P24" s="242">
        <v>7</v>
      </c>
      <c r="Q24" s="243">
        <f t="shared" si="0"/>
        <v>7.4090909090909092</v>
      </c>
      <c r="R24" s="242"/>
      <c r="S24" s="242"/>
      <c r="T24" s="242"/>
      <c r="U24" s="277">
        <f>SUM(R24:T24)/3</f>
        <v>0</v>
      </c>
      <c r="V24" s="277">
        <f>SUM(Q24+U24)/2</f>
        <v>3.7045454545454546</v>
      </c>
      <c r="W24" s="252"/>
      <c r="X24" s="273"/>
      <c r="Y24" s="263" t="s">
        <v>141</v>
      </c>
      <c r="Z24" s="560"/>
      <c r="AA24" s="357">
        <f t="shared" si="3"/>
        <v>7.4090909090909092</v>
      </c>
    </row>
    <row r="25" spans="1:27" s="256" customFormat="1" ht="15.75" customHeight="1" x14ac:dyDescent="0.2">
      <c r="A25" s="287">
        <v>17</v>
      </c>
      <c r="B25" s="245"/>
      <c r="C25" s="246">
        <v>2022</v>
      </c>
      <c r="D25" s="311" t="s">
        <v>1440</v>
      </c>
      <c r="E25" s="292" t="s">
        <v>1441</v>
      </c>
      <c r="F25" s="242">
        <v>7</v>
      </c>
      <c r="G25" s="242">
        <v>7.5</v>
      </c>
      <c r="H25" s="242">
        <v>8</v>
      </c>
      <c r="I25" s="242">
        <v>7</v>
      </c>
      <c r="J25" s="242">
        <v>8</v>
      </c>
      <c r="K25" s="242">
        <v>8</v>
      </c>
      <c r="L25" s="242">
        <v>6.5</v>
      </c>
      <c r="M25" s="242">
        <v>7.5</v>
      </c>
      <c r="N25" s="242">
        <v>7.5</v>
      </c>
      <c r="O25" s="242">
        <v>6.5</v>
      </c>
      <c r="P25" s="242">
        <v>7</v>
      </c>
      <c r="Q25" s="243">
        <f t="shared" si="0"/>
        <v>7.3181818181818183</v>
      </c>
      <c r="R25" s="242"/>
      <c r="S25" s="242"/>
      <c r="T25" s="242"/>
      <c r="U25" s="277"/>
      <c r="V25" s="277"/>
      <c r="W25" s="252"/>
      <c r="X25" s="273"/>
      <c r="Y25" s="263" t="s">
        <v>196</v>
      </c>
      <c r="Z25" s="560"/>
      <c r="AA25" s="357">
        <f t="shared" si="3"/>
        <v>7.3181818181818183</v>
      </c>
    </row>
    <row r="26" spans="1:27" s="256" customFormat="1" ht="15.75" customHeight="1" x14ac:dyDescent="0.2">
      <c r="A26" s="287">
        <v>18</v>
      </c>
      <c r="B26" s="245"/>
      <c r="C26" s="246">
        <v>2022</v>
      </c>
      <c r="D26" s="311" t="s">
        <v>1158</v>
      </c>
      <c r="E26" s="292" t="s">
        <v>1442</v>
      </c>
      <c r="F26" s="242">
        <v>7.5</v>
      </c>
      <c r="G26" s="242">
        <v>7.4</v>
      </c>
      <c r="H26" s="242">
        <v>8</v>
      </c>
      <c r="I26" s="242">
        <v>5.5</v>
      </c>
      <c r="J26" s="242">
        <v>8</v>
      </c>
      <c r="K26" s="242">
        <v>9</v>
      </c>
      <c r="L26" s="242">
        <v>7</v>
      </c>
      <c r="M26" s="242">
        <v>7.5</v>
      </c>
      <c r="N26" s="242">
        <v>8</v>
      </c>
      <c r="O26" s="242">
        <v>7</v>
      </c>
      <c r="P26" s="242">
        <v>7</v>
      </c>
      <c r="Q26" s="243">
        <f t="shared" si="0"/>
        <v>7.4454545454545462</v>
      </c>
      <c r="R26" s="242"/>
      <c r="S26" s="242"/>
      <c r="T26" s="242"/>
      <c r="U26" s="277"/>
      <c r="V26" s="277"/>
      <c r="W26" s="252"/>
      <c r="X26" s="273"/>
      <c r="Y26" s="263" t="s">
        <v>170</v>
      </c>
      <c r="Z26" s="560"/>
      <c r="AA26" s="357">
        <f t="shared" si="3"/>
        <v>7.4454545454545462</v>
      </c>
    </row>
    <row r="27" spans="1:27" s="256" customFormat="1" ht="15.75" customHeight="1" x14ac:dyDescent="0.2">
      <c r="A27" s="287">
        <v>19</v>
      </c>
      <c r="B27" s="245"/>
      <c r="C27" s="246">
        <v>2022</v>
      </c>
      <c r="D27" s="311" t="s">
        <v>1443</v>
      </c>
      <c r="E27" s="292" t="s">
        <v>1094</v>
      </c>
      <c r="F27" s="242">
        <v>8</v>
      </c>
      <c r="G27" s="242">
        <v>8</v>
      </c>
      <c r="H27" s="242">
        <v>8</v>
      </c>
      <c r="I27" s="242">
        <v>8</v>
      </c>
      <c r="J27" s="242">
        <v>8</v>
      </c>
      <c r="K27" s="242">
        <v>10</v>
      </c>
      <c r="L27" s="242">
        <v>8</v>
      </c>
      <c r="M27" s="242">
        <v>8</v>
      </c>
      <c r="N27" s="242">
        <v>7</v>
      </c>
      <c r="O27" s="242">
        <v>8</v>
      </c>
      <c r="P27" s="242">
        <v>7.5</v>
      </c>
      <c r="Q27" s="444">
        <f t="shared" si="0"/>
        <v>8.045454545454545</v>
      </c>
      <c r="R27" s="242"/>
      <c r="S27" s="242"/>
      <c r="T27" s="242"/>
      <c r="U27" s="277"/>
      <c r="V27" s="277"/>
      <c r="W27" s="252"/>
      <c r="X27" s="273"/>
      <c r="Y27" s="263" t="s">
        <v>666</v>
      </c>
      <c r="Z27" s="560"/>
      <c r="AA27" s="613">
        <f t="shared" si="3"/>
        <v>8.045454545454545</v>
      </c>
    </row>
    <row r="28" spans="1:27" s="256" customFormat="1" ht="15.75" customHeight="1" x14ac:dyDescent="0.2">
      <c r="A28" s="287">
        <v>20</v>
      </c>
      <c r="B28" s="245"/>
      <c r="C28" s="246">
        <v>2022</v>
      </c>
      <c r="D28" s="311" t="s">
        <v>1444</v>
      </c>
      <c r="E28" s="292" t="s">
        <v>996</v>
      </c>
      <c r="F28" s="242">
        <v>6.5</v>
      </c>
      <c r="G28" s="242">
        <v>7</v>
      </c>
      <c r="H28" s="242">
        <v>6.5</v>
      </c>
      <c r="I28" s="242">
        <v>5.5</v>
      </c>
      <c r="J28" s="242">
        <v>6.5</v>
      </c>
      <c r="K28" s="242">
        <v>10</v>
      </c>
      <c r="L28" s="242">
        <v>6.5</v>
      </c>
      <c r="M28" s="242">
        <v>6.5</v>
      </c>
      <c r="N28" s="242">
        <v>7</v>
      </c>
      <c r="O28" s="242">
        <v>6</v>
      </c>
      <c r="P28" s="242">
        <v>6.5</v>
      </c>
      <c r="Q28" s="243">
        <f t="shared" si="0"/>
        <v>6.7727272727272725</v>
      </c>
      <c r="R28" s="242"/>
      <c r="S28" s="242"/>
      <c r="T28" s="242"/>
      <c r="U28" s="277"/>
      <c r="V28" s="277"/>
      <c r="W28" s="252"/>
      <c r="X28" s="273"/>
      <c r="Y28" s="263" t="s">
        <v>216</v>
      </c>
      <c r="Z28" s="560"/>
      <c r="AA28" s="628">
        <f t="shared" si="3"/>
        <v>6.7727272727272725</v>
      </c>
    </row>
    <row r="29" spans="1:27" s="256" customFormat="1" ht="15.75" customHeight="1" x14ac:dyDescent="0.2">
      <c r="A29" s="287">
        <v>21</v>
      </c>
      <c r="B29" s="245"/>
      <c r="C29" s="246">
        <v>2022</v>
      </c>
      <c r="D29" s="311" t="s">
        <v>1445</v>
      </c>
      <c r="E29" s="292" t="s">
        <v>1000</v>
      </c>
      <c r="F29" s="242">
        <v>8</v>
      </c>
      <c r="G29" s="242">
        <v>7.8</v>
      </c>
      <c r="H29" s="242">
        <v>8</v>
      </c>
      <c r="I29" s="242">
        <v>5.5</v>
      </c>
      <c r="J29" s="242">
        <v>7</v>
      </c>
      <c r="K29" s="242">
        <v>9</v>
      </c>
      <c r="L29" s="242">
        <v>8</v>
      </c>
      <c r="M29" s="242">
        <v>7</v>
      </c>
      <c r="N29" s="242">
        <v>7</v>
      </c>
      <c r="O29" s="242">
        <v>6</v>
      </c>
      <c r="P29" s="242">
        <v>6.5</v>
      </c>
      <c r="Q29" s="243">
        <f t="shared" si="0"/>
        <v>7.254545454545454</v>
      </c>
      <c r="R29" s="242"/>
      <c r="S29" s="242"/>
      <c r="T29" s="242"/>
      <c r="U29" s="277"/>
      <c r="V29" s="277"/>
      <c r="W29" s="252"/>
      <c r="X29" s="273"/>
      <c r="Y29" s="263" t="s">
        <v>882</v>
      </c>
      <c r="Z29" s="560"/>
      <c r="AA29" s="357">
        <f t="shared" si="3"/>
        <v>7.254545454545454</v>
      </c>
    </row>
    <row r="30" spans="1:27" s="256" customFormat="1" ht="15.75" customHeight="1" x14ac:dyDescent="0.2">
      <c r="A30" s="287">
        <v>22</v>
      </c>
      <c r="B30" s="245"/>
      <c r="C30" s="246">
        <v>2022</v>
      </c>
      <c r="D30" s="311" t="s">
        <v>1446</v>
      </c>
      <c r="E30" s="292" t="s">
        <v>1033</v>
      </c>
      <c r="F30" s="242">
        <v>6</v>
      </c>
      <c r="G30" s="242">
        <v>7</v>
      </c>
      <c r="H30" s="242">
        <v>6.5</v>
      </c>
      <c r="I30" s="242">
        <v>8</v>
      </c>
      <c r="J30" s="242">
        <v>6.5</v>
      </c>
      <c r="K30" s="242">
        <v>8</v>
      </c>
      <c r="L30" s="242">
        <v>6.5</v>
      </c>
      <c r="M30" s="242">
        <v>6.5</v>
      </c>
      <c r="N30" s="242">
        <v>6.5</v>
      </c>
      <c r="O30" s="242">
        <v>6.5</v>
      </c>
      <c r="P30" s="242">
        <v>6.5</v>
      </c>
      <c r="Q30" s="243">
        <f t="shared" si="0"/>
        <v>6.7727272727272725</v>
      </c>
      <c r="R30" s="242"/>
      <c r="S30" s="242"/>
      <c r="T30" s="242"/>
      <c r="U30" s="277"/>
      <c r="V30" s="277"/>
      <c r="W30" s="252"/>
      <c r="X30" s="273"/>
      <c r="Y30" s="263" t="s">
        <v>241</v>
      </c>
      <c r="Z30" s="560"/>
      <c r="AA30" s="628">
        <f t="shared" si="3"/>
        <v>6.7727272727272725</v>
      </c>
    </row>
    <row r="31" spans="1:27" s="256" customFormat="1" ht="15.75" customHeight="1" x14ac:dyDescent="0.2">
      <c r="A31" s="287">
        <v>23</v>
      </c>
      <c r="B31" s="245"/>
      <c r="C31" s="246">
        <v>2022</v>
      </c>
      <c r="D31" s="311" t="s">
        <v>1447</v>
      </c>
      <c r="E31" s="292" t="s">
        <v>1037</v>
      </c>
      <c r="F31" s="242">
        <v>8</v>
      </c>
      <c r="G31" s="242">
        <v>7.4</v>
      </c>
      <c r="H31" s="242">
        <v>6.5</v>
      </c>
      <c r="I31" s="242">
        <v>5.5</v>
      </c>
      <c r="J31" s="242">
        <v>6</v>
      </c>
      <c r="K31" s="242">
        <v>8</v>
      </c>
      <c r="L31" s="242">
        <v>7</v>
      </c>
      <c r="M31" s="242">
        <v>7</v>
      </c>
      <c r="N31" s="242">
        <v>7.5</v>
      </c>
      <c r="O31" s="242">
        <v>7</v>
      </c>
      <c r="P31" s="242">
        <v>7</v>
      </c>
      <c r="Q31" s="243">
        <f t="shared" si="0"/>
        <v>6.9909090909090912</v>
      </c>
      <c r="R31" s="242"/>
      <c r="S31" s="242"/>
      <c r="T31" s="242"/>
      <c r="U31" s="277"/>
      <c r="V31" s="277"/>
      <c r="W31" s="252"/>
      <c r="X31" s="273"/>
      <c r="Y31" s="263" t="s">
        <v>18</v>
      </c>
      <c r="Z31" s="560"/>
      <c r="AA31" s="628">
        <f t="shared" si="3"/>
        <v>6.9909090909090912</v>
      </c>
    </row>
    <row r="32" spans="1:27" s="256" customFormat="1" ht="15.75" customHeight="1" x14ac:dyDescent="0.2">
      <c r="A32" s="287">
        <v>24</v>
      </c>
      <c r="B32" s="245"/>
      <c r="C32" s="246">
        <v>2022</v>
      </c>
      <c r="D32" s="311" t="s">
        <v>1448</v>
      </c>
      <c r="E32" s="292" t="s">
        <v>557</v>
      </c>
      <c r="F32" s="242">
        <v>7</v>
      </c>
      <c r="G32" s="242">
        <v>7.5</v>
      </c>
      <c r="H32" s="242">
        <v>8</v>
      </c>
      <c r="I32" s="242">
        <v>7</v>
      </c>
      <c r="J32" s="242">
        <v>7</v>
      </c>
      <c r="K32" s="242">
        <v>9</v>
      </c>
      <c r="L32" s="242">
        <v>8</v>
      </c>
      <c r="M32" s="242">
        <v>7</v>
      </c>
      <c r="N32" s="242">
        <v>7.5</v>
      </c>
      <c r="O32" s="242">
        <v>7.5</v>
      </c>
      <c r="P32" s="242">
        <v>7</v>
      </c>
      <c r="Q32" s="243">
        <f t="shared" si="0"/>
        <v>7.5</v>
      </c>
      <c r="R32" s="242"/>
      <c r="S32" s="242"/>
      <c r="T32" s="242"/>
      <c r="U32" s="277">
        <f>SUM(R32:T32)/3</f>
        <v>0</v>
      </c>
      <c r="V32" s="277">
        <f>SUM(Q32+U32)/2</f>
        <v>3.75</v>
      </c>
      <c r="W32" s="252"/>
      <c r="X32" s="273"/>
      <c r="Y32" s="263" t="s">
        <v>226</v>
      </c>
      <c r="Z32" s="560"/>
      <c r="AA32" s="357">
        <f t="shared" si="3"/>
        <v>7.5</v>
      </c>
    </row>
    <row r="33" spans="1:27" s="368" customFormat="1" ht="15" customHeight="1" thickBot="1" x14ac:dyDescent="0.3">
      <c r="A33" s="359"/>
      <c r="B33" s="360"/>
      <c r="C33" s="361"/>
      <c r="D33" s="561"/>
      <c r="E33" s="363"/>
      <c r="F33" s="363"/>
      <c r="G33" s="363"/>
      <c r="H33" s="363"/>
      <c r="I33" s="363"/>
      <c r="J33" s="363"/>
      <c r="K33" s="363"/>
      <c r="L33" s="363"/>
      <c r="M33" s="363"/>
      <c r="N33" s="363"/>
      <c r="O33" s="363"/>
      <c r="P33" s="363"/>
      <c r="Q33" s="364"/>
      <c r="R33" s="365"/>
      <c r="S33" s="365"/>
      <c r="T33" s="365"/>
      <c r="U33" s="363"/>
      <c r="V33" s="363"/>
      <c r="W33" s="363"/>
      <c r="X33" s="549"/>
      <c r="Y33" s="367"/>
      <c r="Z33" s="562"/>
      <c r="AA33" s="357"/>
    </row>
    <row r="34" spans="1:27" s="368" customFormat="1" ht="19.5" thickTop="1" x14ac:dyDescent="0.3">
      <c r="A34" s="369"/>
      <c r="B34" s="369"/>
      <c r="C34" s="369"/>
      <c r="E34" s="369"/>
      <c r="F34" s="369"/>
      <c r="G34" s="369"/>
      <c r="H34" s="369"/>
      <c r="I34" s="369"/>
      <c r="J34" s="369"/>
      <c r="K34" s="369"/>
      <c r="L34" s="369"/>
      <c r="M34" s="369"/>
      <c r="N34" s="369"/>
      <c r="O34" s="369"/>
      <c r="P34" s="369"/>
      <c r="Q34" s="370"/>
      <c r="R34" s="371"/>
      <c r="S34" s="371"/>
      <c r="T34" s="371"/>
      <c r="U34" s="369"/>
      <c r="V34" s="369"/>
      <c r="W34" s="369"/>
      <c r="X34" s="372"/>
      <c r="Y34" s="369"/>
      <c r="AA34" s="357"/>
    </row>
    <row r="35" spans="1:27" s="368" customFormat="1" x14ac:dyDescent="0.3">
      <c r="A35" s="369"/>
      <c r="B35" s="369"/>
      <c r="C35" s="369"/>
      <c r="E35" s="369"/>
      <c r="F35" s="369"/>
      <c r="G35" s="369"/>
      <c r="H35" s="369"/>
      <c r="I35" s="369"/>
      <c r="J35" s="369"/>
      <c r="K35" s="369"/>
      <c r="L35" s="369"/>
      <c r="M35" s="369"/>
      <c r="N35" s="369"/>
      <c r="O35" s="369"/>
      <c r="P35" s="369"/>
      <c r="Q35" s="1065"/>
      <c r="R35" s="1065"/>
      <c r="S35" s="1065"/>
      <c r="T35" s="1065"/>
      <c r="U35" s="1065"/>
      <c r="V35" s="1065"/>
      <c r="W35" s="1065"/>
      <c r="X35" s="1065"/>
      <c r="Y35" s="1065"/>
    </row>
    <row r="36" spans="1:27" s="368" customFormat="1" x14ac:dyDescent="0.3">
      <c r="A36" s="369"/>
      <c r="B36" s="369"/>
      <c r="C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369"/>
      <c r="P36" s="369"/>
      <c r="Q36" s="1065"/>
      <c r="R36" s="1065"/>
      <c r="S36" s="1065"/>
      <c r="T36" s="371"/>
      <c r="U36" s="369"/>
      <c r="V36" s="369"/>
      <c r="W36" s="369"/>
      <c r="X36" s="372"/>
      <c r="Y36" s="369"/>
    </row>
    <row r="37" spans="1:27" s="368" customFormat="1" x14ac:dyDescent="0.3">
      <c r="A37" s="369"/>
      <c r="B37" s="369"/>
      <c r="C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69"/>
      <c r="P37" s="369"/>
      <c r="Q37" s="373"/>
      <c r="R37" s="374"/>
      <c r="S37" s="374"/>
      <c r="T37" s="371"/>
      <c r="U37" s="369"/>
      <c r="V37" s="369"/>
      <c r="W37" s="369"/>
      <c r="X37" s="372"/>
      <c r="Y37" s="369"/>
    </row>
    <row r="38" spans="1:27" s="368" customFormat="1" x14ac:dyDescent="0.3">
      <c r="A38" s="369"/>
      <c r="B38" s="369"/>
      <c r="C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69"/>
      <c r="P38" s="369"/>
      <c r="Q38" s="373"/>
      <c r="R38" s="374"/>
      <c r="S38" s="374"/>
      <c r="T38" s="371"/>
      <c r="U38" s="369"/>
      <c r="V38" s="369"/>
      <c r="W38" s="369"/>
      <c r="X38" s="372"/>
      <c r="Y38" s="369"/>
    </row>
    <row r="39" spans="1:27" s="368" customFormat="1" x14ac:dyDescent="0.3">
      <c r="A39" s="369"/>
      <c r="B39" s="369"/>
      <c r="C39" s="369"/>
      <c r="E39" s="369"/>
      <c r="F39" s="369"/>
      <c r="G39" s="369"/>
      <c r="H39" s="369"/>
      <c r="I39" s="369"/>
      <c r="J39" s="369"/>
      <c r="K39" s="369"/>
      <c r="L39" s="369"/>
      <c r="M39" s="369"/>
      <c r="N39" s="369"/>
      <c r="O39" s="369"/>
      <c r="P39" s="369"/>
      <c r="Q39" s="1066"/>
      <c r="R39" s="1066"/>
      <c r="S39" s="1066"/>
      <c r="T39" s="371"/>
      <c r="U39" s="369"/>
      <c r="V39" s="369"/>
      <c r="W39" s="369"/>
      <c r="X39" s="372"/>
      <c r="Y39" s="369"/>
    </row>
    <row r="40" spans="1:27" s="368" customFormat="1" ht="18" x14ac:dyDescent="0.25">
      <c r="A40" s="369"/>
      <c r="B40" s="369"/>
      <c r="C40" s="369"/>
      <c r="E40" s="369"/>
      <c r="F40" s="369"/>
      <c r="G40" s="369"/>
      <c r="H40" s="369"/>
      <c r="I40" s="369"/>
      <c r="J40" s="369"/>
      <c r="K40" s="369"/>
      <c r="L40" s="369"/>
      <c r="M40" s="369"/>
      <c r="N40" s="369"/>
      <c r="O40" s="369"/>
      <c r="P40" s="369"/>
      <c r="Q40" s="1064"/>
      <c r="R40" s="1064"/>
      <c r="S40" s="1064"/>
      <c r="T40" s="1064"/>
      <c r="U40" s="1064"/>
      <c r="V40" s="1064"/>
      <c r="W40" s="1064"/>
      <c r="X40" s="1064"/>
      <c r="Y40" s="1064"/>
    </row>
    <row r="41" spans="1:27" s="368" customFormat="1" x14ac:dyDescent="0.3">
      <c r="A41" s="369"/>
      <c r="B41" s="369"/>
      <c r="C41" s="369"/>
      <c r="E41" s="369"/>
      <c r="F41" s="369"/>
      <c r="G41" s="369"/>
      <c r="H41" s="369"/>
      <c r="I41" s="369"/>
      <c r="J41" s="369"/>
      <c r="K41" s="369"/>
      <c r="L41" s="369"/>
      <c r="M41" s="369"/>
      <c r="N41" s="369"/>
      <c r="O41" s="369"/>
      <c r="P41" s="369"/>
      <c r="Q41" s="370"/>
      <c r="R41" s="371"/>
      <c r="S41" s="371"/>
      <c r="T41" s="371"/>
      <c r="U41" s="369"/>
      <c r="V41" s="369"/>
      <c r="W41" s="369"/>
      <c r="X41" s="372"/>
      <c r="Y41" s="369"/>
    </row>
    <row r="42" spans="1:27" s="368" customFormat="1" x14ac:dyDescent="0.3">
      <c r="A42" s="369"/>
      <c r="B42" s="369"/>
      <c r="C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369"/>
      <c r="Q42" s="370"/>
      <c r="R42" s="371"/>
      <c r="S42" s="371"/>
      <c r="T42" s="371"/>
      <c r="U42" s="369"/>
      <c r="V42" s="369"/>
      <c r="W42" s="369"/>
      <c r="X42" s="372"/>
      <c r="Y42" s="369"/>
    </row>
    <row r="43" spans="1:27" s="368" customFormat="1" x14ac:dyDescent="0.3">
      <c r="A43" s="369"/>
      <c r="B43" s="369"/>
      <c r="C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69"/>
      <c r="P43" s="369"/>
      <c r="Q43" s="370"/>
      <c r="R43" s="371"/>
      <c r="S43" s="371"/>
      <c r="T43" s="371"/>
      <c r="U43" s="369"/>
      <c r="V43" s="369"/>
      <c r="W43" s="369"/>
      <c r="X43" s="372"/>
      <c r="Y43" s="369"/>
    </row>
    <row r="44" spans="1:27" x14ac:dyDescent="0.3">
      <c r="A44" s="236"/>
      <c r="B44" s="236"/>
      <c r="C44" s="236"/>
      <c r="D44" s="3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</row>
    <row r="45" spans="1:27" x14ac:dyDescent="0.3">
      <c r="A45" s="236"/>
      <c r="B45" s="236"/>
      <c r="C45" s="236"/>
      <c r="D45" s="3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</row>
  </sheetData>
  <autoFilter ref="Q7:Z32">
    <filterColumn colId="1" showButton="0"/>
    <filterColumn colId="2" showButton="0"/>
    <filterColumn colId="3" showButton="0"/>
  </autoFilter>
  <mergeCells count="19">
    <mergeCell ref="E2:Y2"/>
    <mergeCell ref="E3:Y3"/>
    <mergeCell ref="E4:Y4"/>
    <mergeCell ref="E5:AH5"/>
    <mergeCell ref="A7:A8"/>
    <mergeCell ref="B7:C8"/>
    <mergeCell ref="D7:D8"/>
    <mergeCell ref="E7:E8"/>
    <mergeCell ref="F7:O7"/>
    <mergeCell ref="Q7:Q8"/>
    <mergeCell ref="Q36:S36"/>
    <mergeCell ref="Q39:S39"/>
    <mergeCell ref="Q40:Y40"/>
    <mergeCell ref="R7:U7"/>
    <mergeCell ref="V7:V8"/>
    <mergeCell ref="W7:W8"/>
    <mergeCell ref="X7:X8"/>
    <mergeCell ref="Y7:Y8"/>
    <mergeCell ref="Q35:Y35"/>
  </mergeCells>
  <printOptions horizontalCentered="1"/>
  <pageMargins left="0.7" right="0.16" top="0.27" bottom="0.31" header="0.23" footer="0.27"/>
  <pageSetup scale="98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2:AG66"/>
  <sheetViews>
    <sheetView topLeftCell="B3" zoomScaleNormal="100" workbookViewId="0">
      <selection activeCell="K17" sqref="K17"/>
    </sheetView>
  </sheetViews>
  <sheetFormatPr defaultRowHeight="18.75" x14ac:dyDescent="0.3"/>
  <cols>
    <col min="1" max="1" width="2.69921875" style="1" customWidth="1"/>
    <col min="2" max="3" width="4.8984375" style="1" customWidth="1"/>
    <col min="4" max="4" width="14.59765625" customWidth="1"/>
    <col min="5" max="5" width="8.296875" style="1" customWidth="1"/>
    <col min="6" max="8" width="3.09765625" style="1" customWidth="1"/>
    <col min="9" max="9" width="3.09765625" style="237" customWidth="1"/>
    <col min="10" max="14" width="3.09765625" style="1" customWidth="1"/>
    <col min="15" max="15" width="3.8984375" style="25" customWidth="1"/>
    <col min="16" max="16" width="2.296875" style="20" hidden="1" customWidth="1"/>
    <col min="17" max="18" width="2.19921875" style="20" hidden="1" customWidth="1"/>
    <col min="19" max="20" width="3.3984375" style="235" hidden="1" customWidth="1"/>
    <col min="21" max="21" width="4.09765625" style="235" customWidth="1"/>
    <col min="22" max="22" width="4.3984375" style="14" hidden="1" customWidth="1"/>
    <col min="23" max="23" width="28.19921875" style="235" customWidth="1"/>
    <col min="24" max="24" width="3" customWidth="1"/>
    <col min="25" max="25" width="10.19921875" customWidth="1"/>
  </cols>
  <sheetData>
    <row r="2" spans="1:33" s="6" customFormat="1" ht="17.25" x14ac:dyDescent="0.3">
      <c r="B2" s="8"/>
      <c r="C2" s="8"/>
      <c r="D2" s="8"/>
      <c r="E2" s="1199" t="s">
        <v>30</v>
      </c>
      <c r="F2" s="1199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9"/>
      <c r="W2" s="1199"/>
    </row>
    <row r="3" spans="1:33" s="6" customFormat="1" ht="15.75" x14ac:dyDescent="0.25">
      <c r="B3" s="10"/>
      <c r="C3" s="10"/>
      <c r="D3" s="10"/>
      <c r="E3" s="1200" t="s">
        <v>477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0"/>
      <c r="R3" s="1200"/>
      <c r="S3" s="1200"/>
      <c r="T3" s="1200"/>
      <c r="U3" s="1200"/>
      <c r="V3" s="1200"/>
      <c r="W3" s="1200"/>
    </row>
    <row r="4" spans="1:33" s="6" customFormat="1" ht="15.75" hidden="1" x14ac:dyDescent="0.25">
      <c r="B4" s="11"/>
      <c r="C4" s="11"/>
      <c r="D4" s="11"/>
      <c r="E4" s="1201" t="s">
        <v>34</v>
      </c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1"/>
      <c r="U4" s="1201"/>
      <c r="V4" s="1201"/>
      <c r="W4" s="1201"/>
    </row>
    <row r="5" spans="1:33" s="6" customFormat="1" ht="15.75" customHeight="1" x14ac:dyDescent="0.25">
      <c r="B5" s="10"/>
      <c r="C5" s="10"/>
      <c r="D5" s="10"/>
      <c r="E5" s="1202" t="s">
        <v>472</v>
      </c>
      <c r="F5" s="1202"/>
      <c r="G5" s="1202"/>
      <c r="H5" s="1202"/>
      <c r="I5" s="1202"/>
      <c r="J5" s="1202"/>
      <c r="K5" s="1202"/>
      <c r="L5" s="1202"/>
      <c r="M5" s="1202"/>
      <c r="N5" s="1202"/>
      <c r="O5" s="1202"/>
      <c r="P5" s="1202"/>
      <c r="Q5" s="1202"/>
      <c r="R5" s="1202"/>
      <c r="S5" s="1202"/>
      <c r="T5" s="1202"/>
      <c r="U5" s="1202"/>
      <c r="V5" s="1202"/>
      <c r="W5" s="1202"/>
      <c r="X5" s="1202"/>
      <c r="Y5" s="1202"/>
      <c r="Z5" s="1202"/>
      <c r="AA5" s="1202"/>
      <c r="AB5" s="1202"/>
      <c r="AC5" s="1202"/>
      <c r="AD5" s="1202"/>
      <c r="AE5" s="1202"/>
      <c r="AF5" s="1202"/>
      <c r="AG5" s="1202"/>
    </row>
    <row r="6" spans="1:33" thickBot="1" x14ac:dyDescent="0.3">
      <c r="A6" s="2"/>
      <c r="B6" s="2"/>
      <c r="C6" s="2"/>
      <c r="D6" s="2"/>
      <c r="E6" s="2"/>
      <c r="F6" s="47"/>
      <c r="G6" s="47"/>
      <c r="H6" s="47"/>
      <c r="I6" s="239"/>
      <c r="J6" s="47"/>
      <c r="K6" s="47"/>
      <c r="L6" s="47"/>
      <c r="M6" s="47"/>
      <c r="N6" s="47"/>
      <c r="O6" s="239"/>
      <c r="P6" s="177"/>
      <c r="Q6" s="177"/>
      <c r="R6" s="177"/>
      <c r="S6" s="234"/>
      <c r="T6" s="234"/>
      <c r="U6" s="234"/>
      <c r="V6" s="234"/>
      <c r="W6" s="234"/>
      <c r="X6" s="112"/>
    </row>
    <row r="7" spans="1:33" s="351" customFormat="1" ht="23.25" customHeight="1" thickTop="1" x14ac:dyDescent="0.2">
      <c r="A7" s="1268" t="s">
        <v>91</v>
      </c>
      <c r="B7" s="1270" t="s">
        <v>106</v>
      </c>
      <c r="C7" s="1271"/>
      <c r="D7" s="1274" t="s">
        <v>92</v>
      </c>
      <c r="E7" s="1270" t="s">
        <v>93</v>
      </c>
      <c r="F7" s="1261" t="s">
        <v>324</v>
      </c>
      <c r="G7" s="1262"/>
      <c r="H7" s="1262"/>
      <c r="I7" s="1262"/>
      <c r="J7" s="1262"/>
      <c r="K7" s="1262"/>
      <c r="L7" s="1262"/>
      <c r="M7" s="1262"/>
      <c r="N7" s="671"/>
      <c r="O7" s="1277" t="s">
        <v>102</v>
      </c>
      <c r="P7" s="1261" t="s">
        <v>104</v>
      </c>
      <c r="Q7" s="1262"/>
      <c r="R7" s="1262"/>
      <c r="S7" s="1263"/>
      <c r="T7" s="1264" t="s">
        <v>99</v>
      </c>
      <c r="U7" s="1264" t="s">
        <v>100</v>
      </c>
      <c r="V7" s="1050" t="s">
        <v>103</v>
      </c>
      <c r="W7" s="1266" t="s">
        <v>90</v>
      </c>
    </row>
    <row r="8" spans="1:33" s="351" customFormat="1" ht="114" customHeight="1" x14ac:dyDescent="0.2">
      <c r="A8" s="1298"/>
      <c r="B8" s="1299"/>
      <c r="C8" s="1297"/>
      <c r="D8" s="1275"/>
      <c r="E8" s="1275"/>
      <c r="F8" s="323" t="s">
        <v>43</v>
      </c>
      <c r="G8" s="279" t="s">
        <v>330</v>
      </c>
      <c r="H8" s="323" t="s">
        <v>39</v>
      </c>
      <c r="I8" s="323" t="s">
        <v>133</v>
      </c>
      <c r="J8" s="576" t="s">
        <v>4</v>
      </c>
      <c r="K8" s="278" t="s">
        <v>96</v>
      </c>
      <c r="L8" s="281" t="s">
        <v>458</v>
      </c>
      <c r="M8" s="289" t="s">
        <v>113</v>
      </c>
      <c r="N8" s="281" t="s">
        <v>464</v>
      </c>
      <c r="O8" s="1292"/>
      <c r="P8" s="323" t="s">
        <v>108</v>
      </c>
      <c r="Q8" s="323" t="s">
        <v>97</v>
      </c>
      <c r="R8" s="323" t="s">
        <v>96</v>
      </c>
      <c r="S8" s="324" t="s">
        <v>98</v>
      </c>
      <c r="T8" s="1265"/>
      <c r="U8" s="1265"/>
      <c r="V8" s="1051"/>
      <c r="W8" s="1267"/>
      <c r="X8" s="544" t="s">
        <v>94</v>
      </c>
    </row>
    <row r="9" spans="1:33" s="256" customFormat="1" ht="18" customHeight="1" x14ac:dyDescent="0.2">
      <c r="A9" s="325">
        <v>1</v>
      </c>
      <c r="B9" s="245"/>
      <c r="C9" s="246">
        <v>2022</v>
      </c>
      <c r="D9" s="326" t="s">
        <v>1449</v>
      </c>
      <c r="E9" s="327" t="s">
        <v>11</v>
      </c>
      <c r="F9" s="328">
        <v>8</v>
      </c>
      <c r="G9" s="328">
        <v>7</v>
      </c>
      <c r="H9" s="329">
        <v>7.5</v>
      </c>
      <c r="I9" s="329">
        <v>6</v>
      </c>
      <c r="J9" s="329">
        <v>8</v>
      </c>
      <c r="K9" s="329">
        <v>8</v>
      </c>
      <c r="L9" s="329">
        <v>7.5</v>
      </c>
      <c r="M9" s="329">
        <v>7.5</v>
      </c>
      <c r="N9" s="329">
        <v>7</v>
      </c>
      <c r="O9" s="330">
        <f>SUM(F9:N9)/9</f>
        <v>7.3888888888888893</v>
      </c>
      <c r="P9" s="329"/>
      <c r="Q9" s="329"/>
      <c r="R9" s="329"/>
      <c r="S9" s="330">
        <f>SUM(P9:R9)/3</f>
        <v>0</v>
      </c>
      <c r="T9" s="330">
        <f>SUM(O9+S9)/2</f>
        <v>3.6944444444444446</v>
      </c>
      <c r="U9" s="257"/>
      <c r="V9" s="331"/>
      <c r="W9" s="332" t="s">
        <v>192</v>
      </c>
      <c r="X9" s="255"/>
      <c r="Y9" s="357">
        <f t="shared" ref="Y9:Y40" si="0">AVERAGE(F9:N9)</f>
        <v>7.3888888888888893</v>
      </c>
    </row>
    <row r="10" spans="1:33" s="256" customFormat="1" ht="18" customHeight="1" x14ac:dyDescent="0.2">
      <c r="A10" s="244">
        <v>2</v>
      </c>
      <c r="B10" s="245"/>
      <c r="C10" s="246">
        <v>2022</v>
      </c>
      <c r="D10" s="247" t="s">
        <v>1450</v>
      </c>
      <c r="E10" s="248" t="s">
        <v>563</v>
      </c>
      <c r="F10" s="249">
        <v>8</v>
      </c>
      <c r="G10" s="249">
        <v>8.1999999999999993</v>
      </c>
      <c r="H10" s="250">
        <v>7</v>
      </c>
      <c r="I10" s="250">
        <v>8</v>
      </c>
      <c r="J10" s="250">
        <v>8</v>
      </c>
      <c r="K10" s="250">
        <v>8</v>
      </c>
      <c r="L10" s="250">
        <v>8</v>
      </c>
      <c r="M10" s="250">
        <v>8</v>
      </c>
      <c r="N10" s="250">
        <v>8</v>
      </c>
      <c r="O10" s="251">
        <f>SUM(F10:N10)/9</f>
        <v>7.9111111111111114</v>
      </c>
      <c r="P10" s="250"/>
      <c r="Q10" s="250"/>
      <c r="R10" s="250"/>
      <c r="S10" s="251">
        <f t="shared" ref="S10:S15" si="1">SUM(P10:R10)/3</f>
        <v>0</v>
      </c>
      <c r="T10" s="251">
        <f t="shared" ref="T10:T15" si="2">SUM(O10+S10)/2</f>
        <v>3.9555555555555557</v>
      </c>
      <c r="U10" s="252"/>
      <c r="V10" s="253"/>
      <c r="W10" s="254" t="s">
        <v>173</v>
      </c>
      <c r="X10" s="255"/>
      <c r="Y10" s="357">
        <f t="shared" si="0"/>
        <v>7.9111111111111114</v>
      </c>
    </row>
    <row r="11" spans="1:33" s="256" customFormat="1" ht="18" customHeight="1" x14ac:dyDescent="0.2">
      <c r="A11" s="244">
        <v>3</v>
      </c>
      <c r="B11" s="245"/>
      <c r="C11" s="246">
        <v>2022</v>
      </c>
      <c r="D11" s="247" t="s">
        <v>1451</v>
      </c>
      <c r="E11" s="248" t="s">
        <v>248</v>
      </c>
      <c r="F11" s="249">
        <v>7</v>
      </c>
      <c r="G11" s="249">
        <v>7</v>
      </c>
      <c r="H11" s="250">
        <v>7.5</v>
      </c>
      <c r="I11" s="250">
        <v>7</v>
      </c>
      <c r="J11" s="250">
        <v>7.5</v>
      </c>
      <c r="K11" s="250">
        <v>7</v>
      </c>
      <c r="L11" s="250">
        <v>7</v>
      </c>
      <c r="M11" s="250">
        <v>8</v>
      </c>
      <c r="N11" s="250">
        <v>7</v>
      </c>
      <c r="O11" s="251">
        <f t="shared" ref="O11:O40" si="3">SUM(F11:N11)/9</f>
        <v>7.2222222222222223</v>
      </c>
      <c r="P11" s="250">
        <f>SUM(F11:O11)/10</f>
        <v>7.2222222222222232</v>
      </c>
      <c r="Q11" s="250"/>
      <c r="R11" s="250"/>
      <c r="S11" s="251">
        <f t="shared" si="1"/>
        <v>2.4074074074074079</v>
      </c>
      <c r="T11" s="251">
        <f t="shared" si="2"/>
        <v>4.8148148148148149</v>
      </c>
      <c r="U11" s="252"/>
      <c r="V11" s="253"/>
      <c r="W11" s="254" t="s">
        <v>201</v>
      </c>
      <c r="X11" s="255"/>
      <c r="Y11" s="357">
        <f t="shared" si="0"/>
        <v>7.2222222222222223</v>
      </c>
    </row>
    <row r="12" spans="1:33" s="256" customFormat="1" ht="18" customHeight="1" x14ac:dyDescent="0.2">
      <c r="A12" s="244">
        <v>4</v>
      </c>
      <c r="B12" s="245"/>
      <c r="C12" s="246">
        <v>2022</v>
      </c>
      <c r="D12" s="247" t="s">
        <v>1452</v>
      </c>
      <c r="E12" s="248" t="s">
        <v>1453</v>
      </c>
      <c r="F12" s="249">
        <v>6.5</v>
      </c>
      <c r="G12" s="249">
        <v>7</v>
      </c>
      <c r="H12" s="250">
        <v>7</v>
      </c>
      <c r="I12" s="250">
        <v>7</v>
      </c>
      <c r="J12" s="250">
        <v>7</v>
      </c>
      <c r="K12" s="250">
        <v>7.5</v>
      </c>
      <c r="L12" s="250">
        <v>7.5</v>
      </c>
      <c r="M12" s="250">
        <v>7</v>
      </c>
      <c r="N12" s="250">
        <v>7</v>
      </c>
      <c r="O12" s="251">
        <f t="shared" si="3"/>
        <v>7.0555555555555554</v>
      </c>
      <c r="P12" s="250">
        <f>SUM(F12:O12)/10</f>
        <v>7.0555555555555554</v>
      </c>
      <c r="Q12" s="250"/>
      <c r="R12" s="250"/>
      <c r="S12" s="251">
        <f t="shared" si="1"/>
        <v>2.3518518518518516</v>
      </c>
      <c r="T12" s="251">
        <f t="shared" si="2"/>
        <v>4.7037037037037033</v>
      </c>
      <c r="U12" s="252"/>
      <c r="V12" s="253"/>
      <c r="W12" s="254" t="s">
        <v>208</v>
      </c>
      <c r="X12" s="255"/>
      <c r="Y12" s="357">
        <f t="shared" si="0"/>
        <v>7.0555555555555554</v>
      </c>
    </row>
    <row r="13" spans="1:33" s="256" customFormat="1" ht="18" customHeight="1" x14ac:dyDescent="0.2">
      <c r="A13" s="244">
        <v>5</v>
      </c>
      <c r="B13" s="245"/>
      <c r="C13" s="246">
        <v>2022</v>
      </c>
      <c r="D13" s="247" t="s">
        <v>147</v>
      </c>
      <c r="E13" s="248" t="s">
        <v>1454</v>
      </c>
      <c r="F13" s="249">
        <v>6</v>
      </c>
      <c r="G13" s="249">
        <v>6.8</v>
      </c>
      <c r="H13" s="250">
        <v>7.5</v>
      </c>
      <c r="I13" s="250">
        <v>8</v>
      </c>
      <c r="J13" s="250">
        <v>6</v>
      </c>
      <c r="K13" s="250">
        <v>7</v>
      </c>
      <c r="L13" s="250">
        <v>6.5</v>
      </c>
      <c r="M13" s="250">
        <v>6</v>
      </c>
      <c r="N13" s="250">
        <v>7</v>
      </c>
      <c r="O13" s="251">
        <f t="shared" si="3"/>
        <v>6.7555555555555555</v>
      </c>
      <c r="P13" s="250"/>
      <c r="Q13" s="250"/>
      <c r="R13" s="250"/>
      <c r="S13" s="251">
        <f t="shared" si="1"/>
        <v>0</v>
      </c>
      <c r="T13" s="251">
        <f t="shared" si="2"/>
        <v>3.3777777777777778</v>
      </c>
      <c r="U13" s="252"/>
      <c r="V13" s="253"/>
      <c r="W13" s="254" t="s">
        <v>269</v>
      </c>
      <c r="X13" s="255"/>
      <c r="Y13" s="357">
        <f t="shared" si="0"/>
        <v>6.7555555555555555</v>
      </c>
    </row>
    <row r="14" spans="1:33" s="256" customFormat="1" ht="18" customHeight="1" x14ac:dyDescent="0.2">
      <c r="A14" s="244">
        <v>6</v>
      </c>
      <c r="B14" s="245"/>
      <c r="C14" s="246">
        <v>2022</v>
      </c>
      <c r="D14" s="247" t="s">
        <v>1455</v>
      </c>
      <c r="E14" s="248" t="s">
        <v>1456</v>
      </c>
      <c r="F14" s="249">
        <v>8</v>
      </c>
      <c r="G14" s="249">
        <v>7.8</v>
      </c>
      <c r="H14" s="250">
        <v>8</v>
      </c>
      <c r="I14" s="250">
        <v>8</v>
      </c>
      <c r="J14" s="250">
        <v>8</v>
      </c>
      <c r="K14" s="250">
        <v>7.5</v>
      </c>
      <c r="L14" s="250">
        <v>7.5</v>
      </c>
      <c r="M14" s="250">
        <v>7.5</v>
      </c>
      <c r="N14" s="250">
        <v>7</v>
      </c>
      <c r="O14" s="251">
        <f t="shared" si="3"/>
        <v>7.6999999999999993</v>
      </c>
      <c r="P14" s="250"/>
      <c r="Q14" s="250"/>
      <c r="R14" s="250"/>
      <c r="S14" s="251">
        <f t="shared" si="1"/>
        <v>0</v>
      </c>
      <c r="T14" s="251">
        <f t="shared" si="2"/>
        <v>3.8499999999999996</v>
      </c>
      <c r="U14" s="252"/>
      <c r="V14" s="333"/>
      <c r="W14" s="334" t="s">
        <v>141</v>
      </c>
      <c r="X14" s="255"/>
      <c r="Y14" s="357">
        <f t="shared" si="0"/>
        <v>7.6999999999999993</v>
      </c>
    </row>
    <row r="15" spans="1:33" s="256" customFormat="1" ht="18" customHeight="1" x14ac:dyDescent="0.2">
      <c r="A15" s="244">
        <v>7</v>
      </c>
      <c r="B15" s="245"/>
      <c r="C15" s="246">
        <v>2022</v>
      </c>
      <c r="D15" s="247" t="s">
        <v>1457</v>
      </c>
      <c r="E15" s="248" t="s">
        <v>1458</v>
      </c>
      <c r="F15" s="249">
        <v>7</v>
      </c>
      <c r="G15" s="249">
        <v>6.6</v>
      </c>
      <c r="H15" s="250">
        <v>7</v>
      </c>
      <c r="I15" s="250">
        <v>6</v>
      </c>
      <c r="J15" s="250">
        <v>6.5</v>
      </c>
      <c r="K15" s="250">
        <v>7</v>
      </c>
      <c r="L15" s="250">
        <v>6</v>
      </c>
      <c r="M15" s="250">
        <v>6.5</v>
      </c>
      <c r="N15" s="250">
        <v>5</v>
      </c>
      <c r="O15" s="251">
        <f t="shared" si="3"/>
        <v>6.4</v>
      </c>
      <c r="P15" s="250"/>
      <c r="Q15" s="250"/>
      <c r="R15" s="250"/>
      <c r="S15" s="251">
        <f t="shared" si="1"/>
        <v>0</v>
      </c>
      <c r="T15" s="251">
        <f t="shared" si="2"/>
        <v>3.2</v>
      </c>
      <c r="U15" s="252"/>
      <c r="V15" s="253"/>
      <c r="W15" s="254" t="s">
        <v>195</v>
      </c>
      <c r="X15" s="255"/>
      <c r="Y15" s="357">
        <f t="shared" si="0"/>
        <v>6.4</v>
      </c>
    </row>
    <row r="16" spans="1:33" s="256" customFormat="1" ht="18" customHeight="1" x14ac:dyDescent="0.2">
      <c r="A16" s="244">
        <v>8</v>
      </c>
      <c r="B16" s="245"/>
      <c r="C16" s="246">
        <v>2022</v>
      </c>
      <c r="D16" s="247" t="s">
        <v>1459</v>
      </c>
      <c r="E16" s="248" t="s">
        <v>944</v>
      </c>
      <c r="F16" s="249">
        <v>6</v>
      </c>
      <c r="G16" s="249">
        <v>7.8</v>
      </c>
      <c r="H16" s="250">
        <v>6.5</v>
      </c>
      <c r="I16" s="250">
        <v>6</v>
      </c>
      <c r="J16" s="250">
        <v>6</v>
      </c>
      <c r="K16" s="250">
        <v>7</v>
      </c>
      <c r="L16" s="250">
        <v>6</v>
      </c>
      <c r="M16" s="250">
        <v>6.5</v>
      </c>
      <c r="N16" s="250">
        <v>7</v>
      </c>
      <c r="O16" s="251">
        <f t="shared" si="3"/>
        <v>6.5333333333333332</v>
      </c>
      <c r="P16" s="250"/>
      <c r="Q16" s="250"/>
      <c r="R16" s="250"/>
      <c r="S16" s="251"/>
      <c r="T16" s="251"/>
      <c r="U16" s="252"/>
      <c r="V16" s="253"/>
      <c r="W16" s="254" t="s">
        <v>208</v>
      </c>
      <c r="X16" s="255"/>
      <c r="Y16" s="357">
        <f t="shared" si="0"/>
        <v>6.5333333333333332</v>
      </c>
    </row>
    <row r="17" spans="1:25" s="256" customFormat="1" ht="18" customHeight="1" x14ac:dyDescent="0.2">
      <c r="A17" s="244">
        <v>9</v>
      </c>
      <c r="B17" s="245"/>
      <c r="C17" s="246">
        <v>2022</v>
      </c>
      <c r="D17" s="247" t="s">
        <v>1460</v>
      </c>
      <c r="E17" s="248" t="s">
        <v>1461</v>
      </c>
      <c r="F17" s="249">
        <v>8</v>
      </c>
      <c r="G17" s="249">
        <v>7.2</v>
      </c>
      <c r="H17" s="250">
        <v>7</v>
      </c>
      <c r="I17" s="250">
        <v>7</v>
      </c>
      <c r="J17" s="250">
        <v>8</v>
      </c>
      <c r="K17" s="250">
        <v>7.5</v>
      </c>
      <c r="L17" s="250">
        <v>7</v>
      </c>
      <c r="M17" s="250">
        <v>8.5</v>
      </c>
      <c r="N17" s="250">
        <v>7</v>
      </c>
      <c r="O17" s="251">
        <f t="shared" si="3"/>
        <v>7.4666666666666668</v>
      </c>
      <c r="P17" s="250"/>
      <c r="Q17" s="250"/>
      <c r="R17" s="250"/>
      <c r="S17" s="251">
        <f>SUM(P17:R17)/3</f>
        <v>0</v>
      </c>
      <c r="T17" s="251">
        <f>SUM(O17+S17)/2</f>
        <v>3.7333333333333334</v>
      </c>
      <c r="U17" s="252"/>
      <c r="V17" s="253"/>
      <c r="W17" s="254" t="s">
        <v>215</v>
      </c>
      <c r="X17" s="255"/>
      <c r="Y17" s="357">
        <f t="shared" si="0"/>
        <v>7.4666666666666668</v>
      </c>
    </row>
    <row r="18" spans="1:25" s="368" customFormat="1" ht="18" customHeight="1" x14ac:dyDescent="0.25">
      <c r="A18" s="244">
        <v>10</v>
      </c>
      <c r="B18" s="245"/>
      <c r="C18" s="246">
        <v>2022</v>
      </c>
      <c r="D18" s="247" t="s">
        <v>1462</v>
      </c>
      <c r="E18" s="248" t="s">
        <v>168</v>
      </c>
      <c r="F18" s="249">
        <v>7</v>
      </c>
      <c r="G18" s="249">
        <v>7.8</v>
      </c>
      <c r="H18" s="250">
        <v>6</v>
      </c>
      <c r="I18" s="250">
        <v>7</v>
      </c>
      <c r="J18" s="250">
        <v>7</v>
      </c>
      <c r="K18" s="250">
        <v>7</v>
      </c>
      <c r="L18" s="250">
        <v>7</v>
      </c>
      <c r="M18" s="250">
        <v>7</v>
      </c>
      <c r="N18" s="250">
        <v>7</v>
      </c>
      <c r="O18" s="251">
        <f t="shared" si="3"/>
        <v>6.9777777777777779</v>
      </c>
      <c r="P18" s="248"/>
      <c r="Q18" s="248"/>
      <c r="R18" s="248"/>
      <c r="S18" s="248"/>
      <c r="T18" s="248"/>
      <c r="U18" s="252"/>
      <c r="V18" s="253"/>
      <c r="W18" s="254" t="s">
        <v>192</v>
      </c>
      <c r="X18" s="255"/>
      <c r="Y18" s="357">
        <f t="shared" si="0"/>
        <v>6.9777777777777779</v>
      </c>
    </row>
    <row r="19" spans="1:25" s="368" customFormat="1" ht="18" customHeight="1" x14ac:dyDescent="0.25">
      <c r="A19" s="244">
        <v>11</v>
      </c>
      <c r="B19" s="245"/>
      <c r="C19" s="246">
        <v>2022</v>
      </c>
      <c r="D19" s="247" t="s">
        <v>1463</v>
      </c>
      <c r="E19" s="248" t="s">
        <v>1464</v>
      </c>
      <c r="F19" s="249">
        <v>8</v>
      </c>
      <c r="G19" s="249">
        <v>6.6</v>
      </c>
      <c r="H19" s="250">
        <v>8</v>
      </c>
      <c r="I19" s="250">
        <v>8</v>
      </c>
      <c r="J19" s="250">
        <v>7</v>
      </c>
      <c r="K19" s="250">
        <v>7</v>
      </c>
      <c r="L19" s="250">
        <v>7</v>
      </c>
      <c r="M19" s="250">
        <v>7</v>
      </c>
      <c r="N19" s="250">
        <v>7</v>
      </c>
      <c r="O19" s="251">
        <f t="shared" si="3"/>
        <v>7.2888888888888879</v>
      </c>
      <c r="P19" s="250"/>
      <c r="Q19" s="250"/>
      <c r="R19" s="250"/>
      <c r="S19" s="251"/>
      <c r="T19" s="251"/>
      <c r="U19" s="252"/>
      <c r="V19" s="253"/>
      <c r="W19" s="254" t="s">
        <v>190</v>
      </c>
      <c r="X19" s="255"/>
      <c r="Y19" s="357">
        <f t="shared" si="0"/>
        <v>7.2888888888888879</v>
      </c>
    </row>
    <row r="20" spans="1:25" s="368" customFormat="1" ht="18" customHeight="1" x14ac:dyDescent="0.25">
      <c r="A20" s="244">
        <v>12</v>
      </c>
      <c r="B20" s="245"/>
      <c r="C20" s="246">
        <v>2022</v>
      </c>
      <c r="D20" s="247" t="s">
        <v>1465</v>
      </c>
      <c r="E20" s="248" t="s">
        <v>698</v>
      </c>
      <c r="F20" s="249">
        <v>8</v>
      </c>
      <c r="G20" s="249">
        <v>7</v>
      </c>
      <c r="H20" s="250">
        <v>6</v>
      </c>
      <c r="I20" s="250">
        <v>7</v>
      </c>
      <c r="J20" s="250">
        <v>8</v>
      </c>
      <c r="K20" s="250">
        <v>7</v>
      </c>
      <c r="L20" s="250">
        <v>7</v>
      </c>
      <c r="M20" s="250">
        <v>7</v>
      </c>
      <c r="N20" s="250">
        <v>7</v>
      </c>
      <c r="O20" s="251">
        <f t="shared" si="3"/>
        <v>7.1111111111111107</v>
      </c>
      <c r="P20" s="250"/>
      <c r="Q20" s="250"/>
      <c r="R20" s="250"/>
      <c r="S20" s="251">
        <f>SUM(P20:R20)/3</f>
        <v>0</v>
      </c>
      <c r="T20" s="251">
        <f>SUM(O20+S20)/2</f>
        <v>3.5555555555555554</v>
      </c>
      <c r="U20" s="252"/>
      <c r="V20" s="253"/>
      <c r="W20" s="254" t="s">
        <v>186</v>
      </c>
      <c r="X20" s="255"/>
      <c r="Y20" s="357">
        <f t="shared" si="0"/>
        <v>7.1111111111111107</v>
      </c>
    </row>
    <row r="21" spans="1:25" s="368" customFormat="1" ht="18" customHeight="1" x14ac:dyDescent="0.25">
      <c r="A21" s="244">
        <v>13</v>
      </c>
      <c r="B21" s="245"/>
      <c r="C21" s="246">
        <v>2022</v>
      </c>
      <c r="D21" s="247" t="s">
        <v>1466</v>
      </c>
      <c r="E21" s="248" t="s">
        <v>1467</v>
      </c>
      <c r="F21" s="249">
        <v>8</v>
      </c>
      <c r="G21" s="249">
        <v>8</v>
      </c>
      <c r="H21" s="250">
        <v>6.5</v>
      </c>
      <c r="I21" s="250">
        <v>6</v>
      </c>
      <c r="J21" s="250">
        <v>7.5</v>
      </c>
      <c r="K21" s="250">
        <v>6.5</v>
      </c>
      <c r="L21" s="250">
        <v>6.5</v>
      </c>
      <c r="M21" s="250">
        <v>7.5</v>
      </c>
      <c r="N21" s="250">
        <v>7</v>
      </c>
      <c r="O21" s="251">
        <f t="shared" si="3"/>
        <v>7.0555555555555554</v>
      </c>
      <c r="P21" s="248"/>
      <c r="Q21" s="248"/>
      <c r="R21" s="248"/>
      <c r="S21" s="248"/>
      <c r="T21" s="248"/>
      <c r="U21" s="252"/>
      <c r="V21" s="253"/>
      <c r="W21" s="254" t="s">
        <v>192</v>
      </c>
      <c r="X21" s="255"/>
      <c r="Y21" s="357">
        <f t="shared" si="0"/>
        <v>7.0555555555555554</v>
      </c>
    </row>
    <row r="22" spans="1:25" s="256" customFormat="1" ht="18" customHeight="1" x14ac:dyDescent="0.2">
      <c r="A22" s="244">
        <v>14</v>
      </c>
      <c r="B22" s="245"/>
      <c r="C22" s="246">
        <v>2022</v>
      </c>
      <c r="D22" s="247" t="s">
        <v>1468</v>
      </c>
      <c r="E22" s="248" t="s">
        <v>1469</v>
      </c>
      <c r="F22" s="249">
        <v>7</v>
      </c>
      <c r="G22" s="249">
        <v>7.8</v>
      </c>
      <c r="H22" s="250">
        <v>8</v>
      </c>
      <c r="I22" s="250">
        <v>6</v>
      </c>
      <c r="J22" s="250">
        <v>8</v>
      </c>
      <c r="K22" s="250">
        <v>7</v>
      </c>
      <c r="L22" s="250">
        <v>7.5</v>
      </c>
      <c r="M22" s="250">
        <v>7</v>
      </c>
      <c r="N22" s="655">
        <v>7.5</v>
      </c>
      <c r="O22" s="251">
        <f t="shared" si="3"/>
        <v>7.3111111111111109</v>
      </c>
      <c r="P22" s="250"/>
      <c r="Q22" s="250"/>
      <c r="R22" s="250"/>
      <c r="S22" s="251">
        <f t="shared" ref="S22:S28" si="4">SUM(P22:R22)/3</f>
        <v>0</v>
      </c>
      <c r="T22" s="251">
        <f t="shared" ref="T22:T28" si="5">SUM(O22+S22)/2</f>
        <v>3.6555555555555554</v>
      </c>
      <c r="U22" s="252"/>
      <c r="V22" s="333"/>
      <c r="W22" s="334" t="s">
        <v>192</v>
      </c>
      <c r="X22" s="255"/>
      <c r="Y22" s="357">
        <f t="shared" si="0"/>
        <v>7.3111111111111109</v>
      </c>
    </row>
    <row r="23" spans="1:25" s="256" customFormat="1" ht="18" customHeight="1" x14ac:dyDescent="0.2">
      <c r="A23" s="244">
        <v>15</v>
      </c>
      <c r="B23" s="245"/>
      <c r="C23" s="246">
        <v>2022</v>
      </c>
      <c r="D23" s="247" t="s">
        <v>1470</v>
      </c>
      <c r="E23" s="248" t="s">
        <v>1471</v>
      </c>
      <c r="F23" s="249">
        <v>7.5</v>
      </c>
      <c r="G23" s="249">
        <v>7.6</v>
      </c>
      <c r="H23" s="250">
        <v>7</v>
      </c>
      <c r="I23" s="250">
        <v>7</v>
      </c>
      <c r="J23" s="250">
        <v>7.5</v>
      </c>
      <c r="K23" s="250">
        <v>6.5</v>
      </c>
      <c r="L23" s="250">
        <v>7</v>
      </c>
      <c r="M23" s="250">
        <v>7</v>
      </c>
      <c r="N23" s="250">
        <v>7</v>
      </c>
      <c r="O23" s="251">
        <f t="shared" si="3"/>
        <v>7.1222222222222218</v>
      </c>
      <c r="P23" s="250"/>
      <c r="Q23" s="250"/>
      <c r="R23" s="250"/>
      <c r="S23" s="251">
        <f t="shared" si="4"/>
        <v>0</v>
      </c>
      <c r="T23" s="251">
        <f t="shared" si="5"/>
        <v>3.5611111111111109</v>
      </c>
      <c r="U23" s="252"/>
      <c r="V23" s="253"/>
      <c r="W23" s="254" t="s">
        <v>186</v>
      </c>
      <c r="X23" s="255"/>
      <c r="Y23" s="357">
        <f t="shared" si="0"/>
        <v>7.1222222222222218</v>
      </c>
    </row>
    <row r="24" spans="1:25" s="256" customFormat="1" ht="18" customHeight="1" x14ac:dyDescent="0.3">
      <c r="A24" s="244">
        <v>16</v>
      </c>
      <c r="B24" s="245"/>
      <c r="C24" s="246">
        <v>2022</v>
      </c>
      <c r="D24" s="247" t="s">
        <v>1472</v>
      </c>
      <c r="E24" s="248" t="s">
        <v>262</v>
      </c>
      <c r="F24" s="249">
        <v>8</v>
      </c>
      <c r="G24" s="249">
        <v>7</v>
      </c>
      <c r="H24" s="250">
        <v>7</v>
      </c>
      <c r="I24" s="250">
        <v>8</v>
      </c>
      <c r="J24" s="250">
        <v>7</v>
      </c>
      <c r="K24" s="250">
        <v>6.5</v>
      </c>
      <c r="L24" s="250">
        <v>7.54</v>
      </c>
      <c r="M24" s="250">
        <v>7</v>
      </c>
      <c r="N24" s="250">
        <v>6.5</v>
      </c>
      <c r="O24" s="251">
        <f t="shared" si="3"/>
        <v>7.1711111111111103</v>
      </c>
      <c r="P24" s="250">
        <f>SUM(F24:O24)/10</f>
        <v>7.1711111111111112</v>
      </c>
      <c r="Q24" s="250"/>
      <c r="R24" s="250"/>
      <c r="S24" s="251">
        <f t="shared" si="4"/>
        <v>2.3903703703703703</v>
      </c>
      <c r="T24" s="251">
        <f t="shared" si="5"/>
        <v>4.7807407407407405</v>
      </c>
      <c r="U24" s="252"/>
      <c r="V24" s="253"/>
      <c r="W24" s="254" t="s">
        <v>257</v>
      </c>
      <c r="X24" s="255"/>
      <c r="Y24" s="357">
        <f t="shared" si="0"/>
        <v>7.1711111111111103</v>
      </c>
    </row>
    <row r="25" spans="1:25" s="256" customFormat="1" ht="18" customHeight="1" x14ac:dyDescent="0.2">
      <c r="A25" s="244">
        <v>17</v>
      </c>
      <c r="B25" s="245"/>
      <c r="C25" s="246">
        <v>2022</v>
      </c>
      <c r="D25" s="247" t="s">
        <v>1473</v>
      </c>
      <c r="E25" s="248" t="s">
        <v>498</v>
      </c>
      <c r="F25" s="249">
        <v>8</v>
      </c>
      <c r="G25" s="249">
        <v>8</v>
      </c>
      <c r="H25" s="250">
        <v>8</v>
      </c>
      <c r="I25" s="250">
        <v>8</v>
      </c>
      <c r="J25" s="250">
        <v>8.5</v>
      </c>
      <c r="K25" s="250">
        <v>8</v>
      </c>
      <c r="L25" s="250">
        <v>8</v>
      </c>
      <c r="M25" s="250">
        <v>8</v>
      </c>
      <c r="N25" s="250">
        <v>8</v>
      </c>
      <c r="O25" s="251">
        <f t="shared" si="3"/>
        <v>8.0555555555555554</v>
      </c>
      <c r="P25" s="250">
        <f>SUM(F25:O25)/10</f>
        <v>8.0555555555555554</v>
      </c>
      <c r="Q25" s="250"/>
      <c r="R25" s="250"/>
      <c r="S25" s="251">
        <f t="shared" si="4"/>
        <v>2.6851851851851851</v>
      </c>
      <c r="T25" s="251">
        <f t="shared" si="5"/>
        <v>5.3703703703703702</v>
      </c>
      <c r="U25" s="252"/>
      <c r="V25" s="253"/>
      <c r="W25" s="254" t="s">
        <v>269</v>
      </c>
      <c r="X25" s="255"/>
      <c r="Y25" s="357">
        <f t="shared" si="0"/>
        <v>8.0555555555555554</v>
      </c>
    </row>
    <row r="26" spans="1:25" s="256" customFormat="1" ht="18" customHeight="1" x14ac:dyDescent="0.2">
      <c r="A26" s="244">
        <v>18</v>
      </c>
      <c r="B26" s="245"/>
      <c r="C26" s="246">
        <v>2022</v>
      </c>
      <c r="D26" s="247" t="s">
        <v>1474</v>
      </c>
      <c r="E26" s="248" t="s">
        <v>612</v>
      </c>
      <c r="F26" s="249">
        <v>8</v>
      </c>
      <c r="G26" s="249">
        <v>8</v>
      </c>
      <c r="H26" s="250">
        <v>7.5</v>
      </c>
      <c r="I26" s="250">
        <v>7</v>
      </c>
      <c r="J26" s="250">
        <v>8</v>
      </c>
      <c r="K26" s="250">
        <v>7.5</v>
      </c>
      <c r="L26" s="250">
        <v>7</v>
      </c>
      <c r="M26" s="250">
        <v>7</v>
      </c>
      <c r="N26" s="655">
        <v>7</v>
      </c>
      <c r="O26" s="251">
        <f t="shared" si="3"/>
        <v>7.4444444444444446</v>
      </c>
      <c r="P26" s="250"/>
      <c r="Q26" s="250"/>
      <c r="R26" s="250"/>
      <c r="S26" s="251">
        <f t="shared" si="4"/>
        <v>0</v>
      </c>
      <c r="T26" s="251">
        <f t="shared" si="5"/>
        <v>3.7222222222222223</v>
      </c>
      <c r="U26" s="252"/>
      <c r="V26" s="253"/>
      <c r="W26" s="254" t="s">
        <v>214</v>
      </c>
      <c r="X26" s="255"/>
      <c r="Y26" s="357">
        <f t="shared" si="0"/>
        <v>7.4444444444444446</v>
      </c>
    </row>
    <row r="27" spans="1:25" s="256" customFormat="1" ht="18" customHeight="1" thickBot="1" x14ac:dyDescent="0.25">
      <c r="A27" s="335">
        <v>19</v>
      </c>
      <c r="B27" s="245"/>
      <c r="C27" s="246">
        <v>2022</v>
      </c>
      <c r="D27" s="336" t="s">
        <v>1475</v>
      </c>
      <c r="E27" s="337" t="s">
        <v>1066</v>
      </c>
      <c r="F27" s="338">
        <v>7.5</v>
      </c>
      <c r="G27" s="338">
        <v>6.5</v>
      </c>
      <c r="H27" s="339">
        <v>6</v>
      </c>
      <c r="I27" s="339">
        <v>6</v>
      </c>
      <c r="J27" s="339">
        <v>6.5</v>
      </c>
      <c r="K27" s="339">
        <v>6.5</v>
      </c>
      <c r="L27" s="339">
        <v>7</v>
      </c>
      <c r="M27" s="339">
        <v>6.5</v>
      </c>
      <c r="N27" s="339">
        <v>7</v>
      </c>
      <c r="O27" s="251">
        <f t="shared" si="3"/>
        <v>6.6111111111111107</v>
      </c>
      <c r="P27" s="339"/>
      <c r="Q27" s="339"/>
      <c r="R27" s="339"/>
      <c r="S27" s="340">
        <f t="shared" si="4"/>
        <v>0</v>
      </c>
      <c r="T27" s="340">
        <f t="shared" si="5"/>
        <v>3.3055555555555554</v>
      </c>
      <c r="U27" s="252"/>
      <c r="V27" s="341"/>
      <c r="W27" s="342" t="s">
        <v>195</v>
      </c>
      <c r="X27" s="255"/>
      <c r="Y27" s="357">
        <f t="shared" si="0"/>
        <v>6.6111111111111107</v>
      </c>
    </row>
    <row r="28" spans="1:25" s="256" customFormat="1" ht="18" customHeight="1" thickTop="1" x14ac:dyDescent="0.2">
      <c r="A28" s="343">
        <v>20</v>
      </c>
      <c r="B28" s="245"/>
      <c r="C28" s="246">
        <v>2022</v>
      </c>
      <c r="D28" s="344" t="s">
        <v>1476</v>
      </c>
      <c r="E28" s="345" t="s">
        <v>852</v>
      </c>
      <c r="F28" s="346">
        <v>7</v>
      </c>
      <c r="G28" s="346">
        <v>6.6</v>
      </c>
      <c r="H28" s="347">
        <v>7</v>
      </c>
      <c r="I28" s="347">
        <v>5</v>
      </c>
      <c r="J28" s="347">
        <v>8</v>
      </c>
      <c r="K28" s="347">
        <v>7.5</v>
      </c>
      <c r="L28" s="347">
        <v>7.5</v>
      </c>
      <c r="M28" s="347">
        <v>7.5</v>
      </c>
      <c r="N28" s="347">
        <v>7</v>
      </c>
      <c r="O28" s="251">
        <f t="shared" si="3"/>
        <v>7.0111111111111111</v>
      </c>
      <c r="P28" s="347"/>
      <c r="Q28" s="347"/>
      <c r="R28" s="347"/>
      <c r="S28" s="348">
        <f t="shared" si="4"/>
        <v>0</v>
      </c>
      <c r="T28" s="348">
        <f t="shared" si="5"/>
        <v>3.5055555555555555</v>
      </c>
      <c r="U28" s="252"/>
      <c r="V28" s="349"/>
      <c r="W28" s="350" t="s">
        <v>141</v>
      </c>
      <c r="X28" s="255"/>
      <c r="Y28" s="357">
        <f t="shared" si="0"/>
        <v>7.0111111111111111</v>
      </c>
    </row>
    <row r="29" spans="1:25" s="256" customFormat="1" ht="18" customHeight="1" x14ac:dyDescent="0.2">
      <c r="A29" s="244">
        <v>21</v>
      </c>
      <c r="B29" s="245"/>
      <c r="C29" s="246">
        <v>2022</v>
      </c>
      <c r="D29" s="247" t="s">
        <v>146</v>
      </c>
      <c r="E29" s="248" t="s">
        <v>1477</v>
      </c>
      <c r="F29" s="249">
        <v>6.5</v>
      </c>
      <c r="G29" s="249">
        <v>7</v>
      </c>
      <c r="H29" s="347">
        <v>7.5</v>
      </c>
      <c r="I29" s="250">
        <v>7</v>
      </c>
      <c r="J29" s="250">
        <v>8</v>
      </c>
      <c r="K29" s="250">
        <v>7</v>
      </c>
      <c r="L29" s="250">
        <v>7</v>
      </c>
      <c r="M29" s="250">
        <v>7.5</v>
      </c>
      <c r="N29" s="250">
        <v>6</v>
      </c>
      <c r="O29" s="251">
        <f t="shared" si="3"/>
        <v>7.0555555555555554</v>
      </c>
      <c r="P29" s="250"/>
      <c r="Q29" s="250"/>
      <c r="R29" s="250"/>
      <c r="S29" s="251"/>
      <c r="T29" s="251"/>
      <c r="U29" s="252"/>
      <c r="V29" s="253"/>
      <c r="W29" s="254" t="s">
        <v>186</v>
      </c>
      <c r="X29" s="255"/>
      <c r="Y29" s="357">
        <f t="shared" si="0"/>
        <v>7.0555555555555554</v>
      </c>
    </row>
    <row r="30" spans="1:25" s="256" customFormat="1" ht="18" customHeight="1" x14ac:dyDescent="0.2">
      <c r="A30" s="244">
        <v>22</v>
      </c>
      <c r="B30" s="245"/>
      <c r="C30" s="246">
        <v>2022</v>
      </c>
      <c r="D30" s="247" t="s">
        <v>1478</v>
      </c>
      <c r="E30" s="248" t="s">
        <v>1354</v>
      </c>
      <c r="F30" s="249">
        <v>8</v>
      </c>
      <c r="G30" s="249">
        <v>7.6</v>
      </c>
      <c r="H30" s="250">
        <v>8</v>
      </c>
      <c r="I30" s="250">
        <v>8</v>
      </c>
      <c r="J30" s="250">
        <v>8</v>
      </c>
      <c r="K30" s="250">
        <v>7.5</v>
      </c>
      <c r="L30" s="250">
        <v>7.5</v>
      </c>
      <c r="M30" s="250">
        <v>8</v>
      </c>
      <c r="N30" s="250">
        <v>7</v>
      </c>
      <c r="O30" s="251">
        <f t="shared" si="3"/>
        <v>7.7333333333333325</v>
      </c>
      <c r="P30" s="250"/>
      <c r="Q30" s="250"/>
      <c r="R30" s="250"/>
      <c r="S30" s="251"/>
      <c r="T30" s="251"/>
      <c r="U30" s="252"/>
      <c r="V30" s="253"/>
      <c r="W30" s="254" t="s">
        <v>192</v>
      </c>
      <c r="X30" s="255"/>
      <c r="Y30" s="357">
        <f t="shared" si="0"/>
        <v>7.7333333333333325</v>
      </c>
    </row>
    <row r="31" spans="1:25" s="256" customFormat="1" ht="18" customHeight="1" x14ac:dyDescent="0.2">
      <c r="A31" s="244">
        <v>23</v>
      </c>
      <c r="B31" s="245"/>
      <c r="C31" s="246">
        <v>2022</v>
      </c>
      <c r="D31" s="247" t="s">
        <v>1479</v>
      </c>
      <c r="E31" s="248" t="s">
        <v>152</v>
      </c>
      <c r="F31" s="249">
        <v>8</v>
      </c>
      <c r="G31" s="249">
        <v>7.4</v>
      </c>
      <c r="H31" s="250">
        <v>7.5</v>
      </c>
      <c r="I31" s="250">
        <v>7</v>
      </c>
      <c r="J31" s="250">
        <v>6</v>
      </c>
      <c r="K31" s="655">
        <v>7</v>
      </c>
      <c r="L31" s="250">
        <v>7</v>
      </c>
      <c r="M31" s="250">
        <v>7</v>
      </c>
      <c r="N31" s="655">
        <v>7</v>
      </c>
      <c r="O31" s="251">
        <f t="shared" si="3"/>
        <v>7.1</v>
      </c>
      <c r="P31" s="250"/>
      <c r="Q31" s="250"/>
      <c r="R31" s="250"/>
      <c r="S31" s="251"/>
      <c r="T31" s="251"/>
      <c r="U31" s="252"/>
      <c r="V31" s="253"/>
      <c r="W31" s="254" t="s">
        <v>215</v>
      </c>
      <c r="X31" s="255"/>
      <c r="Y31" s="357">
        <f t="shared" si="0"/>
        <v>7.1</v>
      </c>
    </row>
    <row r="32" spans="1:25" s="256" customFormat="1" ht="18" customHeight="1" x14ac:dyDescent="0.2">
      <c r="A32" s="244">
        <v>24</v>
      </c>
      <c r="B32" s="245"/>
      <c r="C32" s="246">
        <v>2022</v>
      </c>
      <c r="D32" s="247" t="s">
        <v>228</v>
      </c>
      <c r="E32" s="248" t="s">
        <v>792</v>
      </c>
      <c r="F32" s="249">
        <v>8</v>
      </c>
      <c r="G32" s="249">
        <v>7.4</v>
      </c>
      <c r="H32" s="250">
        <v>7</v>
      </c>
      <c r="I32" s="250">
        <v>7</v>
      </c>
      <c r="J32" s="250">
        <v>7</v>
      </c>
      <c r="K32" s="250">
        <v>6.5</v>
      </c>
      <c r="L32" s="250">
        <v>7</v>
      </c>
      <c r="M32" s="250">
        <v>7</v>
      </c>
      <c r="N32" s="250">
        <v>7</v>
      </c>
      <c r="O32" s="251">
        <f t="shared" si="3"/>
        <v>7.1</v>
      </c>
      <c r="P32" s="250"/>
      <c r="Q32" s="250"/>
      <c r="R32" s="250"/>
      <c r="S32" s="251"/>
      <c r="T32" s="251"/>
      <c r="U32" s="252"/>
      <c r="V32" s="253"/>
      <c r="W32" s="254" t="s">
        <v>186</v>
      </c>
      <c r="X32" s="255"/>
      <c r="Y32" s="357">
        <f t="shared" si="0"/>
        <v>7.1</v>
      </c>
    </row>
    <row r="33" spans="1:26" s="256" customFormat="1" ht="18" customHeight="1" x14ac:dyDescent="0.2">
      <c r="A33" s="244">
        <v>25</v>
      </c>
      <c r="B33" s="245"/>
      <c r="C33" s="246">
        <v>2022</v>
      </c>
      <c r="D33" s="247" t="s">
        <v>1480</v>
      </c>
      <c r="E33" s="248" t="s">
        <v>686</v>
      </c>
      <c r="F33" s="249">
        <v>8</v>
      </c>
      <c r="G33" s="249">
        <v>7</v>
      </c>
      <c r="H33" s="250">
        <v>7</v>
      </c>
      <c r="I33" s="250">
        <v>8</v>
      </c>
      <c r="J33" s="250">
        <v>8</v>
      </c>
      <c r="K33" s="655">
        <v>6.5</v>
      </c>
      <c r="L33" s="250">
        <v>7</v>
      </c>
      <c r="M33" s="250">
        <v>8.5</v>
      </c>
      <c r="N33" s="655">
        <v>7</v>
      </c>
      <c r="O33" s="251">
        <f t="shared" si="3"/>
        <v>7.4444444444444446</v>
      </c>
      <c r="P33" s="250"/>
      <c r="Q33" s="250"/>
      <c r="R33" s="250"/>
      <c r="S33" s="251"/>
      <c r="T33" s="251"/>
      <c r="U33" s="252"/>
      <c r="V33" s="253"/>
      <c r="W33" s="254" t="s">
        <v>215</v>
      </c>
      <c r="X33" s="255"/>
      <c r="Y33" s="357">
        <f t="shared" si="0"/>
        <v>7.4444444444444446</v>
      </c>
    </row>
    <row r="34" spans="1:26" s="256" customFormat="1" ht="18" customHeight="1" x14ac:dyDescent="0.2">
      <c r="A34" s="244">
        <v>26</v>
      </c>
      <c r="B34" s="245"/>
      <c r="C34" s="246">
        <v>2022</v>
      </c>
      <c r="D34" s="247" t="s">
        <v>260</v>
      </c>
      <c r="E34" s="248" t="s">
        <v>996</v>
      </c>
      <c r="F34" s="249">
        <v>7</v>
      </c>
      <c r="G34" s="249">
        <v>7.6</v>
      </c>
      <c r="H34" s="250">
        <v>7</v>
      </c>
      <c r="I34" s="250">
        <v>6</v>
      </c>
      <c r="J34" s="250">
        <v>8.5</v>
      </c>
      <c r="K34" s="655">
        <v>8</v>
      </c>
      <c r="L34" s="250">
        <v>7.5</v>
      </c>
      <c r="M34" s="250">
        <v>7.5</v>
      </c>
      <c r="N34" s="655">
        <v>7</v>
      </c>
      <c r="O34" s="251">
        <f t="shared" si="3"/>
        <v>7.3444444444444441</v>
      </c>
      <c r="P34" s="250"/>
      <c r="Q34" s="250"/>
      <c r="R34" s="250"/>
      <c r="S34" s="251"/>
      <c r="T34" s="251"/>
      <c r="U34" s="252"/>
      <c r="V34" s="253"/>
      <c r="W34" s="254" t="s">
        <v>141</v>
      </c>
      <c r="X34" s="255"/>
      <c r="Y34" s="357">
        <f t="shared" si="0"/>
        <v>7.3444444444444441</v>
      </c>
      <c r="Z34" s="256" t="s">
        <v>144</v>
      </c>
    </row>
    <row r="35" spans="1:26" s="256" customFormat="1" ht="18" customHeight="1" x14ac:dyDescent="0.3">
      <c r="A35" s="244">
        <v>27</v>
      </c>
      <c r="B35" s="245"/>
      <c r="C35" s="246">
        <v>2022</v>
      </c>
      <c r="D35" s="247" t="s">
        <v>1481</v>
      </c>
      <c r="E35" s="248" t="s">
        <v>1062</v>
      </c>
      <c r="F35" s="249">
        <v>7</v>
      </c>
      <c r="G35" s="249">
        <v>7</v>
      </c>
      <c r="H35" s="250">
        <v>7</v>
      </c>
      <c r="I35" s="250">
        <v>7</v>
      </c>
      <c r="J35" s="250">
        <v>8</v>
      </c>
      <c r="K35" s="250">
        <v>7</v>
      </c>
      <c r="L35" s="250">
        <v>7.5</v>
      </c>
      <c r="M35" s="250">
        <v>6</v>
      </c>
      <c r="N35" s="250">
        <v>6.5</v>
      </c>
      <c r="O35" s="251">
        <f t="shared" si="3"/>
        <v>7</v>
      </c>
      <c r="P35" s="250"/>
      <c r="Q35" s="250"/>
      <c r="R35" s="250"/>
      <c r="S35" s="251"/>
      <c r="T35" s="251"/>
      <c r="U35" s="252"/>
      <c r="V35" s="253"/>
      <c r="W35" s="254" t="s">
        <v>258</v>
      </c>
      <c r="X35" s="255"/>
      <c r="Y35" s="357">
        <f t="shared" si="0"/>
        <v>7</v>
      </c>
    </row>
    <row r="36" spans="1:26" s="256" customFormat="1" ht="18" customHeight="1" x14ac:dyDescent="0.2">
      <c r="A36" s="244">
        <v>28</v>
      </c>
      <c r="B36" s="245"/>
      <c r="C36" s="246">
        <v>2022</v>
      </c>
      <c r="D36" s="247" t="s">
        <v>1188</v>
      </c>
      <c r="E36" s="248" t="s">
        <v>842</v>
      </c>
      <c r="F36" s="249">
        <v>8</v>
      </c>
      <c r="G36" s="249">
        <v>7</v>
      </c>
      <c r="H36" s="250">
        <v>8</v>
      </c>
      <c r="I36" s="250">
        <v>8</v>
      </c>
      <c r="J36" s="250">
        <v>7</v>
      </c>
      <c r="K36" s="250">
        <v>7</v>
      </c>
      <c r="L36" s="250">
        <v>6.5</v>
      </c>
      <c r="M36" s="250">
        <v>7</v>
      </c>
      <c r="N36" s="250">
        <v>6</v>
      </c>
      <c r="O36" s="251">
        <f t="shared" si="3"/>
        <v>7.166666666666667</v>
      </c>
      <c r="P36" s="250"/>
      <c r="Q36" s="250"/>
      <c r="R36" s="250"/>
      <c r="S36" s="251">
        <f>SUM(P36:R36)/3</f>
        <v>0</v>
      </c>
      <c r="T36" s="251">
        <f>SUM(O36+S36)/2</f>
        <v>3.5833333333333335</v>
      </c>
      <c r="U36" s="252"/>
      <c r="V36" s="253"/>
      <c r="W36" s="254" t="s">
        <v>269</v>
      </c>
      <c r="X36" s="255"/>
      <c r="Y36" s="357">
        <f t="shared" si="0"/>
        <v>7.166666666666667</v>
      </c>
    </row>
    <row r="37" spans="1:26" s="368" customFormat="1" ht="18" customHeight="1" x14ac:dyDescent="0.25">
      <c r="A37" s="244">
        <v>29</v>
      </c>
      <c r="B37" s="245"/>
      <c r="C37" s="246">
        <v>2022</v>
      </c>
      <c r="D37" s="247" t="s">
        <v>1482</v>
      </c>
      <c r="E37" s="248" t="s">
        <v>1483</v>
      </c>
      <c r="F37" s="249">
        <v>8</v>
      </c>
      <c r="G37" s="249">
        <v>7</v>
      </c>
      <c r="H37" s="250">
        <v>7</v>
      </c>
      <c r="I37" s="250">
        <v>6</v>
      </c>
      <c r="J37" s="250">
        <v>8</v>
      </c>
      <c r="K37" s="250">
        <v>7.5</v>
      </c>
      <c r="L37" s="250">
        <v>6.5</v>
      </c>
      <c r="M37" s="250">
        <v>7</v>
      </c>
      <c r="N37" s="655">
        <v>7</v>
      </c>
      <c r="O37" s="251">
        <f t="shared" si="3"/>
        <v>7.1111111111111107</v>
      </c>
      <c r="P37" s="248"/>
      <c r="Q37" s="248"/>
      <c r="R37" s="248"/>
      <c r="S37" s="248"/>
      <c r="T37" s="248"/>
      <c r="U37" s="252"/>
      <c r="V37" s="253"/>
      <c r="W37" s="254" t="s">
        <v>173</v>
      </c>
      <c r="X37" s="255"/>
      <c r="Y37" s="357">
        <f t="shared" si="0"/>
        <v>7.1111111111111107</v>
      </c>
    </row>
    <row r="38" spans="1:26" s="368" customFormat="1" ht="18" customHeight="1" x14ac:dyDescent="0.25">
      <c r="A38" s="244">
        <v>30</v>
      </c>
      <c r="B38" s="245"/>
      <c r="C38" s="246">
        <v>2022</v>
      </c>
      <c r="D38" s="247" t="s">
        <v>1484</v>
      </c>
      <c r="E38" s="248" t="s">
        <v>1115</v>
      </c>
      <c r="F38" s="249">
        <v>7</v>
      </c>
      <c r="G38" s="249">
        <v>7</v>
      </c>
      <c r="H38" s="250">
        <v>8</v>
      </c>
      <c r="I38" s="250">
        <v>8</v>
      </c>
      <c r="J38" s="250">
        <v>7</v>
      </c>
      <c r="K38" s="250">
        <v>7</v>
      </c>
      <c r="L38" s="250">
        <v>7.5</v>
      </c>
      <c r="M38" s="250">
        <v>7</v>
      </c>
      <c r="N38" s="250">
        <v>6.5</v>
      </c>
      <c r="O38" s="251">
        <f t="shared" si="3"/>
        <v>7.2222222222222223</v>
      </c>
      <c r="P38" s="250"/>
      <c r="Q38" s="250"/>
      <c r="R38" s="250"/>
      <c r="S38" s="251"/>
      <c r="T38" s="251"/>
      <c r="U38" s="252"/>
      <c r="V38" s="253"/>
      <c r="W38" s="254" t="s">
        <v>269</v>
      </c>
      <c r="X38" s="255"/>
      <c r="Y38" s="357">
        <f t="shared" si="0"/>
        <v>7.2222222222222223</v>
      </c>
    </row>
    <row r="39" spans="1:26" s="368" customFormat="1" ht="18" customHeight="1" x14ac:dyDescent="0.25">
      <c r="A39" s="244">
        <v>31</v>
      </c>
      <c r="B39" s="245"/>
      <c r="C39" s="246">
        <v>2022</v>
      </c>
      <c r="D39" s="247" t="s">
        <v>1485</v>
      </c>
      <c r="E39" s="248" t="s">
        <v>1486</v>
      </c>
      <c r="F39" s="249">
        <v>7</v>
      </c>
      <c r="G39" s="249">
        <v>6.5</v>
      </c>
      <c r="H39" s="250">
        <v>8</v>
      </c>
      <c r="I39" s="250">
        <v>6</v>
      </c>
      <c r="J39" s="250">
        <v>8</v>
      </c>
      <c r="K39" s="250">
        <v>7.5</v>
      </c>
      <c r="L39" s="250">
        <v>7</v>
      </c>
      <c r="M39" s="250">
        <v>7.5</v>
      </c>
      <c r="N39" s="250">
        <v>7</v>
      </c>
      <c r="O39" s="251">
        <f t="shared" si="3"/>
        <v>7.166666666666667</v>
      </c>
      <c r="P39" s="250"/>
      <c r="Q39" s="250"/>
      <c r="R39" s="250"/>
      <c r="S39" s="251">
        <f>SUM(P39:R39)/3</f>
        <v>0</v>
      </c>
      <c r="T39" s="251">
        <f>SUM(O39+S39)/2</f>
        <v>3.5833333333333335</v>
      </c>
      <c r="U39" s="252"/>
      <c r="V39" s="253"/>
      <c r="W39" s="254" t="s">
        <v>186</v>
      </c>
      <c r="X39" s="255"/>
      <c r="Y39" s="357">
        <f t="shared" si="0"/>
        <v>7.166666666666667</v>
      </c>
    </row>
    <row r="40" spans="1:26" s="368" customFormat="1" ht="18" customHeight="1" x14ac:dyDescent="0.25">
      <c r="A40" s="244">
        <v>32</v>
      </c>
      <c r="B40" s="245"/>
      <c r="C40" s="246">
        <v>2022</v>
      </c>
      <c r="D40" s="247" t="s">
        <v>1487</v>
      </c>
      <c r="E40" s="248" t="s">
        <v>152</v>
      </c>
      <c r="F40" s="249">
        <v>6</v>
      </c>
      <c r="G40" s="249">
        <v>6.5</v>
      </c>
      <c r="H40" s="250">
        <v>7</v>
      </c>
      <c r="I40" s="250">
        <v>7</v>
      </c>
      <c r="J40" s="250">
        <v>6</v>
      </c>
      <c r="K40" s="250">
        <v>6.5</v>
      </c>
      <c r="L40" s="250">
        <v>7</v>
      </c>
      <c r="M40" s="250">
        <v>6</v>
      </c>
      <c r="N40" s="250">
        <v>6.5</v>
      </c>
      <c r="O40" s="251">
        <f t="shared" si="3"/>
        <v>6.5</v>
      </c>
      <c r="P40" s="248"/>
      <c r="Q40" s="248"/>
      <c r="R40" s="248"/>
      <c r="S40" s="248"/>
      <c r="T40" s="248"/>
      <c r="U40" s="252"/>
      <c r="V40" s="253"/>
      <c r="W40" s="254" t="s">
        <v>141</v>
      </c>
      <c r="X40" s="255"/>
      <c r="Y40" s="357">
        <f t="shared" si="0"/>
        <v>6.5</v>
      </c>
    </row>
    <row r="41" spans="1:26" s="368" customFormat="1" ht="18" customHeight="1" thickBot="1" x14ac:dyDescent="0.3">
      <c r="A41" s="563"/>
      <c r="B41" s="564"/>
      <c r="C41" s="565"/>
      <c r="D41" s="566"/>
      <c r="E41" s="567"/>
      <c r="F41" s="568"/>
      <c r="G41" s="568"/>
      <c r="H41" s="569"/>
      <c r="I41" s="569"/>
      <c r="J41" s="569"/>
      <c r="K41" s="569"/>
      <c r="L41" s="569"/>
      <c r="M41" s="569"/>
      <c r="N41" s="567"/>
      <c r="O41" s="570"/>
      <c r="P41" s="567"/>
      <c r="Q41" s="567"/>
      <c r="R41" s="567"/>
      <c r="S41" s="567"/>
      <c r="T41" s="567"/>
      <c r="U41" s="571"/>
      <c r="V41" s="572"/>
      <c r="W41" s="573"/>
      <c r="X41" s="574"/>
    </row>
    <row r="42" spans="1:26" s="368" customFormat="1" ht="18" customHeight="1" thickTop="1" x14ac:dyDescent="0.3">
      <c r="A42" s="369"/>
      <c r="B42" s="369"/>
      <c r="C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1065"/>
      <c r="P42" s="1065"/>
      <c r="Q42" s="1065"/>
      <c r="R42" s="1065"/>
      <c r="S42" s="1065"/>
      <c r="T42" s="1065"/>
      <c r="U42" s="1065"/>
      <c r="V42" s="1065"/>
      <c r="W42" s="1065"/>
    </row>
    <row r="43" spans="1:26" s="368" customFormat="1" ht="18" customHeight="1" x14ac:dyDescent="0.3">
      <c r="A43" s="369"/>
      <c r="B43" s="369"/>
      <c r="C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1065"/>
      <c r="P43" s="1065"/>
      <c r="Q43" s="1065"/>
      <c r="R43" s="371"/>
      <c r="S43" s="369"/>
      <c r="T43" s="369"/>
      <c r="U43" s="369"/>
      <c r="V43" s="372" t="s">
        <v>101</v>
      </c>
      <c r="W43" s="369"/>
      <c r="Y43" s="368" t="s">
        <v>114</v>
      </c>
    </row>
    <row r="44" spans="1:26" s="368" customFormat="1" ht="18" customHeight="1" x14ac:dyDescent="0.3">
      <c r="A44" s="369"/>
      <c r="B44" s="369"/>
      <c r="C44" s="369"/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73"/>
      <c r="P44" s="374"/>
      <c r="Q44" s="374"/>
      <c r="R44" s="371"/>
      <c r="S44" s="369"/>
      <c r="T44" s="369"/>
      <c r="U44" s="369"/>
      <c r="V44" s="372" t="s">
        <v>101</v>
      </c>
      <c r="W44" s="369"/>
    </row>
    <row r="45" spans="1:26" s="368" customFormat="1" ht="18" customHeight="1" x14ac:dyDescent="0.3">
      <c r="A45" s="369"/>
      <c r="B45" s="369"/>
      <c r="C45" s="369"/>
      <c r="E45" s="369"/>
      <c r="F45" s="369"/>
      <c r="G45" s="369"/>
      <c r="H45" s="369"/>
      <c r="I45" s="369"/>
      <c r="J45" s="369"/>
      <c r="K45" s="369"/>
      <c r="L45" s="369"/>
      <c r="M45" s="369"/>
      <c r="N45" s="369"/>
      <c r="O45" s="1066"/>
      <c r="P45" s="1066"/>
      <c r="Q45" s="1066"/>
      <c r="R45" s="371"/>
      <c r="S45" s="369"/>
      <c r="T45" s="369"/>
      <c r="U45" s="369"/>
      <c r="V45" s="372" t="s">
        <v>101</v>
      </c>
      <c r="W45" s="369"/>
    </row>
    <row r="46" spans="1:26" s="368" customFormat="1" ht="18" customHeight="1" x14ac:dyDescent="0.25">
      <c r="A46" s="369"/>
      <c r="B46" s="369"/>
      <c r="C46" s="369"/>
      <c r="E46" s="369"/>
      <c r="F46" s="369"/>
      <c r="G46" s="369"/>
      <c r="H46" s="369"/>
      <c r="I46" s="369"/>
      <c r="J46" s="369"/>
      <c r="K46" s="369"/>
      <c r="L46" s="369"/>
      <c r="M46" s="369"/>
      <c r="N46" s="369"/>
      <c r="O46" s="1064"/>
      <c r="P46" s="1064"/>
      <c r="Q46" s="1064"/>
      <c r="R46" s="1064"/>
      <c r="S46" s="1064"/>
      <c r="T46" s="1064"/>
      <c r="U46" s="1064"/>
      <c r="V46" s="1064"/>
      <c r="W46" s="1064"/>
    </row>
    <row r="47" spans="1:26" s="368" customFormat="1" ht="18" customHeight="1" x14ac:dyDescent="0.3">
      <c r="A47" s="369"/>
      <c r="B47" s="369"/>
      <c r="C47" s="369"/>
      <c r="E47" s="369"/>
      <c r="F47" s="369"/>
      <c r="G47" s="369"/>
      <c r="H47" s="369"/>
      <c r="I47" s="369"/>
      <c r="J47" s="369"/>
      <c r="K47" s="369"/>
      <c r="L47" s="369"/>
      <c r="M47" s="369"/>
      <c r="N47" s="369"/>
      <c r="O47" s="370"/>
      <c r="P47" s="371"/>
      <c r="Q47" s="371"/>
      <c r="R47" s="371"/>
      <c r="S47" s="369"/>
      <c r="T47" s="369"/>
      <c r="U47" s="369"/>
      <c r="V47" s="372" t="s">
        <v>101</v>
      </c>
      <c r="W47" s="369"/>
    </row>
    <row r="48" spans="1:26" s="368" customFormat="1" ht="18" customHeight="1" x14ac:dyDescent="0.3">
      <c r="A48" s="369"/>
      <c r="B48" s="369"/>
      <c r="C48" s="369"/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70"/>
      <c r="P48" s="371"/>
      <c r="Q48" s="371"/>
      <c r="R48" s="371"/>
      <c r="S48" s="369"/>
      <c r="T48" s="369"/>
      <c r="U48" s="369"/>
      <c r="V48" s="665"/>
      <c r="W48" s="369"/>
    </row>
    <row r="49" spans="1:23" s="368" customFormat="1" ht="18" customHeight="1" x14ac:dyDescent="0.3">
      <c r="A49" s="369"/>
      <c r="B49" s="369"/>
      <c r="C49" s="369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70"/>
      <c r="P49" s="371"/>
      <c r="Q49" s="371"/>
      <c r="R49" s="371"/>
      <c r="S49" s="369"/>
      <c r="T49" s="369"/>
      <c r="U49" s="369"/>
      <c r="V49" s="372" t="s">
        <v>101</v>
      </c>
      <c r="W49" s="369"/>
    </row>
    <row r="50" spans="1:23" s="368" customFormat="1" ht="18" customHeight="1" x14ac:dyDescent="0.25">
      <c r="A50" s="369"/>
      <c r="B50" s="369"/>
      <c r="C50" s="369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70"/>
      <c r="P50" s="371"/>
      <c r="Q50" s="371"/>
      <c r="R50" s="371"/>
      <c r="S50" s="369"/>
      <c r="T50" s="369"/>
      <c r="U50" s="369"/>
      <c r="V50" s="575" t="s">
        <v>101</v>
      </c>
      <c r="W50" s="369"/>
    </row>
    <row r="51" spans="1:23" s="368" customFormat="1" ht="18" customHeight="1" x14ac:dyDescent="0.3">
      <c r="A51" s="369"/>
      <c r="B51" s="369"/>
      <c r="C51" s="369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70"/>
      <c r="P51" s="371"/>
      <c r="Q51" s="371"/>
      <c r="R51" s="371"/>
      <c r="S51" s="369"/>
      <c r="T51" s="369"/>
      <c r="U51" s="369"/>
      <c r="V51" s="372" t="s">
        <v>101</v>
      </c>
      <c r="W51" s="369"/>
    </row>
    <row r="52" spans="1:23" s="368" customFormat="1" ht="18" customHeight="1" x14ac:dyDescent="0.3">
      <c r="A52" s="369"/>
      <c r="B52" s="369"/>
      <c r="C52" s="369"/>
      <c r="E52" s="369"/>
      <c r="F52" s="369"/>
      <c r="G52" s="369"/>
      <c r="H52" s="369"/>
      <c r="I52" s="369"/>
      <c r="J52" s="369"/>
      <c r="K52" s="369"/>
      <c r="L52" s="369"/>
      <c r="M52" s="369"/>
      <c r="N52" s="369"/>
      <c r="O52" s="370"/>
      <c r="P52" s="371"/>
      <c r="Q52" s="371"/>
      <c r="R52" s="371"/>
      <c r="S52" s="369"/>
      <c r="T52" s="369"/>
      <c r="U52" s="369"/>
      <c r="V52" s="372" t="s">
        <v>101</v>
      </c>
      <c r="W52" s="369"/>
    </row>
    <row r="53" spans="1:23" ht="18" customHeight="1" x14ac:dyDescent="0.25">
      <c r="V53" s="663"/>
    </row>
    <row r="54" spans="1:23" ht="18" customHeight="1" x14ac:dyDescent="0.25">
      <c r="V54" s="663"/>
    </row>
    <row r="55" spans="1:23" ht="18" customHeight="1" x14ac:dyDescent="0.25">
      <c r="V55" s="663"/>
    </row>
    <row r="56" spans="1:23" ht="18" customHeight="1" x14ac:dyDescent="0.25">
      <c r="V56" s="663"/>
    </row>
    <row r="57" spans="1:23" ht="18" customHeight="1" x14ac:dyDescent="0.25">
      <c r="V57" s="663"/>
    </row>
    <row r="58" spans="1:23" ht="18" customHeight="1" x14ac:dyDescent="0.25">
      <c r="V58" s="663"/>
    </row>
    <row r="59" spans="1:23" ht="18" customHeight="1" x14ac:dyDescent="0.25">
      <c r="V59" s="663"/>
    </row>
    <row r="60" spans="1:23" ht="18" customHeight="1" x14ac:dyDescent="0.25">
      <c r="V60" s="663"/>
    </row>
    <row r="61" spans="1:23" ht="18" customHeight="1" x14ac:dyDescent="0.25">
      <c r="V61" s="663"/>
    </row>
    <row r="62" spans="1:23" ht="18" customHeight="1" x14ac:dyDescent="0.25">
      <c r="V62" s="663"/>
    </row>
    <row r="63" spans="1:23" ht="18" customHeight="1" x14ac:dyDescent="0.25">
      <c r="V63" s="663"/>
    </row>
    <row r="64" spans="1:23" ht="18" customHeight="1" x14ac:dyDescent="0.25">
      <c r="V64" s="663"/>
    </row>
    <row r="65" spans="22:22" ht="18" customHeight="1" x14ac:dyDescent="0.25">
      <c r="V65" s="663"/>
    </row>
    <row r="66" spans="22:22" ht="18" customHeight="1" x14ac:dyDescent="0.25">
      <c r="V66" s="663"/>
    </row>
  </sheetData>
  <autoFilter ref="O7:X45">
    <filterColumn colId="1" showButton="0"/>
    <filterColumn colId="2" showButton="0"/>
    <filterColumn colId="3" showButton="0"/>
  </autoFilter>
  <mergeCells count="19">
    <mergeCell ref="E2:W2"/>
    <mergeCell ref="E3:W3"/>
    <mergeCell ref="E4:W4"/>
    <mergeCell ref="E5:AG5"/>
    <mergeCell ref="A7:A8"/>
    <mergeCell ref="B7:C8"/>
    <mergeCell ref="D7:D8"/>
    <mergeCell ref="E7:E8"/>
    <mergeCell ref="F7:M7"/>
    <mergeCell ref="O7:O8"/>
    <mergeCell ref="O43:Q43"/>
    <mergeCell ref="O45:Q45"/>
    <mergeCell ref="O46:W46"/>
    <mergeCell ref="P7:S7"/>
    <mergeCell ref="T7:T8"/>
    <mergeCell ref="U7:U8"/>
    <mergeCell ref="V7:V8"/>
    <mergeCell ref="W7:W8"/>
    <mergeCell ref="O42:W42"/>
  </mergeCells>
  <printOptions horizontalCentered="1" verticalCentered="1"/>
  <pageMargins left="0.83" right="0.16" top="1" bottom="0.31" header="0.23" footer="0.27"/>
  <pageSetup scale="98"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3:AG60"/>
  <sheetViews>
    <sheetView topLeftCell="A10" zoomScale="120" zoomScaleNormal="120" workbookViewId="0">
      <selection activeCell="K17" sqref="K17"/>
    </sheetView>
  </sheetViews>
  <sheetFormatPr defaultRowHeight="18.75" x14ac:dyDescent="0.3"/>
  <cols>
    <col min="1" max="1" width="4.296875" style="1" customWidth="1"/>
    <col min="2" max="2" width="4.59765625" style="1" customWidth="1"/>
    <col min="3" max="3" width="4.19921875" style="1" customWidth="1"/>
    <col min="4" max="4" width="13.296875" customWidth="1"/>
    <col min="5" max="5" width="7.69921875" style="1" customWidth="1"/>
    <col min="6" max="8" width="2.59765625" style="1" customWidth="1"/>
    <col min="9" max="9" width="2.59765625" style="237" customWidth="1"/>
    <col min="10" max="13" width="2.59765625" style="1" customWidth="1"/>
    <col min="14" max="14" width="2.59765625" style="200" customWidth="1"/>
    <col min="15" max="15" width="4.59765625" style="25" customWidth="1"/>
    <col min="16" max="18" width="2.19921875" style="20" hidden="1" customWidth="1"/>
    <col min="19" max="20" width="3.3984375" style="235" hidden="1" customWidth="1"/>
    <col min="21" max="21" width="4.69921875" style="235" customWidth="1"/>
    <col min="22" max="22" width="4.3984375" style="14" hidden="1" customWidth="1"/>
    <col min="23" max="23" width="26.3984375" style="235" customWidth="1"/>
    <col min="24" max="24" width="3.09765625" customWidth="1"/>
    <col min="25" max="25" width="10.19921875" customWidth="1"/>
  </cols>
  <sheetData>
    <row r="3" spans="1:33" s="6" customFormat="1" ht="17.25" x14ac:dyDescent="0.3">
      <c r="B3" s="8"/>
      <c r="C3" s="8"/>
      <c r="D3" s="8"/>
      <c r="E3" s="1199" t="s">
        <v>30</v>
      </c>
      <c r="F3" s="1199"/>
      <c r="G3" s="1199"/>
      <c r="H3" s="1199"/>
      <c r="I3" s="1199"/>
      <c r="J3" s="1199"/>
      <c r="K3" s="1199"/>
      <c r="L3" s="1199"/>
      <c r="M3" s="1199"/>
      <c r="N3" s="1199"/>
      <c r="O3" s="1199"/>
      <c r="P3" s="1199"/>
      <c r="Q3" s="1199"/>
      <c r="R3" s="1199"/>
      <c r="S3" s="1199"/>
      <c r="T3" s="1199"/>
      <c r="U3" s="1199"/>
      <c r="V3" s="1199"/>
      <c r="W3" s="1199"/>
    </row>
    <row r="4" spans="1:33" s="6" customFormat="1" ht="15.75" x14ac:dyDescent="0.25">
      <c r="B4" s="10"/>
      <c r="C4" s="10"/>
      <c r="D4" s="10"/>
      <c r="E4" s="1200" t="s">
        <v>478</v>
      </c>
      <c r="F4" s="1200"/>
      <c r="G4" s="1200"/>
      <c r="H4" s="1200"/>
      <c r="I4" s="1200"/>
      <c r="J4" s="1200"/>
      <c r="K4" s="1200"/>
      <c r="L4" s="1200"/>
      <c r="M4" s="1200"/>
      <c r="N4" s="1200"/>
      <c r="O4" s="1200"/>
      <c r="P4" s="1200"/>
      <c r="Q4" s="1200"/>
      <c r="R4" s="1200"/>
      <c r="S4" s="1200"/>
      <c r="T4" s="1200"/>
      <c r="U4" s="1200"/>
      <c r="V4" s="1200"/>
      <c r="W4" s="1200"/>
    </row>
    <row r="5" spans="1:33" s="6" customFormat="1" ht="15.75" hidden="1" x14ac:dyDescent="0.25">
      <c r="B5" s="11"/>
      <c r="C5" s="11"/>
      <c r="D5" s="11"/>
      <c r="E5" s="1201" t="s">
        <v>34</v>
      </c>
      <c r="F5" s="1201"/>
      <c r="G5" s="1201"/>
      <c r="H5" s="1201"/>
      <c r="I5" s="1201"/>
      <c r="J5" s="1201"/>
      <c r="K5" s="1201"/>
      <c r="L5" s="1201"/>
      <c r="M5" s="1201"/>
      <c r="N5" s="1201"/>
      <c r="O5" s="1201"/>
      <c r="P5" s="1201"/>
      <c r="Q5" s="1201"/>
      <c r="R5" s="1201"/>
      <c r="S5" s="1201"/>
      <c r="T5" s="1201"/>
      <c r="U5" s="1201"/>
      <c r="V5" s="1201"/>
      <c r="W5" s="1201"/>
      <c r="X5" s="11"/>
    </row>
    <row r="6" spans="1:33" s="6" customFormat="1" ht="15.75" customHeight="1" x14ac:dyDescent="0.25">
      <c r="B6" s="10"/>
      <c r="C6" s="10"/>
      <c r="D6" s="10"/>
      <c r="E6" s="1202" t="s">
        <v>479</v>
      </c>
      <c r="F6" s="1202"/>
      <c r="G6" s="1202"/>
      <c r="H6" s="1202"/>
      <c r="I6" s="1202"/>
      <c r="J6" s="1202"/>
      <c r="K6" s="1202"/>
      <c r="L6" s="1202"/>
      <c r="M6" s="1202"/>
      <c r="N6" s="1202"/>
      <c r="O6" s="1202"/>
      <c r="P6" s="1202"/>
      <c r="Q6" s="1202"/>
      <c r="R6" s="1202"/>
      <c r="S6" s="1202"/>
      <c r="T6" s="1202"/>
      <c r="U6" s="1202"/>
      <c r="V6" s="1202"/>
      <c r="W6" s="1202"/>
      <c r="X6" s="1202"/>
      <c r="Y6" s="1202"/>
      <c r="Z6" s="1202"/>
      <c r="AA6" s="1202"/>
      <c r="AB6" s="1202"/>
      <c r="AC6" s="1202"/>
      <c r="AD6" s="1202"/>
      <c r="AE6" s="1202"/>
      <c r="AF6" s="1202"/>
      <c r="AG6" s="1202"/>
    </row>
    <row r="7" spans="1:33" s="6" customFormat="1" ht="15.75" x14ac:dyDescent="0.25">
      <c r="A7" s="663"/>
      <c r="B7" s="663"/>
      <c r="C7" s="663"/>
      <c r="D7" s="663"/>
      <c r="E7" s="663"/>
      <c r="F7" s="663"/>
      <c r="G7" s="663"/>
      <c r="H7" s="663"/>
      <c r="I7" s="663"/>
      <c r="J7" s="663"/>
      <c r="K7" s="663"/>
      <c r="L7" s="663"/>
      <c r="M7" s="663"/>
      <c r="N7" s="666"/>
      <c r="O7" s="663"/>
      <c r="P7" s="18"/>
      <c r="Q7" s="18"/>
      <c r="R7" s="18"/>
      <c r="S7" s="663"/>
      <c r="T7" s="663"/>
      <c r="U7" s="663"/>
      <c r="V7" s="663"/>
      <c r="W7" s="663"/>
    </row>
    <row r="8" spans="1:33" thickBot="1" x14ac:dyDescent="0.3">
      <c r="A8" s="2"/>
      <c r="B8" s="2"/>
      <c r="C8" s="2"/>
      <c r="D8" s="2"/>
      <c r="E8" s="2"/>
      <c r="F8" s="47"/>
      <c r="G8" s="47"/>
      <c r="H8" s="47"/>
      <c r="I8" s="239"/>
      <c r="J8" s="47"/>
      <c r="K8" s="47"/>
      <c r="L8" s="47"/>
      <c r="M8" s="47"/>
      <c r="N8" s="216"/>
      <c r="O8" s="234"/>
      <c r="P8" s="177"/>
      <c r="Q8" s="177"/>
      <c r="R8" s="177"/>
      <c r="S8" s="234"/>
      <c r="T8" s="234"/>
      <c r="U8" s="234"/>
      <c r="V8" s="234"/>
      <c r="W8" s="234"/>
      <c r="X8" s="112"/>
    </row>
    <row r="9" spans="1:33" s="351" customFormat="1" ht="23.25" customHeight="1" thickTop="1" x14ac:dyDescent="0.2">
      <c r="A9" s="1268" t="s">
        <v>91</v>
      </c>
      <c r="B9" s="1270" t="s">
        <v>106</v>
      </c>
      <c r="C9" s="1271"/>
      <c r="D9" s="1274" t="s">
        <v>92</v>
      </c>
      <c r="E9" s="1270" t="s">
        <v>93</v>
      </c>
      <c r="F9" s="1261" t="s">
        <v>324</v>
      </c>
      <c r="G9" s="1262"/>
      <c r="H9" s="1262"/>
      <c r="I9" s="1262"/>
      <c r="J9" s="1262"/>
      <c r="K9" s="1262"/>
      <c r="L9" s="1262"/>
      <c r="M9" s="1262"/>
      <c r="N9" s="671"/>
      <c r="O9" s="1277" t="s">
        <v>102</v>
      </c>
      <c r="P9" s="1261" t="s">
        <v>104</v>
      </c>
      <c r="Q9" s="1262"/>
      <c r="R9" s="1262"/>
      <c r="S9" s="1263"/>
      <c r="T9" s="1264" t="s">
        <v>99</v>
      </c>
      <c r="U9" s="1264" t="s">
        <v>100</v>
      </c>
      <c r="V9" s="1050" t="s">
        <v>103</v>
      </c>
      <c r="W9" s="1266" t="s">
        <v>90</v>
      </c>
    </row>
    <row r="10" spans="1:33" s="351" customFormat="1" ht="136.5" customHeight="1" x14ac:dyDescent="0.2">
      <c r="A10" s="1298"/>
      <c r="B10" s="1299"/>
      <c r="C10" s="1297"/>
      <c r="D10" s="1275"/>
      <c r="E10" s="1275"/>
      <c r="F10" s="462" t="s">
        <v>43</v>
      </c>
      <c r="G10" s="279" t="s">
        <v>330</v>
      </c>
      <c r="H10" s="462" t="s">
        <v>39</v>
      </c>
      <c r="I10" s="462" t="s">
        <v>133</v>
      </c>
      <c r="J10" s="463" t="s">
        <v>4</v>
      </c>
      <c r="K10" s="282" t="s">
        <v>96</v>
      </c>
      <c r="L10" s="413" t="s">
        <v>458</v>
      </c>
      <c r="M10" s="289" t="s">
        <v>113</v>
      </c>
      <c r="N10" s="456" t="s">
        <v>1784</v>
      </c>
      <c r="O10" s="1301"/>
      <c r="P10" s="323" t="s">
        <v>108</v>
      </c>
      <c r="Q10" s="323" t="s">
        <v>97</v>
      </c>
      <c r="R10" s="323" t="s">
        <v>96</v>
      </c>
      <c r="S10" s="324" t="s">
        <v>98</v>
      </c>
      <c r="T10" s="1265"/>
      <c r="U10" s="1265"/>
      <c r="V10" s="1051"/>
      <c r="W10" s="1267"/>
      <c r="X10" s="351" t="s">
        <v>94</v>
      </c>
    </row>
    <row r="11" spans="1:33" s="256" customFormat="1" ht="18" customHeight="1" x14ac:dyDescent="0.3">
      <c r="A11" s="353">
        <v>1</v>
      </c>
      <c r="B11" s="245"/>
      <c r="C11" s="246">
        <v>2022</v>
      </c>
      <c r="D11" s="315" t="s">
        <v>1789</v>
      </c>
      <c r="E11" s="316" t="s">
        <v>1488</v>
      </c>
      <c r="F11" s="291">
        <v>8</v>
      </c>
      <c r="G11" s="266">
        <v>8</v>
      </c>
      <c r="H11" s="268">
        <v>7.5</v>
      </c>
      <c r="I11" s="268">
        <v>7</v>
      </c>
      <c r="J11" s="266">
        <v>7.5</v>
      </c>
      <c r="K11" s="268">
        <v>6.5</v>
      </c>
      <c r="L11" s="268">
        <v>7.5</v>
      </c>
      <c r="M11" s="268">
        <v>7</v>
      </c>
      <c r="N11" s="266">
        <v>7</v>
      </c>
      <c r="O11" s="451">
        <f>SUM(F11:N11)/9</f>
        <v>7.333333333333333</v>
      </c>
      <c r="P11" s="268"/>
      <c r="Q11" s="268"/>
      <c r="R11" s="268"/>
      <c r="S11" s="243">
        <f>SUM(P11:R11)/3</f>
        <v>0</v>
      </c>
      <c r="T11" s="243">
        <f>SUM(O11+S11)/2</f>
        <v>3.6666666666666665</v>
      </c>
      <c r="U11" s="257"/>
      <c r="V11" s="260"/>
      <c r="W11" s="355" t="s">
        <v>221</v>
      </c>
      <c r="X11" s="356"/>
      <c r="Y11" s="357">
        <f>AVERAGE(F11:N11)</f>
        <v>7.333333333333333</v>
      </c>
    </row>
    <row r="12" spans="1:33" s="256" customFormat="1" ht="18" customHeight="1" x14ac:dyDescent="0.3">
      <c r="A12" s="287">
        <v>2</v>
      </c>
      <c r="B12" s="245"/>
      <c r="C12" s="246">
        <v>2022</v>
      </c>
      <c r="D12" s="269" t="s">
        <v>1790</v>
      </c>
      <c r="E12" s="294" t="s">
        <v>911</v>
      </c>
      <c r="F12" s="308">
        <v>6.5</v>
      </c>
      <c r="G12" s="242">
        <v>6.8</v>
      </c>
      <c r="H12" s="242">
        <v>6</v>
      </c>
      <c r="I12" s="242">
        <v>7</v>
      </c>
      <c r="J12" s="242">
        <v>6.5</v>
      </c>
      <c r="K12" s="242">
        <v>7.5</v>
      </c>
      <c r="L12" s="242">
        <v>7</v>
      </c>
      <c r="M12" s="242">
        <v>6</v>
      </c>
      <c r="N12" s="242">
        <v>7</v>
      </c>
      <c r="O12" s="451">
        <f t="shared" ref="O12:O28" si="0">SUM(F12:N12)/9</f>
        <v>6.6999999999999993</v>
      </c>
      <c r="P12" s="242"/>
      <c r="Q12" s="242"/>
      <c r="R12" s="242"/>
      <c r="S12" s="277">
        <f t="shared" ref="S12:S24" si="1">SUM(P12:R12)/3</f>
        <v>0</v>
      </c>
      <c r="T12" s="277">
        <f t="shared" ref="T12:T24" si="2">SUM(O12+S12)/2</f>
        <v>3.3499999999999996</v>
      </c>
      <c r="U12" s="379"/>
      <c r="V12" s="273"/>
      <c r="W12" s="263" t="s">
        <v>192</v>
      </c>
      <c r="X12" s="356"/>
      <c r="Y12" s="357">
        <f t="shared" ref="Y12:Y28" si="3">AVERAGE(F12:N12)</f>
        <v>6.6999999999999993</v>
      </c>
    </row>
    <row r="13" spans="1:33" s="256" customFormat="1" ht="18" customHeight="1" x14ac:dyDescent="0.3">
      <c r="A13" s="287">
        <v>3</v>
      </c>
      <c r="B13" s="245"/>
      <c r="C13" s="246">
        <v>2022</v>
      </c>
      <c r="D13" s="269" t="s">
        <v>1489</v>
      </c>
      <c r="E13" s="294" t="s">
        <v>152</v>
      </c>
      <c r="F13" s="308">
        <v>7</v>
      </c>
      <c r="G13" s="242">
        <v>7</v>
      </c>
      <c r="H13" s="242">
        <v>7</v>
      </c>
      <c r="I13" s="242">
        <v>8</v>
      </c>
      <c r="J13" s="242">
        <v>8</v>
      </c>
      <c r="K13" s="242">
        <v>7</v>
      </c>
      <c r="L13" s="242">
        <v>7.5</v>
      </c>
      <c r="M13" s="242">
        <v>8</v>
      </c>
      <c r="N13" s="242">
        <v>7.5</v>
      </c>
      <c r="O13" s="451">
        <f t="shared" si="0"/>
        <v>7.4444444444444446</v>
      </c>
      <c r="P13" s="242"/>
      <c r="Q13" s="242"/>
      <c r="R13" s="242"/>
      <c r="S13" s="277">
        <f t="shared" si="1"/>
        <v>0</v>
      </c>
      <c r="T13" s="277">
        <f t="shared" si="2"/>
        <v>3.7222222222222223</v>
      </c>
      <c r="U13" s="379"/>
      <c r="V13" s="273"/>
      <c r="W13" s="263" t="s">
        <v>258</v>
      </c>
      <c r="X13" s="356"/>
      <c r="Y13" s="357">
        <f t="shared" si="3"/>
        <v>7.4444444444444446</v>
      </c>
    </row>
    <row r="14" spans="1:33" s="256" customFormat="1" ht="18" customHeight="1" x14ac:dyDescent="0.25">
      <c r="A14" s="287">
        <v>4</v>
      </c>
      <c r="B14" s="245"/>
      <c r="C14" s="246">
        <v>2022</v>
      </c>
      <c r="D14" s="269" t="s">
        <v>1490</v>
      </c>
      <c r="E14" s="294" t="s">
        <v>1491</v>
      </c>
      <c r="F14" s="308">
        <v>7</v>
      </c>
      <c r="G14" s="242">
        <v>8.1999999999999993</v>
      </c>
      <c r="H14" s="242">
        <v>6</v>
      </c>
      <c r="I14" s="242">
        <v>8</v>
      </c>
      <c r="J14" s="242">
        <v>8</v>
      </c>
      <c r="K14" s="242">
        <v>7</v>
      </c>
      <c r="L14" s="242">
        <v>7.5</v>
      </c>
      <c r="M14" s="242">
        <v>7.5</v>
      </c>
      <c r="N14" s="458">
        <v>6.5</v>
      </c>
      <c r="O14" s="451">
        <f t="shared" si="0"/>
        <v>7.3000000000000007</v>
      </c>
      <c r="P14" s="242"/>
      <c r="Q14" s="242"/>
      <c r="R14" s="242"/>
      <c r="S14" s="277">
        <f t="shared" si="1"/>
        <v>0</v>
      </c>
      <c r="T14" s="277">
        <f t="shared" si="2"/>
        <v>3.6500000000000004</v>
      </c>
      <c r="U14" s="379"/>
      <c r="V14" s="273"/>
      <c r="W14" s="263" t="s">
        <v>208</v>
      </c>
      <c r="X14" s="356"/>
      <c r="Y14" s="357">
        <f t="shared" si="3"/>
        <v>7.3000000000000007</v>
      </c>
    </row>
    <row r="15" spans="1:33" s="256" customFormat="1" ht="18" customHeight="1" x14ac:dyDescent="0.25">
      <c r="A15" s="287">
        <v>5</v>
      </c>
      <c r="B15" s="245"/>
      <c r="C15" s="246">
        <v>2022</v>
      </c>
      <c r="D15" s="269" t="s">
        <v>1492</v>
      </c>
      <c r="E15" s="294" t="s">
        <v>1493</v>
      </c>
      <c r="F15" s="308">
        <v>7</v>
      </c>
      <c r="G15" s="242">
        <v>7</v>
      </c>
      <c r="H15" s="242">
        <v>7</v>
      </c>
      <c r="I15" s="242">
        <v>7</v>
      </c>
      <c r="J15" s="242">
        <v>8</v>
      </c>
      <c r="K15" s="242">
        <v>6.5</v>
      </c>
      <c r="L15" s="242">
        <v>7</v>
      </c>
      <c r="M15" s="242">
        <v>7</v>
      </c>
      <c r="N15" s="242">
        <v>7</v>
      </c>
      <c r="O15" s="451">
        <f t="shared" si="0"/>
        <v>7.0555555555555554</v>
      </c>
      <c r="P15" s="242"/>
      <c r="Q15" s="242"/>
      <c r="R15" s="242"/>
      <c r="S15" s="277"/>
      <c r="T15" s="277"/>
      <c r="U15" s="379"/>
      <c r="V15" s="273"/>
      <c r="W15" s="263" t="s">
        <v>173</v>
      </c>
      <c r="X15" s="356"/>
      <c r="Y15" s="357">
        <f t="shared" si="3"/>
        <v>7.0555555555555554</v>
      </c>
    </row>
    <row r="16" spans="1:33" s="256" customFormat="1" ht="18" customHeight="1" x14ac:dyDescent="0.25">
      <c r="A16" s="287">
        <v>6</v>
      </c>
      <c r="B16" s="245"/>
      <c r="C16" s="246">
        <v>2022</v>
      </c>
      <c r="D16" s="269" t="s">
        <v>1494</v>
      </c>
      <c r="E16" s="294" t="s">
        <v>570</v>
      </c>
      <c r="F16" s="308">
        <v>6</v>
      </c>
      <c r="G16" s="242">
        <v>6.6</v>
      </c>
      <c r="H16" s="242">
        <v>6.5</v>
      </c>
      <c r="I16" s="242">
        <v>6</v>
      </c>
      <c r="J16" s="242">
        <v>6.5</v>
      </c>
      <c r="K16" s="242">
        <v>6.5</v>
      </c>
      <c r="L16" s="242">
        <v>6</v>
      </c>
      <c r="M16" s="242">
        <v>6</v>
      </c>
      <c r="N16" s="242">
        <v>5</v>
      </c>
      <c r="O16" s="451">
        <f t="shared" si="0"/>
        <v>6.1222222222222227</v>
      </c>
      <c r="P16" s="242"/>
      <c r="Q16" s="242"/>
      <c r="R16" s="242"/>
      <c r="S16" s="277"/>
      <c r="T16" s="277"/>
      <c r="U16" s="379"/>
      <c r="V16" s="273"/>
      <c r="W16" s="263" t="s">
        <v>173</v>
      </c>
      <c r="X16" s="356"/>
      <c r="Y16" s="357">
        <f t="shared" si="3"/>
        <v>6.1222222222222227</v>
      </c>
    </row>
    <row r="17" spans="1:25" s="256" customFormat="1" ht="18" customHeight="1" x14ac:dyDescent="0.3">
      <c r="A17" s="287">
        <v>7</v>
      </c>
      <c r="B17" s="245"/>
      <c r="C17" s="246">
        <v>2022</v>
      </c>
      <c r="D17" s="269" t="s">
        <v>159</v>
      </c>
      <c r="E17" s="294" t="s">
        <v>1495</v>
      </c>
      <c r="F17" s="308">
        <v>6</v>
      </c>
      <c r="G17" s="242">
        <v>7.8</v>
      </c>
      <c r="H17" s="242">
        <v>7</v>
      </c>
      <c r="I17" s="242">
        <v>7</v>
      </c>
      <c r="J17" s="242">
        <v>7</v>
      </c>
      <c r="K17" s="242">
        <v>7</v>
      </c>
      <c r="L17" s="242">
        <v>7.5</v>
      </c>
      <c r="M17" s="242">
        <v>8.5</v>
      </c>
      <c r="N17" s="242">
        <v>7</v>
      </c>
      <c r="O17" s="451">
        <f t="shared" si="0"/>
        <v>7.1999999999999993</v>
      </c>
      <c r="P17" s="242"/>
      <c r="Q17" s="242"/>
      <c r="R17" s="242"/>
      <c r="S17" s="277"/>
      <c r="T17" s="277"/>
      <c r="U17" s="379"/>
      <c r="V17" s="273"/>
      <c r="W17" s="263" t="s">
        <v>258</v>
      </c>
      <c r="X17" s="356"/>
      <c r="Y17" s="357">
        <f t="shared" si="3"/>
        <v>7.1999999999999993</v>
      </c>
    </row>
    <row r="18" spans="1:25" s="256" customFormat="1" ht="18" customHeight="1" x14ac:dyDescent="0.25">
      <c r="A18" s="287">
        <v>8</v>
      </c>
      <c r="B18" s="245"/>
      <c r="C18" s="246">
        <v>2022</v>
      </c>
      <c r="D18" s="269" t="s">
        <v>1089</v>
      </c>
      <c r="E18" s="294" t="s">
        <v>796</v>
      </c>
      <c r="F18" s="308">
        <v>8</v>
      </c>
      <c r="G18" s="242">
        <v>7</v>
      </c>
      <c r="H18" s="242">
        <v>7</v>
      </c>
      <c r="I18" s="242">
        <v>7</v>
      </c>
      <c r="J18" s="242">
        <v>8</v>
      </c>
      <c r="K18" s="242">
        <v>7</v>
      </c>
      <c r="L18" s="242">
        <v>6</v>
      </c>
      <c r="M18" s="242">
        <v>7</v>
      </c>
      <c r="N18" s="242">
        <v>6</v>
      </c>
      <c r="O18" s="451">
        <f t="shared" si="0"/>
        <v>7</v>
      </c>
      <c r="P18" s="242"/>
      <c r="Q18" s="242"/>
      <c r="R18" s="242"/>
      <c r="S18" s="277"/>
      <c r="T18" s="277"/>
      <c r="U18" s="379"/>
      <c r="V18" s="273"/>
      <c r="W18" s="263" t="s">
        <v>221</v>
      </c>
      <c r="X18" s="356"/>
      <c r="Y18" s="357">
        <f t="shared" si="3"/>
        <v>7</v>
      </c>
    </row>
    <row r="19" spans="1:25" s="256" customFormat="1" ht="18" customHeight="1" x14ac:dyDescent="0.25">
      <c r="A19" s="287">
        <v>9</v>
      </c>
      <c r="B19" s="245"/>
      <c r="C19" s="246">
        <v>2022</v>
      </c>
      <c r="D19" s="269" t="s">
        <v>1496</v>
      </c>
      <c r="E19" s="294" t="s">
        <v>1497</v>
      </c>
      <c r="F19" s="308">
        <v>8</v>
      </c>
      <c r="G19" s="242">
        <v>7</v>
      </c>
      <c r="H19" s="242">
        <v>7</v>
      </c>
      <c r="I19" s="242">
        <v>8</v>
      </c>
      <c r="J19" s="242">
        <v>8</v>
      </c>
      <c r="K19" s="242">
        <v>7</v>
      </c>
      <c r="L19" s="242">
        <v>7.5</v>
      </c>
      <c r="M19" s="242">
        <v>7</v>
      </c>
      <c r="N19" s="242">
        <v>7</v>
      </c>
      <c r="O19" s="451">
        <f t="shared" si="0"/>
        <v>7.3888888888888893</v>
      </c>
      <c r="P19" s="242"/>
      <c r="Q19" s="242"/>
      <c r="R19" s="242"/>
      <c r="S19" s="277"/>
      <c r="T19" s="277"/>
      <c r="U19" s="379"/>
      <c r="V19" s="273"/>
      <c r="W19" s="263" t="s">
        <v>1510</v>
      </c>
      <c r="X19" s="356"/>
      <c r="Y19" s="357">
        <f t="shared" si="3"/>
        <v>7.3888888888888893</v>
      </c>
    </row>
    <row r="20" spans="1:25" s="256" customFormat="1" ht="18" customHeight="1" x14ac:dyDescent="0.25">
      <c r="A20" s="287">
        <v>10</v>
      </c>
      <c r="B20" s="245"/>
      <c r="C20" s="246">
        <v>2022</v>
      </c>
      <c r="D20" s="269" t="s">
        <v>1498</v>
      </c>
      <c r="E20" s="294" t="s">
        <v>720</v>
      </c>
      <c r="F20" s="308">
        <v>8</v>
      </c>
      <c r="G20" s="242">
        <v>7</v>
      </c>
      <c r="H20" s="242">
        <v>8</v>
      </c>
      <c r="I20" s="242">
        <v>8</v>
      </c>
      <c r="J20" s="242">
        <v>8.5</v>
      </c>
      <c r="K20" s="242">
        <v>7.5</v>
      </c>
      <c r="L20" s="242">
        <v>7</v>
      </c>
      <c r="M20" s="242">
        <v>7.5</v>
      </c>
      <c r="N20" s="242">
        <v>7</v>
      </c>
      <c r="O20" s="451">
        <f t="shared" si="0"/>
        <v>7.6111111111111107</v>
      </c>
      <c r="P20" s="242"/>
      <c r="Q20" s="242"/>
      <c r="R20" s="242"/>
      <c r="S20" s="277"/>
      <c r="T20" s="277"/>
      <c r="U20" s="379"/>
      <c r="V20" s="273"/>
      <c r="W20" s="263" t="s">
        <v>141</v>
      </c>
      <c r="X20" s="356"/>
      <c r="Y20" s="357">
        <f t="shared" si="3"/>
        <v>7.6111111111111107</v>
      </c>
    </row>
    <row r="21" spans="1:25" s="256" customFormat="1" ht="18" customHeight="1" x14ac:dyDescent="0.25">
      <c r="A21" s="287">
        <v>11</v>
      </c>
      <c r="B21" s="245"/>
      <c r="C21" s="246">
        <v>2022</v>
      </c>
      <c r="D21" s="269" t="s">
        <v>1499</v>
      </c>
      <c r="E21" s="294" t="s">
        <v>1500</v>
      </c>
      <c r="F21" s="308">
        <v>8</v>
      </c>
      <c r="G21" s="242">
        <v>7.4</v>
      </c>
      <c r="H21" s="242">
        <v>8</v>
      </c>
      <c r="I21" s="242">
        <v>6</v>
      </c>
      <c r="J21" s="242">
        <v>8</v>
      </c>
      <c r="K21" s="242">
        <v>7</v>
      </c>
      <c r="L21" s="242">
        <v>7.5</v>
      </c>
      <c r="M21" s="242">
        <v>7</v>
      </c>
      <c r="N21" s="458">
        <v>6.5</v>
      </c>
      <c r="O21" s="451">
        <f t="shared" si="0"/>
        <v>7.2666666666666675</v>
      </c>
      <c r="P21" s="242"/>
      <c r="Q21" s="242"/>
      <c r="R21" s="242"/>
      <c r="S21" s="277">
        <f t="shared" si="1"/>
        <v>0</v>
      </c>
      <c r="T21" s="277">
        <f t="shared" si="2"/>
        <v>3.6333333333333337</v>
      </c>
      <c r="U21" s="379"/>
      <c r="V21" s="273"/>
      <c r="W21" s="263" t="s">
        <v>221</v>
      </c>
      <c r="X21" s="356"/>
      <c r="Y21" s="357">
        <f t="shared" si="3"/>
        <v>7.2666666666666675</v>
      </c>
    </row>
    <row r="22" spans="1:25" s="256" customFormat="1" ht="18" customHeight="1" x14ac:dyDescent="0.25">
      <c r="A22" s="287">
        <v>12</v>
      </c>
      <c r="B22" s="245"/>
      <c r="C22" s="246">
        <v>2022</v>
      </c>
      <c r="D22" s="269" t="s">
        <v>1501</v>
      </c>
      <c r="E22" s="294" t="s">
        <v>530</v>
      </c>
      <c r="F22" s="308">
        <v>8</v>
      </c>
      <c r="G22" s="242">
        <v>8</v>
      </c>
      <c r="H22" s="242">
        <v>7.5</v>
      </c>
      <c r="I22" s="242">
        <v>8</v>
      </c>
      <c r="J22" s="242">
        <v>8</v>
      </c>
      <c r="K22" s="242">
        <v>8</v>
      </c>
      <c r="L22" s="242">
        <v>8</v>
      </c>
      <c r="M22" s="242">
        <v>8</v>
      </c>
      <c r="N22" s="242">
        <v>8</v>
      </c>
      <c r="O22" s="451">
        <f t="shared" si="0"/>
        <v>7.9444444444444446</v>
      </c>
      <c r="P22" s="242"/>
      <c r="Q22" s="242"/>
      <c r="R22" s="242"/>
      <c r="S22" s="277">
        <f t="shared" si="1"/>
        <v>0</v>
      </c>
      <c r="T22" s="277">
        <f t="shared" si="2"/>
        <v>3.9722222222222223</v>
      </c>
      <c r="U22" s="379"/>
      <c r="V22" s="273"/>
      <c r="W22" s="263" t="s">
        <v>221</v>
      </c>
      <c r="X22" s="356"/>
      <c r="Y22" s="357">
        <f t="shared" si="3"/>
        <v>7.9444444444444446</v>
      </c>
    </row>
    <row r="23" spans="1:25" s="256" customFormat="1" ht="18" customHeight="1" x14ac:dyDescent="0.25">
      <c r="A23" s="287">
        <v>13</v>
      </c>
      <c r="B23" s="245"/>
      <c r="C23" s="246">
        <v>2022</v>
      </c>
      <c r="D23" s="269" t="s">
        <v>1502</v>
      </c>
      <c r="E23" s="270" t="s">
        <v>691</v>
      </c>
      <c r="F23" s="242">
        <v>7.5</v>
      </c>
      <c r="G23" s="242">
        <v>7</v>
      </c>
      <c r="H23" s="242">
        <v>7</v>
      </c>
      <c r="I23" s="242">
        <v>7</v>
      </c>
      <c r="J23" s="242">
        <v>7.5</v>
      </c>
      <c r="K23" s="458">
        <v>7.5</v>
      </c>
      <c r="L23" s="242">
        <v>7</v>
      </c>
      <c r="M23" s="242">
        <v>7</v>
      </c>
      <c r="N23" s="458">
        <v>7</v>
      </c>
      <c r="O23" s="451">
        <f t="shared" si="0"/>
        <v>7.166666666666667</v>
      </c>
      <c r="P23" s="242"/>
      <c r="Q23" s="242"/>
      <c r="R23" s="242"/>
      <c r="S23" s="277">
        <f t="shared" si="1"/>
        <v>0</v>
      </c>
      <c r="T23" s="277">
        <f t="shared" si="2"/>
        <v>3.5833333333333335</v>
      </c>
      <c r="U23" s="379"/>
      <c r="V23" s="273"/>
      <c r="W23" s="263" t="s">
        <v>173</v>
      </c>
      <c r="X23" s="356"/>
      <c r="Y23" s="357">
        <f t="shared" si="3"/>
        <v>7.166666666666667</v>
      </c>
    </row>
    <row r="24" spans="1:25" s="256" customFormat="1" ht="18" customHeight="1" x14ac:dyDescent="0.25">
      <c r="A24" s="287">
        <v>14</v>
      </c>
      <c r="B24" s="245"/>
      <c r="C24" s="246">
        <v>2022</v>
      </c>
      <c r="D24" s="315" t="s">
        <v>1503</v>
      </c>
      <c r="E24" s="270" t="s">
        <v>1148</v>
      </c>
      <c r="F24" s="242">
        <v>7</v>
      </c>
      <c r="G24" s="242">
        <v>7.2</v>
      </c>
      <c r="H24" s="242">
        <v>7</v>
      </c>
      <c r="I24" s="242">
        <v>7</v>
      </c>
      <c r="J24" s="242">
        <v>6</v>
      </c>
      <c r="K24" s="242">
        <v>6.5</v>
      </c>
      <c r="L24" s="242">
        <v>7</v>
      </c>
      <c r="M24" s="242">
        <v>6.5</v>
      </c>
      <c r="N24" s="458">
        <v>7</v>
      </c>
      <c r="O24" s="451">
        <f t="shared" si="0"/>
        <v>6.8000000000000007</v>
      </c>
      <c r="P24" s="242">
        <f>SUM(F24:O24)/10</f>
        <v>6.8</v>
      </c>
      <c r="Q24" s="242"/>
      <c r="R24" s="242"/>
      <c r="S24" s="277">
        <f t="shared" si="1"/>
        <v>2.2666666666666666</v>
      </c>
      <c r="T24" s="277">
        <f t="shared" si="2"/>
        <v>4.5333333333333332</v>
      </c>
      <c r="U24" s="379"/>
      <c r="V24" s="273"/>
      <c r="W24" s="263" t="s">
        <v>173</v>
      </c>
      <c r="X24" s="356"/>
      <c r="Y24" s="357">
        <f t="shared" si="3"/>
        <v>6.8000000000000007</v>
      </c>
    </row>
    <row r="25" spans="1:25" s="256" customFormat="1" ht="18" customHeight="1" x14ac:dyDescent="0.25">
      <c r="A25" s="287">
        <v>15</v>
      </c>
      <c r="B25" s="245"/>
      <c r="C25" s="246">
        <v>2022</v>
      </c>
      <c r="D25" s="269" t="s">
        <v>1504</v>
      </c>
      <c r="E25" s="270" t="s">
        <v>498</v>
      </c>
      <c r="F25" s="242">
        <v>8</v>
      </c>
      <c r="G25" s="242">
        <v>7</v>
      </c>
      <c r="H25" s="242">
        <v>7.5</v>
      </c>
      <c r="I25" s="242">
        <v>7</v>
      </c>
      <c r="J25" s="242">
        <v>7.5</v>
      </c>
      <c r="K25" s="242">
        <v>7</v>
      </c>
      <c r="L25" s="242">
        <v>7</v>
      </c>
      <c r="M25" s="242">
        <v>7.5</v>
      </c>
      <c r="N25" s="242">
        <v>7</v>
      </c>
      <c r="O25" s="451">
        <f t="shared" si="0"/>
        <v>7.2777777777777777</v>
      </c>
      <c r="P25" s="242"/>
      <c r="Q25" s="242"/>
      <c r="R25" s="242"/>
      <c r="S25" s="277">
        <f>SUM(P25:R25)/3</f>
        <v>0</v>
      </c>
      <c r="T25" s="277">
        <f>SUM(O25+S25)/2</f>
        <v>3.6388888888888888</v>
      </c>
      <c r="U25" s="379"/>
      <c r="V25" s="273"/>
      <c r="W25" s="263" t="s">
        <v>173</v>
      </c>
      <c r="X25" s="356"/>
      <c r="Y25" s="357">
        <f t="shared" si="3"/>
        <v>7.2777777777777777</v>
      </c>
    </row>
    <row r="26" spans="1:25" s="256" customFormat="1" ht="18" customHeight="1" x14ac:dyDescent="0.25">
      <c r="A26" s="287">
        <v>16</v>
      </c>
      <c r="B26" s="245"/>
      <c r="C26" s="246">
        <v>2022</v>
      </c>
      <c r="D26" s="269" t="s">
        <v>1505</v>
      </c>
      <c r="E26" s="294" t="s">
        <v>1506</v>
      </c>
      <c r="F26" s="308">
        <v>8</v>
      </c>
      <c r="G26" s="242">
        <v>8</v>
      </c>
      <c r="H26" s="242">
        <v>8</v>
      </c>
      <c r="I26" s="242">
        <v>8</v>
      </c>
      <c r="J26" s="242">
        <v>7</v>
      </c>
      <c r="K26" s="242">
        <v>8</v>
      </c>
      <c r="L26" s="242">
        <v>7.5</v>
      </c>
      <c r="M26" s="242">
        <v>7</v>
      </c>
      <c r="N26" s="242">
        <v>7</v>
      </c>
      <c r="O26" s="451">
        <f t="shared" si="0"/>
        <v>7.6111111111111107</v>
      </c>
      <c r="P26" s="242"/>
      <c r="Q26" s="242"/>
      <c r="R26" s="242"/>
      <c r="S26" s="277">
        <f>SUM(P26:R26)/3</f>
        <v>0</v>
      </c>
      <c r="T26" s="277">
        <f>SUM(O26+S26)/2</f>
        <v>3.8055555555555554</v>
      </c>
      <c r="U26" s="379"/>
      <c r="V26" s="273"/>
      <c r="W26" s="263" t="s">
        <v>221</v>
      </c>
      <c r="X26" s="356"/>
      <c r="Y26" s="357">
        <f t="shared" si="3"/>
        <v>7.6111111111111107</v>
      </c>
    </row>
    <row r="27" spans="1:25" s="256" customFormat="1" ht="18" customHeight="1" x14ac:dyDescent="0.25">
      <c r="A27" s="287">
        <v>17</v>
      </c>
      <c r="B27" s="245"/>
      <c r="C27" s="246">
        <v>2022</v>
      </c>
      <c r="D27" s="269" t="s">
        <v>1507</v>
      </c>
      <c r="E27" s="294" t="s">
        <v>758</v>
      </c>
      <c r="F27" s="308">
        <v>8</v>
      </c>
      <c r="G27" s="242">
        <v>7.2</v>
      </c>
      <c r="H27" s="242">
        <v>7.5</v>
      </c>
      <c r="I27" s="242">
        <v>7</v>
      </c>
      <c r="J27" s="242">
        <v>7</v>
      </c>
      <c r="K27" s="242">
        <v>7</v>
      </c>
      <c r="L27" s="242">
        <v>6.5</v>
      </c>
      <c r="M27" s="242">
        <v>8</v>
      </c>
      <c r="N27" s="242">
        <v>7</v>
      </c>
      <c r="O27" s="451">
        <f t="shared" si="0"/>
        <v>7.2444444444444445</v>
      </c>
      <c r="P27" s="242"/>
      <c r="Q27" s="242"/>
      <c r="R27" s="242"/>
      <c r="S27" s="277">
        <f>SUM(P27:R27)/3</f>
        <v>0</v>
      </c>
      <c r="T27" s="277">
        <f>SUM(O27+S27)/2</f>
        <v>3.6222222222222222</v>
      </c>
      <c r="U27" s="379"/>
      <c r="V27" s="273"/>
      <c r="W27" s="263" t="s">
        <v>173</v>
      </c>
      <c r="X27" s="356"/>
      <c r="Y27" s="357">
        <f t="shared" si="3"/>
        <v>7.2444444444444445</v>
      </c>
    </row>
    <row r="28" spans="1:25" s="256" customFormat="1" ht="18" customHeight="1" x14ac:dyDescent="0.25">
      <c r="A28" s="287">
        <v>18</v>
      </c>
      <c r="B28" s="245"/>
      <c r="C28" s="246">
        <v>2022</v>
      </c>
      <c r="D28" s="315" t="s">
        <v>1508</v>
      </c>
      <c r="E28" s="619" t="s">
        <v>1509</v>
      </c>
      <c r="F28" s="242">
        <v>7.5</v>
      </c>
      <c r="G28" s="242">
        <v>7.8</v>
      </c>
      <c r="H28" s="242">
        <v>8</v>
      </c>
      <c r="I28" s="242">
        <v>7</v>
      </c>
      <c r="J28" s="242">
        <v>8</v>
      </c>
      <c r="K28" s="242">
        <v>7.5</v>
      </c>
      <c r="L28" s="242">
        <v>7</v>
      </c>
      <c r="M28" s="242">
        <v>7.5</v>
      </c>
      <c r="N28" s="242">
        <v>7</v>
      </c>
      <c r="O28" s="451">
        <f t="shared" si="0"/>
        <v>7.4777777777777779</v>
      </c>
      <c r="P28" s="242">
        <f>SUM(F28:O28)/10</f>
        <v>7.477777777777777</v>
      </c>
      <c r="Q28" s="242"/>
      <c r="R28" s="242"/>
      <c r="S28" s="277">
        <f>SUM(P28:R28)/3</f>
        <v>2.4925925925925925</v>
      </c>
      <c r="T28" s="277">
        <f>SUM(O28+S28)/2</f>
        <v>4.9851851851851849</v>
      </c>
      <c r="U28" s="379"/>
      <c r="V28" s="273"/>
      <c r="W28" s="263" t="s">
        <v>173</v>
      </c>
      <c r="X28" s="356"/>
      <c r="Y28" s="357">
        <f t="shared" si="3"/>
        <v>7.4777777777777779</v>
      </c>
    </row>
    <row r="29" spans="1:25" s="368" customFormat="1" ht="18" customHeight="1" thickBot="1" x14ac:dyDescent="0.3">
      <c r="A29" s="359"/>
      <c r="B29" s="360"/>
      <c r="C29" s="361"/>
      <c r="D29" s="362"/>
      <c r="E29" s="363"/>
      <c r="F29" s="363"/>
      <c r="G29" s="363"/>
      <c r="H29" s="363"/>
      <c r="I29" s="363"/>
      <c r="J29" s="363"/>
      <c r="K29" s="363"/>
      <c r="L29" s="363"/>
      <c r="M29" s="363"/>
      <c r="N29" s="363"/>
      <c r="O29" s="364"/>
      <c r="P29" s="365">
        <f>SUM(F29:O29)/10</f>
        <v>0</v>
      </c>
      <c r="Q29" s="365"/>
      <c r="R29" s="365"/>
      <c r="S29" s="363"/>
      <c r="T29" s="363"/>
      <c r="U29" s="363"/>
      <c r="V29" s="366"/>
      <c r="W29" s="367"/>
    </row>
    <row r="30" spans="1:25" s="368" customFormat="1" ht="18" customHeight="1" thickTop="1" x14ac:dyDescent="0.3">
      <c r="A30" s="369"/>
      <c r="B30" s="369"/>
      <c r="C30" s="369"/>
      <c r="E30" s="369"/>
      <c r="F30" s="369"/>
      <c r="G30" s="369"/>
      <c r="H30" s="369"/>
      <c r="I30" s="369"/>
      <c r="J30" s="369"/>
      <c r="K30" s="369"/>
      <c r="L30" s="369"/>
      <c r="M30" s="369"/>
      <c r="N30" s="369"/>
      <c r="O30" s="370"/>
      <c r="P30" s="371"/>
      <c r="Q30" s="371"/>
      <c r="R30" s="371"/>
      <c r="S30" s="369"/>
      <c r="T30" s="369"/>
      <c r="U30" s="369"/>
      <c r="V30" s="372" t="s">
        <v>101</v>
      </c>
      <c r="W30" s="369"/>
    </row>
    <row r="31" spans="1:25" s="368" customFormat="1" ht="18" customHeight="1" x14ac:dyDescent="0.3">
      <c r="A31" s="369"/>
      <c r="B31" s="369"/>
      <c r="C31" s="369"/>
      <c r="E31" s="369"/>
      <c r="F31" s="369"/>
      <c r="G31" s="369"/>
      <c r="H31" s="369"/>
      <c r="I31" s="369"/>
      <c r="J31" s="369"/>
      <c r="K31" s="369"/>
      <c r="L31" s="369"/>
      <c r="M31" s="369"/>
      <c r="N31" s="369"/>
      <c r="O31" s="1065"/>
      <c r="P31" s="1065"/>
      <c r="Q31" s="1065"/>
      <c r="R31" s="1065"/>
      <c r="S31" s="1065"/>
      <c r="T31" s="1065"/>
      <c r="U31" s="1065"/>
      <c r="V31" s="1065"/>
      <c r="W31" s="1065"/>
    </row>
    <row r="32" spans="1:25" s="368" customFormat="1" ht="18" customHeight="1" x14ac:dyDescent="0.3">
      <c r="A32" s="369"/>
      <c r="B32" s="369"/>
      <c r="C32" s="369"/>
      <c r="E32" s="369"/>
      <c r="F32" s="369"/>
      <c r="G32" s="369"/>
      <c r="H32" s="369"/>
      <c r="I32" s="369"/>
      <c r="J32" s="369"/>
      <c r="K32" s="369"/>
      <c r="L32" s="369"/>
      <c r="M32" s="369"/>
      <c r="N32" s="369"/>
      <c r="O32" s="1065"/>
      <c r="P32" s="1065"/>
      <c r="Q32" s="1065"/>
      <c r="R32" s="371"/>
      <c r="S32" s="369"/>
      <c r="T32" s="369"/>
      <c r="U32" s="369"/>
      <c r="V32" s="372" t="s">
        <v>101</v>
      </c>
      <c r="W32" s="369"/>
    </row>
    <row r="33" spans="1:25" s="368" customFormat="1" ht="18" customHeight="1" x14ac:dyDescent="0.3">
      <c r="A33" s="369"/>
      <c r="B33" s="369"/>
      <c r="C33" s="369"/>
      <c r="E33" s="369"/>
      <c r="F33" s="369"/>
      <c r="G33" s="369"/>
      <c r="H33" s="369"/>
      <c r="I33" s="369"/>
      <c r="J33" s="369"/>
      <c r="K33" s="369"/>
      <c r="L33" s="369"/>
      <c r="M33" s="369"/>
      <c r="N33" s="369"/>
      <c r="O33" s="373"/>
      <c r="P33" s="374"/>
      <c r="Q33" s="374"/>
      <c r="R33" s="371"/>
      <c r="S33" s="369"/>
      <c r="T33" s="369"/>
      <c r="U33" s="369"/>
      <c r="V33" s="372" t="s">
        <v>101</v>
      </c>
      <c r="W33" s="369"/>
    </row>
    <row r="34" spans="1:25" s="368" customFormat="1" ht="18" customHeight="1" x14ac:dyDescent="0.3">
      <c r="A34" s="369"/>
      <c r="B34" s="369"/>
      <c r="C34" s="369"/>
      <c r="E34" s="369"/>
      <c r="F34" s="369"/>
      <c r="G34" s="369"/>
      <c r="H34" s="369"/>
      <c r="I34" s="369"/>
      <c r="J34" s="369"/>
      <c r="K34" s="369"/>
      <c r="L34" s="369"/>
      <c r="M34" s="369"/>
      <c r="N34" s="369"/>
      <c r="O34" s="373"/>
      <c r="P34" s="374"/>
      <c r="Q34" s="374"/>
      <c r="R34" s="371"/>
      <c r="S34" s="369"/>
      <c r="T34" s="369"/>
      <c r="U34" s="369"/>
      <c r="V34" s="372" t="s">
        <v>101</v>
      </c>
      <c r="W34" s="369"/>
    </row>
    <row r="35" spans="1:25" s="368" customFormat="1" ht="18" customHeight="1" x14ac:dyDescent="0.3">
      <c r="A35" s="369"/>
      <c r="B35" s="369"/>
      <c r="C35" s="369"/>
      <c r="E35" s="369"/>
      <c r="F35" s="369"/>
      <c r="G35" s="369"/>
      <c r="H35" s="369"/>
      <c r="I35" s="369"/>
      <c r="J35" s="369"/>
      <c r="K35" s="369"/>
      <c r="L35" s="369"/>
      <c r="M35" s="369"/>
      <c r="N35" s="369"/>
      <c r="O35" s="1066"/>
      <c r="P35" s="1066"/>
      <c r="Q35" s="1066"/>
      <c r="R35" s="371"/>
      <c r="S35" s="369"/>
      <c r="T35" s="369"/>
      <c r="U35" s="369"/>
      <c r="V35" s="372" t="s">
        <v>101</v>
      </c>
      <c r="W35" s="369"/>
    </row>
    <row r="36" spans="1:25" s="368" customFormat="1" ht="18" customHeight="1" x14ac:dyDescent="0.25">
      <c r="A36" s="369"/>
      <c r="B36" s="369"/>
      <c r="C36" s="369"/>
      <c r="E36" s="369"/>
      <c r="F36" s="369"/>
      <c r="G36" s="369"/>
      <c r="H36" s="369"/>
      <c r="I36" s="369"/>
      <c r="J36" s="369"/>
      <c r="K36" s="369"/>
      <c r="L36" s="369"/>
      <c r="M36" s="369"/>
      <c r="N36" s="369"/>
      <c r="O36" s="1064"/>
      <c r="P36" s="1064"/>
      <c r="Q36" s="1064"/>
      <c r="R36" s="1064"/>
      <c r="S36" s="1064"/>
      <c r="T36" s="1064"/>
      <c r="U36" s="1064"/>
      <c r="V36" s="1064"/>
      <c r="W36" s="1064"/>
      <c r="Y36" s="368" t="s">
        <v>114</v>
      </c>
    </row>
    <row r="37" spans="1:25" s="368" customFormat="1" ht="18" customHeight="1" x14ac:dyDescent="0.3">
      <c r="A37" s="369"/>
      <c r="B37" s="369"/>
      <c r="C37" s="369"/>
      <c r="E37" s="369"/>
      <c r="F37" s="369"/>
      <c r="G37" s="369"/>
      <c r="H37" s="369"/>
      <c r="I37" s="369"/>
      <c r="J37" s="369"/>
      <c r="K37" s="369"/>
      <c r="L37" s="369"/>
      <c r="M37" s="369"/>
      <c r="N37" s="369"/>
      <c r="O37" s="370"/>
      <c r="P37" s="371"/>
      <c r="Q37" s="371"/>
      <c r="R37" s="371"/>
      <c r="S37" s="369"/>
      <c r="T37" s="369"/>
      <c r="U37" s="369"/>
      <c r="V37" s="372" t="s">
        <v>101</v>
      </c>
      <c r="W37" s="369"/>
    </row>
    <row r="38" spans="1:25" s="368" customFormat="1" ht="18" customHeight="1" x14ac:dyDescent="0.3">
      <c r="A38" s="369"/>
      <c r="B38" s="369"/>
      <c r="C38" s="369"/>
      <c r="E38" s="369"/>
      <c r="F38" s="369"/>
      <c r="G38" s="369"/>
      <c r="H38" s="369"/>
      <c r="I38" s="369"/>
      <c r="J38" s="369"/>
      <c r="K38" s="369"/>
      <c r="L38" s="369"/>
      <c r="M38" s="369"/>
      <c r="N38" s="369"/>
      <c r="O38" s="370"/>
      <c r="P38" s="371"/>
      <c r="Q38" s="371"/>
      <c r="R38" s="371"/>
      <c r="S38" s="369"/>
      <c r="T38" s="369"/>
      <c r="U38" s="369"/>
      <c r="V38" s="372" t="s">
        <v>101</v>
      </c>
      <c r="W38" s="369"/>
    </row>
    <row r="39" spans="1:25" ht="18" customHeight="1" x14ac:dyDescent="0.3">
      <c r="A39" s="236"/>
      <c r="B39" s="236"/>
      <c r="C39" s="236"/>
      <c r="D39" s="3"/>
      <c r="E39" s="236"/>
      <c r="F39" s="236"/>
      <c r="G39" s="236"/>
      <c r="H39" s="236"/>
      <c r="I39" s="236"/>
      <c r="J39" s="236"/>
      <c r="K39" s="236"/>
      <c r="L39" s="236"/>
      <c r="M39" s="236"/>
      <c r="V39" s="14" t="s">
        <v>101</v>
      </c>
    </row>
    <row r="40" spans="1:25" ht="18" customHeight="1" x14ac:dyDescent="0.3">
      <c r="A40" s="236"/>
      <c r="B40" s="236"/>
      <c r="C40" s="236"/>
      <c r="D40" s="3"/>
      <c r="E40" s="236"/>
      <c r="F40" s="236"/>
      <c r="G40" s="236"/>
      <c r="H40" s="236"/>
      <c r="I40" s="236"/>
      <c r="J40" s="236"/>
      <c r="K40" s="236"/>
      <c r="L40" s="236"/>
      <c r="M40" s="236"/>
      <c r="V40" s="14" t="s">
        <v>101</v>
      </c>
    </row>
    <row r="41" spans="1:25" ht="18" customHeight="1" x14ac:dyDescent="0.3">
      <c r="A41" s="236"/>
      <c r="B41" s="236"/>
      <c r="C41" s="236"/>
      <c r="D41" s="3"/>
      <c r="E41" s="236"/>
      <c r="F41" s="236"/>
      <c r="G41" s="236"/>
      <c r="H41" s="236"/>
      <c r="I41" s="236"/>
      <c r="J41" s="236"/>
      <c r="K41" s="236"/>
      <c r="L41" s="236"/>
      <c r="M41" s="236"/>
      <c r="V41" s="14" t="s">
        <v>101</v>
      </c>
    </row>
    <row r="42" spans="1:25" ht="18" customHeight="1" x14ac:dyDescent="0.3">
      <c r="V42" s="14" t="s">
        <v>101</v>
      </c>
    </row>
    <row r="43" spans="1:25" ht="18" customHeight="1" x14ac:dyDescent="0.25">
      <c r="V43" s="663"/>
    </row>
    <row r="44" spans="1:25" ht="18" customHeight="1" x14ac:dyDescent="0.3">
      <c r="V44" s="14" t="s">
        <v>101</v>
      </c>
    </row>
    <row r="45" spans="1:25" ht="18" customHeight="1" x14ac:dyDescent="0.3">
      <c r="V45" s="14" t="s">
        <v>101</v>
      </c>
    </row>
    <row r="46" spans="1:25" ht="18" customHeight="1" x14ac:dyDescent="0.3">
      <c r="V46" s="14" t="s">
        <v>101</v>
      </c>
    </row>
    <row r="47" spans="1:25" ht="18" customHeight="1" x14ac:dyDescent="0.3">
      <c r="V47" s="14" t="s">
        <v>101</v>
      </c>
    </row>
    <row r="48" spans="1:25" ht="18" customHeight="1" x14ac:dyDescent="0.3">
      <c r="V48" s="14" t="s">
        <v>101</v>
      </c>
    </row>
    <row r="49" spans="22:22" ht="18" customHeight="1" x14ac:dyDescent="0.3">
      <c r="V49" s="14" t="s">
        <v>101</v>
      </c>
    </row>
    <row r="50" spans="22:22" ht="18" customHeight="1" x14ac:dyDescent="0.3">
      <c r="V50" s="14" t="s">
        <v>101</v>
      </c>
    </row>
    <row r="51" spans="22:22" ht="18" customHeight="1" x14ac:dyDescent="0.3">
      <c r="V51" s="14" t="s">
        <v>101</v>
      </c>
    </row>
    <row r="52" spans="22:22" ht="18" customHeight="1" x14ac:dyDescent="0.3">
      <c r="V52" s="14" t="s">
        <v>101</v>
      </c>
    </row>
    <row r="53" spans="22:22" ht="18" customHeight="1" x14ac:dyDescent="0.3">
      <c r="V53" s="14" t="s">
        <v>101</v>
      </c>
    </row>
    <row r="54" spans="22:22" ht="18" customHeight="1" x14ac:dyDescent="0.3">
      <c r="V54" s="14" t="s">
        <v>101</v>
      </c>
    </row>
    <row r="55" spans="22:22" ht="18" customHeight="1" x14ac:dyDescent="0.3">
      <c r="V55" s="14" t="s">
        <v>101</v>
      </c>
    </row>
    <row r="56" spans="22:22" ht="18" customHeight="1" x14ac:dyDescent="0.3">
      <c r="V56" s="14" t="s">
        <v>101</v>
      </c>
    </row>
    <row r="57" spans="22:22" ht="18" customHeight="1" x14ac:dyDescent="0.3">
      <c r="V57" s="14" t="s">
        <v>101</v>
      </c>
    </row>
    <row r="58" spans="22:22" ht="18" customHeight="1" x14ac:dyDescent="0.3">
      <c r="V58" s="14" t="s">
        <v>101</v>
      </c>
    </row>
    <row r="59" spans="22:22" ht="18" customHeight="1" x14ac:dyDescent="0.3">
      <c r="V59" s="14" t="s">
        <v>101</v>
      </c>
    </row>
    <row r="60" spans="22:22" ht="18" customHeight="1" x14ac:dyDescent="0.3">
      <c r="V60" s="14" t="s">
        <v>101</v>
      </c>
    </row>
  </sheetData>
  <autoFilter ref="O9:X42">
    <filterColumn colId="1" showButton="0"/>
    <filterColumn colId="2" showButton="0"/>
    <filterColumn colId="3" showButton="0"/>
  </autoFilter>
  <mergeCells count="19">
    <mergeCell ref="E3:W3"/>
    <mergeCell ref="E4:W4"/>
    <mergeCell ref="E5:W5"/>
    <mergeCell ref="E6:AG6"/>
    <mergeCell ref="A9:A10"/>
    <mergeCell ref="B9:C10"/>
    <mergeCell ref="D9:D10"/>
    <mergeCell ref="E9:E10"/>
    <mergeCell ref="F9:M9"/>
    <mergeCell ref="O9:O10"/>
    <mergeCell ref="O32:Q32"/>
    <mergeCell ref="O35:Q35"/>
    <mergeCell ref="O36:W36"/>
    <mergeCell ref="P9:S9"/>
    <mergeCell ref="T9:T10"/>
    <mergeCell ref="U9:U10"/>
    <mergeCell ref="V9:V10"/>
    <mergeCell ref="W9:W10"/>
    <mergeCell ref="O31:W31"/>
  </mergeCells>
  <printOptions horizontalCentered="1"/>
  <pageMargins left="0.96" right="0.16" top="0.27" bottom="0.31" header="0.23" footer="0.27"/>
  <pageSetup scale="98"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H104"/>
  <sheetViews>
    <sheetView topLeftCell="A6" zoomScale="120" zoomScaleNormal="120" workbookViewId="0">
      <selection activeCell="K17" sqref="K17"/>
    </sheetView>
  </sheetViews>
  <sheetFormatPr defaultRowHeight="18.75" x14ac:dyDescent="0.3"/>
  <cols>
    <col min="1" max="1" width="3.296875" style="1" customWidth="1"/>
    <col min="2" max="2" width="4" style="1" customWidth="1"/>
    <col min="3" max="3" width="4.296875" style="1" customWidth="1"/>
    <col min="4" max="4" width="14.8984375" customWidth="1"/>
    <col min="5" max="5" width="7.8984375" style="1" customWidth="1"/>
    <col min="6" max="9" width="2.59765625" style="1" customWidth="1"/>
    <col min="10" max="10" width="2.59765625" style="237" customWidth="1"/>
    <col min="11" max="13" width="2.59765625" style="1" customWidth="1"/>
    <col min="14" max="14" width="2.296875" style="1" customWidth="1"/>
    <col min="15" max="15" width="3.296875" style="1" customWidth="1"/>
    <col min="16" max="16" width="4.296875" style="25" customWidth="1"/>
    <col min="17" max="19" width="2.19921875" style="20" hidden="1" customWidth="1"/>
    <col min="20" max="21" width="3.3984375" style="235" hidden="1" customWidth="1"/>
    <col min="22" max="22" width="4.296875" style="235" customWidth="1"/>
    <col min="23" max="23" width="5.19921875" style="14" hidden="1" customWidth="1"/>
    <col min="24" max="24" width="23.5" style="235" customWidth="1"/>
    <col min="25" max="25" width="7.09765625" customWidth="1"/>
    <col min="26" max="26" width="10.19921875" customWidth="1"/>
  </cols>
  <sheetData>
    <row r="1" spans="1:34" s="6" customFormat="1" ht="17.25" x14ac:dyDescent="0.3">
      <c r="B1" s="8"/>
      <c r="C1" s="8"/>
      <c r="D1" s="8"/>
      <c r="E1" s="1199" t="s">
        <v>30</v>
      </c>
      <c r="F1" s="1199"/>
      <c r="G1" s="1199"/>
      <c r="H1" s="1199"/>
      <c r="I1" s="1199"/>
      <c r="J1" s="1199"/>
      <c r="K1" s="1199"/>
      <c r="L1" s="1199"/>
      <c r="M1" s="1199"/>
      <c r="N1" s="1199"/>
      <c r="O1" s="1199"/>
      <c r="P1" s="1199"/>
      <c r="Q1" s="1199"/>
      <c r="R1" s="1199"/>
      <c r="S1" s="1199"/>
      <c r="T1" s="1199"/>
      <c r="U1" s="1199"/>
      <c r="V1" s="1199"/>
      <c r="W1" s="1199"/>
      <c r="X1" s="1199"/>
    </row>
    <row r="2" spans="1:34" s="6" customFormat="1" ht="15.75" x14ac:dyDescent="0.25">
      <c r="B2" s="10"/>
      <c r="C2" s="10"/>
      <c r="D2" s="10"/>
      <c r="E2" s="1200" t="s">
        <v>480</v>
      </c>
      <c r="F2" s="1200"/>
      <c r="G2" s="1200"/>
      <c r="H2" s="1200"/>
      <c r="I2" s="1200"/>
      <c r="J2" s="1200"/>
      <c r="K2" s="1200"/>
      <c r="L2" s="1200"/>
      <c r="M2" s="1200"/>
      <c r="N2" s="1200"/>
      <c r="O2" s="1200"/>
      <c r="P2" s="1200"/>
      <c r="Q2" s="1200"/>
      <c r="R2" s="1200"/>
      <c r="S2" s="1200"/>
      <c r="T2" s="1200"/>
      <c r="U2" s="1200"/>
      <c r="V2" s="1200"/>
      <c r="W2" s="1200"/>
      <c r="X2" s="1200"/>
    </row>
    <row r="3" spans="1:34" s="6" customFormat="1" ht="15.75" hidden="1" x14ac:dyDescent="0.25">
      <c r="B3" s="11"/>
      <c r="C3" s="11"/>
      <c r="D3" s="11"/>
      <c r="E3" s="1201" t="s">
        <v>34</v>
      </c>
      <c r="F3" s="1201"/>
      <c r="G3" s="1201"/>
      <c r="H3" s="1201"/>
      <c r="I3" s="1201"/>
      <c r="J3" s="1201"/>
      <c r="K3" s="1201"/>
      <c r="L3" s="1201"/>
      <c r="M3" s="1201"/>
      <c r="N3" s="1201"/>
      <c r="O3" s="1201"/>
      <c r="P3" s="1201"/>
      <c r="Q3" s="1201"/>
      <c r="R3" s="1201"/>
      <c r="S3" s="1201"/>
      <c r="T3" s="1201"/>
      <c r="U3" s="1201"/>
      <c r="V3" s="1201"/>
      <c r="W3" s="1201"/>
      <c r="X3" s="1201"/>
    </row>
    <row r="4" spans="1:34" s="6" customFormat="1" ht="15.75" customHeight="1" x14ac:dyDescent="0.25">
      <c r="B4" s="10"/>
      <c r="C4" s="10"/>
      <c r="D4" s="10"/>
      <c r="E4" s="1202" t="s">
        <v>481</v>
      </c>
      <c r="F4" s="1202"/>
      <c r="G4" s="1202"/>
      <c r="H4" s="1202"/>
      <c r="I4" s="1202"/>
      <c r="J4" s="1202"/>
      <c r="K4" s="1202"/>
      <c r="L4" s="1202"/>
      <c r="M4" s="1202"/>
      <c r="N4" s="1202"/>
      <c r="O4" s="1202"/>
      <c r="P4" s="1202"/>
      <c r="Q4" s="1202"/>
      <c r="R4" s="1202"/>
      <c r="S4" s="1202"/>
      <c r="T4" s="1202"/>
      <c r="U4" s="1202"/>
      <c r="V4" s="1202"/>
      <c r="W4" s="1202"/>
      <c r="X4" s="1202"/>
      <c r="Y4" s="1202"/>
      <c r="Z4" s="1202"/>
      <c r="AA4" s="1202"/>
      <c r="AB4" s="1202"/>
      <c r="AC4" s="1202"/>
      <c r="AD4" s="1202"/>
      <c r="AE4" s="1202"/>
      <c r="AF4" s="1202"/>
      <c r="AG4" s="1202"/>
      <c r="AH4" s="1202"/>
    </row>
    <row r="5" spans="1:34" ht="21" customHeight="1" thickBot="1" x14ac:dyDescent="0.3">
      <c r="A5" s="2"/>
      <c r="B5" s="2"/>
      <c r="C5" s="2"/>
      <c r="D5" s="2"/>
      <c r="E5" s="2"/>
      <c r="F5" s="2"/>
      <c r="G5" s="2"/>
      <c r="H5" s="2"/>
      <c r="I5" s="2"/>
      <c r="J5" s="234"/>
      <c r="K5" s="2"/>
      <c r="L5" s="2"/>
      <c r="M5" s="2"/>
      <c r="N5" s="2"/>
      <c r="O5" s="2"/>
      <c r="P5" s="234"/>
      <c r="Q5" s="177"/>
      <c r="R5" s="177"/>
      <c r="S5" s="177"/>
      <c r="T5" s="234"/>
      <c r="U5" s="234"/>
      <c r="V5" s="234"/>
      <c r="W5" s="234"/>
      <c r="X5" s="239"/>
    </row>
    <row r="6" spans="1:34" s="351" customFormat="1" ht="18.75" customHeight="1" thickTop="1" x14ac:dyDescent="0.2">
      <c r="A6" s="1268" t="s">
        <v>91</v>
      </c>
      <c r="B6" s="1270" t="s">
        <v>106</v>
      </c>
      <c r="C6" s="1271"/>
      <c r="D6" s="1274" t="s">
        <v>92</v>
      </c>
      <c r="E6" s="1271" t="s">
        <v>93</v>
      </c>
      <c r="F6" s="1261" t="s">
        <v>324</v>
      </c>
      <c r="G6" s="1262"/>
      <c r="H6" s="1262"/>
      <c r="I6" s="1262"/>
      <c r="J6" s="1262"/>
      <c r="K6" s="1262"/>
      <c r="L6" s="1262"/>
      <c r="M6" s="1262"/>
      <c r="N6" s="1262"/>
      <c r="O6" s="1263"/>
      <c r="P6" s="1277" t="s">
        <v>102</v>
      </c>
      <c r="Q6" s="1261" t="s">
        <v>104</v>
      </c>
      <c r="R6" s="1262"/>
      <c r="S6" s="1262"/>
      <c r="T6" s="1263"/>
      <c r="U6" s="1264" t="s">
        <v>99</v>
      </c>
      <c r="V6" s="1264" t="s">
        <v>100</v>
      </c>
      <c r="W6" s="1050" t="s">
        <v>103</v>
      </c>
      <c r="X6" s="1266" t="s">
        <v>90</v>
      </c>
    </row>
    <row r="7" spans="1:34" s="351" customFormat="1" ht="132" customHeight="1" x14ac:dyDescent="0.2">
      <c r="A7" s="1298"/>
      <c r="B7" s="1299"/>
      <c r="C7" s="1297"/>
      <c r="D7" s="1275"/>
      <c r="E7" s="1297"/>
      <c r="F7" s="462" t="s">
        <v>43</v>
      </c>
      <c r="G7" s="462" t="s">
        <v>4</v>
      </c>
      <c r="H7" s="462" t="s">
        <v>7</v>
      </c>
      <c r="I7" s="279" t="s">
        <v>330</v>
      </c>
      <c r="J7" s="462" t="s">
        <v>133</v>
      </c>
      <c r="K7" s="463" t="s">
        <v>325</v>
      </c>
      <c r="L7" s="282" t="s">
        <v>96</v>
      </c>
      <c r="M7" s="295" t="s">
        <v>113</v>
      </c>
      <c r="N7" s="281" t="s">
        <v>458</v>
      </c>
      <c r="O7" s="456" t="s">
        <v>1784</v>
      </c>
      <c r="P7" s="1301"/>
      <c r="Q7" s="323" t="s">
        <v>108</v>
      </c>
      <c r="R7" s="323" t="s">
        <v>97</v>
      </c>
      <c r="S7" s="323" t="s">
        <v>96</v>
      </c>
      <c r="T7" s="375" t="s">
        <v>98</v>
      </c>
      <c r="U7" s="1265"/>
      <c r="V7" s="1265"/>
      <c r="W7" s="1051"/>
      <c r="X7" s="1267"/>
      <c r="Y7" s="351" t="s">
        <v>94</v>
      </c>
    </row>
    <row r="8" spans="1:34" s="256" customFormat="1" ht="18" customHeight="1" x14ac:dyDescent="0.2">
      <c r="A8" s="353">
        <v>1</v>
      </c>
      <c r="B8" s="245"/>
      <c r="C8" s="246">
        <v>2022</v>
      </c>
      <c r="D8" s="376" t="s">
        <v>1511</v>
      </c>
      <c r="E8" s="268" t="s">
        <v>255</v>
      </c>
      <c r="F8" s="268">
        <v>6.5</v>
      </c>
      <c r="G8" s="268">
        <v>6.5</v>
      </c>
      <c r="H8" s="268">
        <v>6</v>
      </c>
      <c r="I8" s="266">
        <v>7.4</v>
      </c>
      <c r="J8" s="268">
        <v>6</v>
      </c>
      <c r="K8" s="268">
        <v>7</v>
      </c>
      <c r="L8" s="268">
        <v>7</v>
      </c>
      <c r="M8" s="266">
        <v>6.5</v>
      </c>
      <c r="N8" s="266">
        <v>7.5</v>
      </c>
      <c r="O8" s="266">
        <v>7</v>
      </c>
      <c r="P8" s="286">
        <f>SUM(F8:O8)/10</f>
        <v>6.74</v>
      </c>
      <c r="Q8" s="268"/>
      <c r="R8" s="268"/>
      <c r="S8" s="243">
        <f>SUM(P8:R8)/3</f>
        <v>2.2466666666666666</v>
      </c>
      <c r="T8" s="243">
        <f>SUM(O8+S8)/2</f>
        <v>4.6233333333333331</v>
      </c>
      <c r="U8" s="252"/>
      <c r="V8" s="257"/>
      <c r="W8" s="261"/>
      <c r="X8" s="261" t="s">
        <v>207</v>
      </c>
      <c r="Y8" s="255"/>
      <c r="Z8" s="357">
        <f t="shared" ref="Z8:Z71" si="0">AVERAGE(F8:O8)</f>
        <v>6.74</v>
      </c>
    </row>
    <row r="9" spans="1:34" s="256" customFormat="1" ht="18" customHeight="1" x14ac:dyDescent="0.2">
      <c r="A9" s="287">
        <v>2</v>
      </c>
      <c r="B9" s="245"/>
      <c r="C9" s="246">
        <v>2022</v>
      </c>
      <c r="D9" s="378" t="s">
        <v>888</v>
      </c>
      <c r="E9" s="242" t="s">
        <v>213</v>
      </c>
      <c r="F9" s="242">
        <v>8</v>
      </c>
      <c r="G9" s="242">
        <v>7.5</v>
      </c>
      <c r="H9" s="242">
        <v>7.5</v>
      </c>
      <c r="I9" s="242">
        <v>7.5</v>
      </c>
      <c r="J9" s="242">
        <v>7</v>
      </c>
      <c r="K9" s="242">
        <v>7</v>
      </c>
      <c r="L9" s="242">
        <v>7.5</v>
      </c>
      <c r="M9" s="242">
        <v>7.5</v>
      </c>
      <c r="N9" s="242">
        <v>7</v>
      </c>
      <c r="O9" s="242">
        <v>6.5</v>
      </c>
      <c r="P9" s="243">
        <f>SUM(F9:O9)/10</f>
        <v>7.3</v>
      </c>
      <c r="Q9" s="268"/>
      <c r="R9" s="268"/>
      <c r="S9" s="243">
        <f>SUM(P9:R9)/3</f>
        <v>2.4333333333333331</v>
      </c>
      <c r="T9" s="243">
        <f>SUM(O9+S9)/2</f>
        <v>4.4666666666666668</v>
      </c>
      <c r="U9" s="252"/>
      <c r="V9" s="252"/>
      <c r="W9" s="263"/>
      <c r="X9" s="263" t="s">
        <v>1198</v>
      </c>
      <c r="Y9" s="255"/>
      <c r="Z9" s="357">
        <f t="shared" si="0"/>
        <v>7.3</v>
      </c>
    </row>
    <row r="10" spans="1:34" s="256" customFormat="1" ht="18" customHeight="1" x14ac:dyDescent="0.2">
      <c r="A10" s="287">
        <v>3</v>
      </c>
      <c r="B10" s="245"/>
      <c r="C10" s="246">
        <v>2022</v>
      </c>
      <c r="D10" s="376" t="s">
        <v>1512</v>
      </c>
      <c r="E10" s="242" t="s">
        <v>152</v>
      </c>
      <c r="F10" s="242">
        <v>8</v>
      </c>
      <c r="G10" s="242">
        <v>8</v>
      </c>
      <c r="H10" s="242">
        <v>8</v>
      </c>
      <c r="I10" s="242">
        <v>8</v>
      </c>
      <c r="J10" s="242">
        <v>7</v>
      </c>
      <c r="K10" s="242">
        <v>9</v>
      </c>
      <c r="L10" s="242">
        <v>8</v>
      </c>
      <c r="M10" s="242">
        <v>8</v>
      </c>
      <c r="N10" s="242">
        <v>6</v>
      </c>
      <c r="O10" s="242">
        <v>8</v>
      </c>
      <c r="P10" s="243">
        <f t="shared" ref="P10:P29" si="1">SUM(F10:O10)/10</f>
        <v>7.8</v>
      </c>
      <c r="Q10" s="242"/>
      <c r="R10" s="242"/>
      <c r="S10" s="277">
        <f>SUM(P10:R10)/3</f>
        <v>2.6</v>
      </c>
      <c r="T10" s="277">
        <f>SUM(O10+S10)/2</f>
        <v>5.3</v>
      </c>
      <c r="U10" s="379"/>
      <c r="V10" s="252"/>
      <c r="W10" s="263"/>
      <c r="X10" s="263" t="s">
        <v>186</v>
      </c>
      <c r="Y10" s="255"/>
      <c r="Z10" s="357">
        <f t="shared" si="0"/>
        <v>7.8</v>
      </c>
    </row>
    <row r="11" spans="1:34" s="256" customFormat="1" ht="18" customHeight="1" x14ac:dyDescent="0.2">
      <c r="A11" s="287">
        <v>4</v>
      </c>
      <c r="B11" s="245"/>
      <c r="C11" s="246">
        <v>2022</v>
      </c>
      <c r="D11" s="276" t="s">
        <v>1513</v>
      </c>
      <c r="E11" s="294" t="s">
        <v>152</v>
      </c>
      <c r="F11" s="242">
        <v>7.5</v>
      </c>
      <c r="G11" s="242">
        <v>7.5</v>
      </c>
      <c r="H11" s="242">
        <v>7</v>
      </c>
      <c r="I11" s="242">
        <v>8</v>
      </c>
      <c r="J11" s="242">
        <v>8</v>
      </c>
      <c r="K11" s="242">
        <v>7</v>
      </c>
      <c r="L11" s="242">
        <v>7</v>
      </c>
      <c r="M11" s="242">
        <v>6</v>
      </c>
      <c r="N11" s="242">
        <v>6.5</v>
      </c>
      <c r="O11" s="242">
        <v>7</v>
      </c>
      <c r="P11" s="243">
        <f t="shared" si="1"/>
        <v>7.15</v>
      </c>
      <c r="Q11" s="242"/>
      <c r="R11" s="242"/>
      <c r="S11" s="242"/>
      <c r="T11" s="277">
        <f>SUM(Q11:S11)/3</f>
        <v>0</v>
      </c>
      <c r="U11" s="277">
        <f>SUM(P11+T11)/2</f>
        <v>3.5750000000000002</v>
      </c>
      <c r="V11" s="252"/>
      <c r="W11" s="273"/>
      <c r="X11" s="263" t="s">
        <v>190</v>
      </c>
      <c r="Y11" s="255"/>
      <c r="Z11" s="357">
        <f t="shared" si="0"/>
        <v>7.15</v>
      </c>
    </row>
    <row r="12" spans="1:34" s="256" customFormat="1" ht="18" customHeight="1" x14ac:dyDescent="0.2">
      <c r="A12" s="287">
        <v>5</v>
      </c>
      <c r="B12" s="245"/>
      <c r="C12" s="246">
        <v>2022</v>
      </c>
      <c r="D12" s="376" t="s">
        <v>1514</v>
      </c>
      <c r="E12" s="242" t="s">
        <v>1515</v>
      </c>
      <c r="F12" s="242">
        <v>6.5</v>
      </c>
      <c r="G12" s="242">
        <v>8</v>
      </c>
      <c r="H12" s="242">
        <v>7.5</v>
      </c>
      <c r="I12" s="242">
        <v>7.2</v>
      </c>
      <c r="J12" s="242">
        <v>7</v>
      </c>
      <c r="K12" s="242">
        <v>7</v>
      </c>
      <c r="L12" s="458">
        <v>7</v>
      </c>
      <c r="M12" s="242">
        <v>7.5</v>
      </c>
      <c r="N12" s="242">
        <v>6.5</v>
      </c>
      <c r="O12" s="242">
        <v>7</v>
      </c>
      <c r="P12" s="243">
        <f t="shared" si="1"/>
        <v>7.12</v>
      </c>
      <c r="Q12" s="242"/>
      <c r="R12" s="242"/>
      <c r="S12" s="277">
        <f t="shared" ref="S12:S37" si="2">SUM(P12:R12)/3</f>
        <v>2.3733333333333335</v>
      </c>
      <c r="T12" s="277">
        <f t="shared" ref="T12:T37" si="3">SUM(O12+S12)/2</f>
        <v>4.6866666666666665</v>
      </c>
      <c r="U12" s="379"/>
      <c r="V12" s="252"/>
      <c r="W12" s="263"/>
      <c r="X12" s="261" t="s">
        <v>141</v>
      </c>
      <c r="Y12" s="255"/>
      <c r="Z12" s="357">
        <f t="shared" si="0"/>
        <v>7.12</v>
      </c>
    </row>
    <row r="13" spans="1:34" s="256" customFormat="1" ht="18" customHeight="1" x14ac:dyDescent="0.2">
      <c r="A13" s="287">
        <v>6</v>
      </c>
      <c r="B13" s="245"/>
      <c r="C13" s="246">
        <v>2022</v>
      </c>
      <c r="D13" s="376" t="s">
        <v>1516</v>
      </c>
      <c r="E13" s="242" t="s">
        <v>152</v>
      </c>
      <c r="F13" s="242">
        <v>7.5</v>
      </c>
      <c r="G13" s="242">
        <v>8</v>
      </c>
      <c r="H13" s="242">
        <v>7</v>
      </c>
      <c r="I13" s="242">
        <v>6.8</v>
      </c>
      <c r="J13" s="242">
        <v>8</v>
      </c>
      <c r="K13" s="242">
        <v>7</v>
      </c>
      <c r="L13" s="242">
        <v>7.5</v>
      </c>
      <c r="M13" s="242">
        <v>7</v>
      </c>
      <c r="N13" s="242">
        <v>6</v>
      </c>
      <c r="O13" s="242">
        <v>6.5</v>
      </c>
      <c r="P13" s="243">
        <f t="shared" si="1"/>
        <v>7.13</v>
      </c>
      <c r="Q13" s="242"/>
      <c r="R13" s="242"/>
      <c r="S13" s="277">
        <f t="shared" si="2"/>
        <v>2.3766666666666665</v>
      </c>
      <c r="T13" s="277">
        <f t="shared" si="3"/>
        <v>4.4383333333333335</v>
      </c>
      <c r="U13" s="379"/>
      <c r="V13" s="252"/>
      <c r="W13" s="300"/>
      <c r="X13" s="261" t="s">
        <v>152</v>
      </c>
      <c r="Y13" s="255"/>
      <c r="Z13" s="357">
        <f t="shared" si="0"/>
        <v>7.13</v>
      </c>
    </row>
    <row r="14" spans="1:34" s="256" customFormat="1" ht="18" customHeight="1" x14ac:dyDescent="0.2">
      <c r="A14" s="287">
        <v>7</v>
      </c>
      <c r="B14" s="245"/>
      <c r="C14" s="246">
        <v>2022</v>
      </c>
      <c r="D14" s="376" t="s">
        <v>1517</v>
      </c>
      <c r="E14" s="242" t="s">
        <v>1006</v>
      </c>
      <c r="F14" s="242">
        <v>7</v>
      </c>
      <c r="G14" s="242">
        <v>8</v>
      </c>
      <c r="H14" s="242">
        <v>7.5</v>
      </c>
      <c r="I14" s="242">
        <v>7.2</v>
      </c>
      <c r="J14" s="242">
        <v>7</v>
      </c>
      <c r="K14" s="242">
        <v>7</v>
      </c>
      <c r="L14" s="458">
        <v>7</v>
      </c>
      <c r="M14" s="242">
        <v>8</v>
      </c>
      <c r="N14" s="242">
        <v>6</v>
      </c>
      <c r="O14" s="242">
        <v>7</v>
      </c>
      <c r="P14" s="243">
        <f t="shared" si="1"/>
        <v>7.17</v>
      </c>
      <c r="Q14" s="242"/>
      <c r="R14" s="242"/>
      <c r="S14" s="277">
        <f t="shared" si="2"/>
        <v>2.39</v>
      </c>
      <c r="T14" s="277">
        <f t="shared" si="3"/>
        <v>4.6950000000000003</v>
      </c>
      <c r="U14" s="379"/>
      <c r="V14" s="252"/>
      <c r="W14" s="263"/>
      <c r="X14" s="263" t="s">
        <v>174</v>
      </c>
      <c r="Y14" s="255"/>
      <c r="Z14" s="357">
        <f t="shared" si="0"/>
        <v>7.17</v>
      </c>
    </row>
    <row r="15" spans="1:34" s="256" customFormat="1" ht="18" customHeight="1" x14ac:dyDescent="0.2">
      <c r="A15" s="287">
        <v>8</v>
      </c>
      <c r="B15" s="245"/>
      <c r="C15" s="246">
        <v>2022</v>
      </c>
      <c r="D15" s="376" t="s">
        <v>1518</v>
      </c>
      <c r="E15" s="242" t="s">
        <v>152</v>
      </c>
      <c r="F15" s="242">
        <v>8</v>
      </c>
      <c r="G15" s="242">
        <v>8</v>
      </c>
      <c r="H15" s="242">
        <v>6.5</v>
      </c>
      <c r="I15" s="242">
        <v>7.5</v>
      </c>
      <c r="J15" s="242">
        <v>7</v>
      </c>
      <c r="K15" s="242">
        <v>7</v>
      </c>
      <c r="L15" s="242">
        <v>7</v>
      </c>
      <c r="M15" s="242">
        <v>7</v>
      </c>
      <c r="N15" s="242">
        <v>7</v>
      </c>
      <c r="O15" s="242">
        <v>6.5</v>
      </c>
      <c r="P15" s="243">
        <f t="shared" si="1"/>
        <v>7.15</v>
      </c>
      <c r="Q15" s="242"/>
      <c r="R15" s="242"/>
      <c r="S15" s="277">
        <f t="shared" si="2"/>
        <v>2.3833333333333333</v>
      </c>
      <c r="T15" s="277">
        <f t="shared" si="3"/>
        <v>4.4416666666666664</v>
      </c>
      <c r="U15" s="379"/>
      <c r="V15" s="252"/>
      <c r="W15" s="263"/>
      <c r="X15" s="263" t="s">
        <v>216</v>
      </c>
      <c r="Y15" s="255"/>
      <c r="Z15" s="357">
        <f t="shared" si="0"/>
        <v>7.15</v>
      </c>
    </row>
    <row r="16" spans="1:34" s="256" customFormat="1" ht="18" customHeight="1" x14ac:dyDescent="0.2">
      <c r="A16" s="287">
        <v>9</v>
      </c>
      <c r="B16" s="245"/>
      <c r="C16" s="246">
        <v>2022</v>
      </c>
      <c r="D16" s="376" t="s">
        <v>1519</v>
      </c>
      <c r="E16" s="242" t="s">
        <v>1520</v>
      </c>
      <c r="F16" s="242">
        <v>8</v>
      </c>
      <c r="G16" s="242">
        <v>8</v>
      </c>
      <c r="H16" s="242">
        <v>7.5</v>
      </c>
      <c r="I16" s="242">
        <v>8</v>
      </c>
      <c r="J16" s="242">
        <v>7</v>
      </c>
      <c r="K16" s="242">
        <v>7</v>
      </c>
      <c r="L16" s="242">
        <v>6.5</v>
      </c>
      <c r="M16" s="242">
        <v>7.5</v>
      </c>
      <c r="N16" s="242">
        <v>7</v>
      </c>
      <c r="O16" s="242">
        <v>7</v>
      </c>
      <c r="P16" s="243">
        <f t="shared" si="1"/>
        <v>7.35</v>
      </c>
      <c r="Q16" s="242"/>
      <c r="R16" s="242"/>
      <c r="S16" s="277">
        <f t="shared" si="2"/>
        <v>2.4499999999999997</v>
      </c>
      <c r="T16" s="277">
        <f t="shared" si="3"/>
        <v>4.7249999999999996</v>
      </c>
      <c r="U16" s="379"/>
      <c r="V16" s="252"/>
      <c r="W16" s="263"/>
      <c r="X16" s="261" t="s">
        <v>141</v>
      </c>
      <c r="Y16" s="255"/>
      <c r="Z16" s="357">
        <f t="shared" si="0"/>
        <v>7.35</v>
      </c>
    </row>
    <row r="17" spans="1:26" s="256" customFormat="1" ht="18" customHeight="1" x14ac:dyDescent="0.2">
      <c r="A17" s="287">
        <v>10</v>
      </c>
      <c r="B17" s="245"/>
      <c r="C17" s="246">
        <v>2022</v>
      </c>
      <c r="D17" s="376" t="s">
        <v>1521</v>
      </c>
      <c r="E17" s="242" t="s">
        <v>612</v>
      </c>
      <c r="F17" s="242">
        <v>7</v>
      </c>
      <c r="G17" s="242">
        <v>8</v>
      </c>
      <c r="H17" s="242">
        <v>7</v>
      </c>
      <c r="I17" s="242">
        <v>7</v>
      </c>
      <c r="J17" s="242">
        <v>7</v>
      </c>
      <c r="K17" s="242">
        <v>7</v>
      </c>
      <c r="L17" s="242">
        <v>7.5</v>
      </c>
      <c r="M17" s="242">
        <v>7</v>
      </c>
      <c r="N17" s="242">
        <v>6.5</v>
      </c>
      <c r="O17" s="242">
        <v>7</v>
      </c>
      <c r="P17" s="243">
        <f t="shared" si="1"/>
        <v>7.1</v>
      </c>
      <c r="Q17" s="242"/>
      <c r="R17" s="242"/>
      <c r="S17" s="277">
        <f t="shared" si="2"/>
        <v>2.3666666666666667</v>
      </c>
      <c r="T17" s="277">
        <f t="shared" si="3"/>
        <v>4.6833333333333336</v>
      </c>
      <c r="U17" s="379"/>
      <c r="V17" s="252"/>
      <c r="W17" s="263"/>
      <c r="X17" s="261" t="s">
        <v>216</v>
      </c>
      <c r="Y17" s="255"/>
      <c r="Z17" s="357">
        <f t="shared" si="0"/>
        <v>7.1</v>
      </c>
    </row>
    <row r="18" spans="1:26" s="256" customFormat="1" ht="18" customHeight="1" x14ac:dyDescent="0.2">
      <c r="A18" s="287">
        <v>11</v>
      </c>
      <c r="B18" s="245"/>
      <c r="C18" s="246">
        <v>2022</v>
      </c>
      <c r="D18" s="380" t="s">
        <v>1522</v>
      </c>
      <c r="E18" s="242" t="s">
        <v>1523</v>
      </c>
      <c r="F18" s="242">
        <v>8</v>
      </c>
      <c r="G18" s="242">
        <v>7.5</v>
      </c>
      <c r="H18" s="242">
        <v>6.5</v>
      </c>
      <c r="I18" s="242">
        <v>7</v>
      </c>
      <c r="J18" s="242">
        <v>6</v>
      </c>
      <c r="K18" s="242">
        <v>8</v>
      </c>
      <c r="L18" s="242">
        <v>7</v>
      </c>
      <c r="M18" s="242">
        <v>7</v>
      </c>
      <c r="N18" s="242">
        <v>7.5</v>
      </c>
      <c r="O18" s="242">
        <v>7</v>
      </c>
      <c r="P18" s="243">
        <f t="shared" si="1"/>
        <v>7.15</v>
      </c>
      <c r="Q18" s="242"/>
      <c r="R18" s="242"/>
      <c r="S18" s="277">
        <f t="shared" si="2"/>
        <v>2.3833333333333333</v>
      </c>
      <c r="T18" s="277">
        <f t="shared" si="3"/>
        <v>4.6916666666666664</v>
      </c>
      <c r="U18" s="379"/>
      <c r="V18" s="252"/>
      <c r="W18" s="263"/>
      <c r="X18" s="261" t="s">
        <v>171</v>
      </c>
      <c r="Y18" s="255"/>
      <c r="Z18" s="357">
        <f t="shared" si="0"/>
        <v>7.15</v>
      </c>
    </row>
    <row r="19" spans="1:26" s="256" customFormat="1" ht="18" customHeight="1" x14ac:dyDescent="0.2">
      <c r="A19" s="287">
        <v>12</v>
      </c>
      <c r="B19" s="245"/>
      <c r="C19" s="246">
        <v>2022</v>
      </c>
      <c r="D19" s="381" t="s">
        <v>1524</v>
      </c>
      <c r="E19" s="242" t="s">
        <v>655</v>
      </c>
      <c r="F19" s="242">
        <v>6</v>
      </c>
      <c r="G19" s="242">
        <v>7.5</v>
      </c>
      <c r="H19" s="242">
        <v>7.5</v>
      </c>
      <c r="I19" s="242">
        <v>7.8</v>
      </c>
      <c r="J19" s="242">
        <v>7</v>
      </c>
      <c r="K19" s="242">
        <v>8</v>
      </c>
      <c r="L19" s="242">
        <v>7</v>
      </c>
      <c r="M19" s="242">
        <v>7</v>
      </c>
      <c r="N19" s="242">
        <v>7.5</v>
      </c>
      <c r="O19" s="242">
        <v>7</v>
      </c>
      <c r="P19" s="243">
        <f t="shared" si="1"/>
        <v>7.2299999999999995</v>
      </c>
      <c r="Q19" s="242"/>
      <c r="R19" s="242"/>
      <c r="S19" s="277">
        <f t="shared" si="2"/>
        <v>2.4099999999999997</v>
      </c>
      <c r="T19" s="277">
        <f t="shared" si="3"/>
        <v>4.7050000000000001</v>
      </c>
      <c r="U19" s="379"/>
      <c r="V19" s="252"/>
      <c r="W19" s="263"/>
      <c r="X19" s="263" t="s">
        <v>218</v>
      </c>
      <c r="Y19" s="255"/>
      <c r="Z19" s="357">
        <f t="shared" si="0"/>
        <v>7.2299999999999995</v>
      </c>
    </row>
    <row r="20" spans="1:26" s="256" customFormat="1" ht="18" customHeight="1" x14ac:dyDescent="0.2">
      <c r="A20" s="287">
        <v>13</v>
      </c>
      <c r="B20" s="245"/>
      <c r="C20" s="246">
        <v>2022</v>
      </c>
      <c r="D20" s="376" t="s">
        <v>1368</v>
      </c>
      <c r="E20" s="242" t="s">
        <v>1525</v>
      </c>
      <c r="F20" s="242">
        <v>8</v>
      </c>
      <c r="G20" s="242">
        <v>8</v>
      </c>
      <c r="H20" s="242">
        <v>7</v>
      </c>
      <c r="I20" s="242">
        <v>7.2</v>
      </c>
      <c r="J20" s="242">
        <v>7</v>
      </c>
      <c r="K20" s="242">
        <v>8</v>
      </c>
      <c r="L20" s="242">
        <v>7.5</v>
      </c>
      <c r="M20" s="242">
        <v>7</v>
      </c>
      <c r="N20" s="242">
        <v>7.5</v>
      </c>
      <c r="O20" s="242">
        <v>7.5</v>
      </c>
      <c r="P20" s="243">
        <f t="shared" si="1"/>
        <v>7.4700000000000006</v>
      </c>
      <c r="Q20" s="242"/>
      <c r="R20" s="242"/>
      <c r="S20" s="277">
        <f t="shared" si="2"/>
        <v>2.4900000000000002</v>
      </c>
      <c r="T20" s="277">
        <f t="shared" si="3"/>
        <v>4.9950000000000001</v>
      </c>
      <c r="U20" s="379"/>
      <c r="V20" s="252"/>
      <c r="W20" s="263"/>
      <c r="X20" s="263" t="s">
        <v>186</v>
      </c>
      <c r="Y20" s="255"/>
      <c r="Z20" s="357">
        <f t="shared" si="0"/>
        <v>7.4700000000000006</v>
      </c>
    </row>
    <row r="21" spans="1:26" s="256" customFormat="1" ht="18" customHeight="1" x14ac:dyDescent="0.2">
      <c r="A21" s="287">
        <v>14</v>
      </c>
      <c r="B21" s="245"/>
      <c r="C21" s="246">
        <v>2022</v>
      </c>
      <c r="D21" s="382" t="s">
        <v>1526</v>
      </c>
      <c r="E21" s="308" t="s">
        <v>1527</v>
      </c>
      <c r="F21" s="242">
        <v>8</v>
      </c>
      <c r="G21" s="242">
        <v>8</v>
      </c>
      <c r="H21" s="242">
        <v>8</v>
      </c>
      <c r="I21" s="242">
        <v>6.5</v>
      </c>
      <c r="J21" s="242">
        <v>6</v>
      </c>
      <c r="K21" s="242">
        <v>9</v>
      </c>
      <c r="L21" s="458">
        <v>6.5</v>
      </c>
      <c r="M21" s="242">
        <v>7.5</v>
      </c>
      <c r="N21" s="242">
        <v>8</v>
      </c>
      <c r="O21" s="242">
        <v>8</v>
      </c>
      <c r="P21" s="243">
        <f t="shared" si="1"/>
        <v>7.55</v>
      </c>
      <c r="Q21" s="242"/>
      <c r="R21" s="242"/>
      <c r="S21" s="277">
        <f t="shared" si="2"/>
        <v>2.5166666666666666</v>
      </c>
      <c r="T21" s="277">
        <f t="shared" si="3"/>
        <v>5.2583333333333329</v>
      </c>
      <c r="U21" s="379"/>
      <c r="V21" s="252"/>
      <c r="W21" s="263"/>
      <c r="X21" s="263" t="s">
        <v>282</v>
      </c>
      <c r="Y21" s="255"/>
      <c r="Z21" s="357">
        <f t="shared" si="0"/>
        <v>7.55</v>
      </c>
    </row>
    <row r="22" spans="1:26" s="256" customFormat="1" ht="18" customHeight="1" x14ac:dyDescent="0.2">
      <c r="A22" s="287">
        <v>15</v>
      </c>
      <c r="B22" s="245"/>
      <c r="C22" s="246">
        <v>2022</v>
      </c>
      <c r="D22" s="376" t="s">
        <v>1528</v>
      </c>
      <c r="E22" s="242" t="s">
        <v>1529</v>
      </c>
      <c r="F22" s="242">
        <v>8</v>
      </c>
      <c r="G22" s="242">
        <v>7.5</v>
      </c>
      <c r="H22" s="242">
        <v>8</v>
      </c>
      <c r="I22" s="242">
        <v>7</v>
      </c>
      <c r="J22" s="242">
        <v>8</v>
      </c>
      <c r="K22" s="242">
        <v>8</v>
      </c>
      <c r="L22" s="242">
        <v>7</v>
      </c>
      <c r="M22" s="242">
        <v>7.5</v>
      </c>
      <c r="N22" s="242">
        <v>7</v>
      </c>
      <c r="O22" s="242">
        <v>7</v>
      </c>
      <c r="P22" s="243">
        <f t="shared" si="1"/>
        <v>7.5</v>
      </c>
      <c r="Q22" s="242"/>
      <c r="R22" s="242"/>
      <c r="S22" s="277">
        <f t="shared" si="2"/>
        <v>2.5</v>
      </c>
      <c r="T22" s="277">
        <f t="shared" si="3"/>
        <v>4.75</v>
      </c>
      <c r="U22" s="379"/>
      <c r="V22" s="252"/>
      <c r="W22" s="263"/>
      <c r="X22" s="261" t="s">
        <v>202</v>
      </c>
      <c r="Y22" s="255"/>
      <c r="Z22" s="357">
        <f t="shared" si="0"/>
        <v>7.5</v>
      </c>
    </row>
    <row r="23" spans="1:26" s="256" customFormat="1" ht="18" customHeight="1" x14ac:dyDescent="0.2">
      <c r="A23" s="287">
        <v>16</v>
      </c>
      <c r="B23" s="245"/>
      <c r="C23" s="246">
        <v>2022</v>
      </c>
      <c r="D23" s="376" t="s">
        <v>147</v>
      </c>
      <c r="E23" s="242" t="s">
        <v>626</v>
      </c>
      <c r="F23" s="242">
        <v>8</v>
      </c>
      <c r="G23" s="242">
        <v>7.5</v>
      </c>
      <c r="H23" s="242">
        <v>7</v>
      </c>
      <c r="I23" s="242">
        <v>7</v>
      </c>
      <c r="J23" s="242">
        <v>8</v>
      </c>
      <c r="K23" s="242">
        <v>8</v>
      </c>
      <c r="L23" s="242">
        <v>7.5</v>
      </c>
      <c r="M23" s="242">
        <v>8</v>
      </c>
      <c r="N23" s="242">
        <v>7.5</v>
      </c>
      <c r="O23" s="242">
        <v>7</v>
      </c>
      <c r="P23" s="243">
        <f t="shared" si="1"/>
        <v>7.55</v>
      </c>
      <c r="Q23" s="242"/>
      <c r="R23" s="242"/>
      <c r="S23" s="277">
        <f t="shared" si="2"/>
        <v>2.5166666666666666</v>
      </c>
      <c r="T23" s="277">
        <f t="shared" si="3"/>
        <v>4.7583333333333329</v>
      </c>
      <c r="U23" s="379"/>
      <c r="V23" s="252"/>
      <c r="W23" s="263"/>
      <c r="X23" s="261" t="s">
        <v>186</v>
      </c>
      <c r="Y23" s="255"/>
      <c r="Z23" s="357">
        <f t="shared" si="0"/>
        <v>7.55</v>
      </c>
    </row>
    <row r="24" spans="1:26" s="256" customFormat="1" ht="18" customHeight="1" x14ac:dyDescent="0.2">
      <c r="A24" s="287">
        <v>17</v>
      </c>
      <c r="B24" s="245"/>
      <c r="C24" s="246">
        <v>2022</v>
      </c>
      <c r="D24" s="376" t="s">
        <v>1530</v>
      </c>
      <c r="E24" s="242" t="s">
        <v>152</v>
      </c>
      <c r="F24" s="242">
        <v>8</v>
      </c>
      <c r="G24" s="242">
        <v>8</v>
      </c>
      <c r="H24" s="242">
        <v>8</v>
      </c>
      <c r="I24" s="242">
        <v>7.6</v>
      </c>
      <c r="J24" s="242">
        <v>8</v>
      </c>
      <c r="K24" s="242">
        <v>9</v>
      </c>
      <c r="L24" s="242">
        <v>8</v>
      </c>
      <c r="M24" s="242">
        <v>8</v>
      </c>
      <c r="N24" s="242">
        <v>8</v>
      </c>
      <c r="O24" s="242">
        <v>8</v>
      </c>
      <c r="P24" s="243">
        <f t="shared" si="1"/>
        <v>8.0599999999999987</v>
      </c>
      <c r="Q24" s="242"/>
      <c r="R24" s="242"/>
      <c r="S24" s="277">
        <f t="shared" si="2"/>
        <v>2.6866666666666661</v>
      </c>
      <c r="T24" s="277">
        <f t="shared" si="3"/>
        <v>5.3433333333333328</v>
      </c>
      <c r="U24" s="379"/>
      <c r="V24" s="252"/>
      <c r="W24" s="300"/>
      <c r="X24" s="261" t="s">
        <v>171</v>
      </c>
      <c r="Y24" s="255"/>
      <c r="Z24" s="357">
        <f t="shared" si="0"/>
        <v>8.0599999999999987</v>
      </c>
    </row>
    <row r="25" spans="1:26" s="256" customFormat="1" ht="18" customHeight="1" x14ac:dyDescent="0.2">
      <c r="A25" s="287">
        <v>18</v>
      </c>
      <c r="B25" s="245"/>
      <c r="C25" s="246">
        <v>2022</v>
      </c>
      <c r="D25" s="376" t="s">
        <v>1531</v>
      </c>
      <c r="E25" s="242" t="s">
        <v>239</v>
      </c>
      <c r="F25" s="242">
        <v>8</v>
      </c>
      <c r="G25" s="242">
        <v>6</v>
      </c>
      <c r="H25" s="242">
        <v>6</v>
      </c>
      <c r="I25" s="242">
        <v>7.5</v>
      </c>
      <c r="J25" s="242">
        <v>6.5</v>
      </c>
      <c r="K25" s="242">
        <v>7</v>
      </c>
      <c r="L25" s="242">
        <v>7</v>
      </c>
      <c r="M25" s="242">
        <v>6.5</v>
      </c>
      <c r="N25" s="242">
        <v>7</v>
      </c>
      <c r="O25" s="242">
        <v>7</v>
      </c>
      <c r="P25" s="243">
        <f t="shared" si="1"/>
        <v>6.85</v>
      </c>
      <c r="Q25" s="242"/>
      <c r="R25" s="242"/>
      <c r="S25" s="277">
        <f t="shared" si="2"/>
        <v>2.2833333333333332</v>
      </c>
      <c r="T25" s="277">
        <f t="shared" si="3"/>
        <v>4.6416666666666666</v>
      </c>
      <c r="U25" s="379"/>
      <c r="V25" s="252"/>
      <c r="W25" s="263"/>
      <c r="X25" s="263" t="s">
        <v>174</v>
      </c>
      <c r="Y25" s="255"/>
      <c r="Z25" s="357">
        <f t="shared" si="0"/>
        <v>6.85</v>
      </c>
    </row>
    <row r="26" spans="1:26" s="256" customFormat="1" ht="18" customHeight="1" x14ac:dyDescent="0.2">
      <c r="A26" s="287">
        <v>19</v>
      </c>
      <c r="B26" s="245"/>
      <c r="C26" s="246">
        <v>2022</v>
      </c>
      <c r="D26" s="376" t="s">
        <v>1532</v>
      </c>
      <c r="E26" s="242" t="s">
        <v>1154</v>
      </c>
      <c r="F26" s="242">
        <v>8</v>
      </c>
      <c r="G26" s="242">
        <v>8</v>
      </c>
      <c r="H26" s="242">
        <v>6</v>
      </c>
      <c r="I26" s="242">
        <v>8</v>
      </c>
      <c r="J26" s="242">
        <v>7</v>
      </c>
      <c r="K26" s="242">
        <v>8</v>
      </c>
      <c r="L26" s="242">
        <v>7.5</v>
      </c>
      <c r="M26" s="242">
        <v>7.5</v>
      </c>
      <c r="N26" s="242">
        <v>6.5</v>
      </c>
      <c r="O26" s="242">
        <v>7</v>
      </c>
      <c r="P26" s="243">
        <f t="shared" si="1"/>
        <v>7.35</v>
      </c>
      <c r="Q26" s="242"/>
      <c r="R26" s="242"/>
      <c r="S26" s="277">
        <f t="shared" si="2"/>
        <v>2.4499999999999997</v>
      </c>
      <c r="T26" s="277">
        <f t="shared" si="3"/>
        <v>4.7249999999999996</v>
      </c>
      <c r="U26" s="379"/>
      <c r="V26" s="252"/>
      <c r="W26" s="263"/>
      <c r="X26" s="263" t="s">
        <v>141</v>
      </c>
      <c r="Y26" s="255"/>
      <c r="Z26" s="357">
        <f t="shared" si="0"/>
        <v>7.35</v>
      </c>
    </row>
    <row r="27" spans="1:26" s="256" customFormat="1" ht="18" customHeight="1" x14ac:dyDescent="0.2">
      <c r="A27" s="287">
        <v>20</v>
      </c>
      <c r="B27" s="245"/>
      <c r="C27" s="246">
        <v>2022</v>
      </c>
      <c r="D27" s="380" t="s">
        <v>1533</v>
      </c>
      <c r="E27" s="242" t="s">
        <v>1534</v>
      </c>
      <c r="F27" s="242">
        <v>8</v>
      </c>
      <c r="G27" s="242">
        <v>7</v>
      </c>
      <c r="H27" s="320">
        <v>7.5</v>
      </c>
      <c r="I27" s="242">
        <v>7.5</v>
      </c>
      <c r="J27" s="242">
        <v>7</v>
      </c>
      <c r="K27" s="242">
        <v>8</v>
      </c>
      <c r="L27" s="242">
        <v>7</v>
      </c>
      <c r="M27" s="242">
        <v>7</v>
      </c>
      <c r="N27" s="242">
        <v>7.5</v>
      </c>
      <c r="O27" s="242">
        <v>7</v>
      </c>
      <c r="P27" s="243">
        <f t="shared" si="1"/>
        <v>7.35</v>
      </c>
      <c r="Q27" s="242"/>
      <c r="R27" s="242"/>
      <c r="S27" s="277">
        <f t="shared" si="2"/>
        <v>2.4499999999999997</v>
      </c>
      <c r="T27" s="277">
        <f t="shared" si="3"/>
        <v>4.7249999999999996</v>
      </c>
      <c r="U27" s="379"/>
      <c r="V27" s="252"/>
      <c r="W27" s="263"/>
      <c r="X27" s="263" t="s">
        <v>1198</v>
      </c>
      <c r="Y27" s="255"/>
      <c r="Z27" s="357">
        <f t="shared" si="0"/>
        <v>7.35</v>
      </c>
    </row>
    <row r="28" spans="1:26" s="256" customFormat="1" ht="18" customHeight="1" x14ac:dyDescent="0.2">
      <c r="A28" s="287">
        <v>21</v>
      </c>
      <c r="B28" s="245"/>
      <c r="C28" s="246">
        <v>2022</v>
      </c>
      <c r="D28" s="381" t="s">
        <v>1535</v>
      </c>
      <c r="E28" s="242" t="s">
        <v>852</v>
      </c>
      <c r="F28" s="242">
        <v>7.5</v>
      </c>
      <c r="G28" s="242">
        <v>8</v>
      </c>
      <c r="H28" s="242">
        <v>8</v>
      </c>
      <c r="I28" s="242">
        <v>8</v>
      </c>
      <c r="J28" s="242">
        <v>6</v>
      </c>
      <c r="K28" s="242">
        <v>9</v>
      </c>
      <c r="L28" s="242">
        <v>8</v>
      </c>
      <c r="M28" s="242">
        <v>8</v>
      </c>
      <c r="N28" s="242">
        <v>8</v>
      </c>
      <c r="O28" s="242">
        <v>7.5</v>
      </c>
      <c r="P28" s="243">
        <f t="shared" si="1"/>
        <v>7.8</v>
      </c>
      <c r="Q28" s="242"/>
      <c r="R28" s="242"/>
      <c r="S28" s="277">
        <f t="shared" si="2"/>
        <v>2.6</v>
      </c>
      <c r="T28" s="277">
        <f t="shared" si="3"/>
        <v>5.05</v>
      </c>
      <c r="U28" s="379"/>
      <c r="V28" s="252"/>
      <c r="W28" s="300"/>
      <c r="X28" s="261" t="s">
        <v>216</v>
      </c>
      <c r="Y28" s="255"/>
      <c r="Z28" s="357">
        <f t="shared" si="0"/>
        <v>7.8</v>
      </c>
    </row>
    <row r="29" spans="1:26" s="256" customFormat="1" ht="18" customHeight="1" x14ac:dyDescent="0.2">
      <c r="A29" s="287">
        <v>22</v>
      </c>
      <c r="B29" s="245"/>
      <c r="C29" s="246">
        <v>2022</v>
      </c>
      <c r="D29" s="380" t="s">
        <v>1536</v>
      </c>
      <c r="E29" s="242" t="s">
        <v>153</v>
      </c>
      <c r="F29" s="242">
        <v>7</v>
      </c>
      <c r="G29" s="242">
        <v>6.5</v>
      </c>
      <c r="H29" s="242">
        <v>7.5</v>
      </c>
      <c r="I29" s="242">
        <v>7</v>
      </c>
      <c r="J29" s="242">
        <v>6</v>
      </c>
      <c r="K29" s="242">
        <v>8</v>
      </c>
      <c r="L29" s="242">
        <v>7</v>
      </c>
      <c r="M29" s="242">
        <v>7</v>
      </c>
      <c r="N29" s="242">
        <v>7</v>
      </c>
      <c r="O29" s="242">
        <v>7</v>
      </c>
      <c r="P29" s="243">
        <f t="shared" si="1"/>
        <v>7</v>
      </c>
      <c r="Q29" s="242"/>
      <c r="R29" s="242"/>
      <c r="S29" s="277">
        <f t="shared" si="2"/>
        <v>2.3333333333333335</v>
      </c>
      <c r="T29" s="277">
        <f t="shared" si="3"/>
        <v>4.666666666666667</v>
      </c>
      <c r="U29" s="379"/>
      <c r="V29" s="252"/>
      <c r="W29" s="261"/>
      <c r="X29" s="261" t="s">
        <v>17</v>
      </c>
      <c r="Y29" s="255"/>
      <c r="Z29" s="357">
        <f t="shared" si="0"/>
        <v>7</v>
      </c>
    </row>
    <row r="30" spans="1:26" s="256" customFormat="1" ht="18" customHeight="1" thickBot="1" x14ac:dyDescent="0.25">
      <c r="A30" s="383">
        <v>23</v>
      </c>
      <c r="B30" s="245"/>
      <c r="C30" s="246">
        <v>2022</v>
      </c>
      <c r="D30" s="385" t="s">
        <v>1537</v>
      </c>
      <c r="E30" s="386" t="s">
        <v>1520</v>
      </c>
      <c r="F30" s="386">
        <v>8</v>
      </c>
      <c r="G30" s="386">
        <v>8</v>
      </c>
      <c r="H30" s="386">
        <v>8</v>
      </c>
      <c r="I30" s="386">
        <v>8.1999999999999993</v>
      </c>
      <c r="J30" s="386">
        <v>7</v>
      </c>
      <c r="K30" s="386">
        <v>7</v>
      </c>
      <c r="L30" s="386">
        <v>7</v>
      </c>
      <c r="M30" s="386">
        <v>8</v>
      </c>
      <c r="N30" s="386">
        <v>7</v>
      </c>
      <c r="O30" s="386">
        <v>6.5</v>
      </c>
      <c r="P30" s="387">
        <f>SUM(F30:O30)/10</f>
        <v>7.4700000000000006</v>
      </c>
      <c r="Q30" s="386"/>
      <c r="R30" s="386"/>
      <c r="S30" s="387">
        <f t="shared" si="2"/>
        <v>2.4900000000000002</v>
      </c>
      <c r="T30" s="387">
        <f t="shared" si="3"/>
        <v>4.4950000000000001</v>
      </c>
      <c r="U30" s="388"/>
      <c r="V30" s="389"/>
      <c r="W30" s="390"/>
      <c r="X30" s="390" t="s">
        <v>18</v>
      </c>
      <c r="Y30" s="255"/>
      <c r="Z30" s="357">
        <f t="shared" si="0"/>
        <v>7.4700000000000006</v>
      </c>
    </row>
    <row r="31" spans="1:26" s="256" customFormat="1" ht="18" customHeight="1" thickTop="1" x14ac:dyDescent="0.2">
      <c r="A31" s="353">
        <v>24</v>
      </c>
      <c r="B31" s="245"/>
      <c r="C31" s="246">
        <v>2022</v>
      </c>
      <c r="D31" s="391" t="s">
        <v>1538</v>
      </c>
      <c r="E31" s="268" t="s">
        <v>246</v>
      </c>
      <c r="F31" s="268">
        <v>8</v>
      </c>
      <c r="G31" s="268">
        <v>8</v>
      </c>
      <c r="H31" s="268">
        <v>7.5</v>
      </c>
      <c r="I31" s="268">
        <v>7.6</v>
      </c>
      <c r="J31" s="268">
        <v>8</v>
      </c>
      <c r="K31" s="268">
        <v>7</v>
      </c>
      <c r="L31" s="268">
        <v>7.5</v>
      </c>
      <c r="M31" s="268">
        <v>7.5</v>
      </c>
      <c r="N31" s="268">
        <v>7</v>
      </c>
      <c r="O31" s="268">
        <v>7</v>
      </c>
      <c r="P31" s="243">
        <f>SUM(F31:O31)/10</f>
        <v>7.51</v>
      </c>
      <c r="Q31" s="268"/>
      <c r="R31" s="268"/>
      <c r="S31" s="243">
        <f t="shared" si="2"/>
        <v>2.5033333333333334</v>
      </c>
      <c r="T31" s="243">
        <f t="shared" si="3"/>
        <v>4.7516666666666669</v>
      </c>
      <c r="U31" s="252"/>
      <c r="V31" s="358"/>
      <c r="W31" s="261"/>
      <c r="X31" s="261" t="s">
        <v>199</v>
      </c>
      <c r="Y31" s="255"/>
      <c r="Z31" s="357">
        <f t="shared" si="0"/>
        <v>7.51</v>
      </c>
    </row>
    <row r="32" spans="1:26" s="256" customFormat="1" ht="18" customHeight="1" x14ac:dyDescent="0.2">
      <c r="A32" s="287">
        <v>25</v>
      </c>
      <c r="B32" s="245"/>
      <c r="C32" s="246">
        <v>2022</v>
      </c>
      <c r="D32" s="381" t="s">
        <v>1539</v>
      </c>
      <c r="E32" s="242" t="s">
        <v>1540</v>
      </c>
      <c r="F32" s="242">
        <v>6.5</v>
      </c>
      <c r="G32" s="242">
        <v>6.5</v>
      </c>
      <c r="H32" s="242">
        <v>7.5</v>
      </c>
      <c r="I32" s="242">
        <v>7.2</v>
      </c>
      <c r="J32" s="242">
        <v>6</v>
      </c>
      <c r="K32" s="242">
        <v>7</v>
      </c>
      <c r="L32" s="458">
        <v>7</v>
      </c>
      <c r="M32" s="242">
        <v>7</v>
      </c>
      <c r="N32" s="242">
        <v>7.5</v>
      </c>
      <c r="O32" s="242">
        <v>7</v>
      </c>
      <c r="P32" s="243">
        <f>SUM(F32:O32)/10</f>
        <v>6.92</v>
      </c>
      <c r="Q32" s="242"/>
      <c r="R32" s="242"/>
      <c r="S32" s="277">
        <f t="shared" si="2"/>
        <v>2.3066666666666666</v>
      </c>
      <c r="T32" s="277">
        <f t="shared" si="3"/>
        <v>4.6533333333333333</v>
      </c>
      <c r="U32" s="379"/>
      <c r="V32" s="252"/>
      <c r="W32" s="263"/>
      <c r="X32" s="263" t="s">
        <v>226</v>
      </c>
      <c r="Y32" s="255"/>
      <c r="Z32" s="357">
        <f t="shared" si="0"/>
        <v>6.92</v>
      </c>
    </row>
    <row r="33" spans="1:26" s="256" customFormat="1" ht="18" customHeight="1" x14ac:dyDescent="0.2">
      <c r="A33" s="287">
        <v>26</v>
      </c>
      <c r="B33" s="245"/>
      <c r="C33" s="246">
        <v>2022</v>
      </c>
      <c r="D33" s="392" t="s">
        <v>1541</v>
      </c>
      <c r="E33" s="242" t="s">
        <v>856</v>
      </c>
      <c r="F33" s="242">
        <v>7.5</v>
      </c>
      <c r="G33" s="242">
        <v>7</v>
      </c>
      <c r="H33" s="242">
        <v>7</v>
      </c>
      <c r="I33" s="242">
        <v>7.5</v>
      </c>
      <c r="J33" s="242">
        <v>8</v>
      </c>
      <c r="K33" s="242">
        <v>7</v>
      </c>
      <c r="L33" s="242">
        <v>7</v>
      </c>
      <c r="M33" s="242">
        <v>6.5</v>
      </c>
      <c r="N33" s="242">
        <v>7.5</v>
      </c>
      <c r="O33" s="242">
        <v>6.5</v>
      </c>
      <c r="P33" s="243">
        <f t="shared" ref="P33:P56" si="4">SUM(F33:O33)/10</f>
        <v>7.15</v>
      </c>
      <c r="Q33" s="242"/>
      <c r="R33" s="242"/>
      <c r="S33" s="277">
        <f t="shared" si="2"/>
        <v>2.3833333333333333</v>
      </c>
      <c r="T33" s="277">
        <f t="shared" si="3"/>
        <v>4.4416666666666664</v>
      </c>
      <c r="U33" s="379"/>
      <c r="V33" s="252"/>
      <c r="W33" s="263"/>
      <c r="X33" s="263" t="s">
        <v>282</v>
      </c>
      <c r="Y33" s="255"/>
      <c r="Z33" s="357">
        <f t="shared" si="0"/>
        <v>7.15</v>
      </c>
    </row>
    <row r="34" spans="1:26" s="256" customFormat="1" ht="18" customHeight="1" x14ac:dyDescent="0.2">
      <c r="A34" s="287">
        <v>27</v>
      </c>
      <c r="B34" s="245"/>
      <c r="C34" s="246">
        <v>2022</v>
      </c>
      <c r="D34" s="393" t="s">
        <v>1542</v>
      </c>
      <c r="E34" s="242" t="s">
        <v>755</v>
      </c>
      <c r="F34" s="242">
        <v>8</v>
      </c>
      <c r="G34" s="242">
        <v>6.5</v>
      </c>
      <c r="H34" s="242">
        <v>7</v>
      </c>
      <c r="I34" s="242">
        <v>7</v>
      </c>
      <c r="J34" s="242">
        <v>7</v>
      </c>
      <c r="K34" s="242">
        <v>7</v>
      </c>
      <c r="L34" s="242">
        <v>7</v>
      </c>
      <c r="M34" s="242">
        <v>6</v>
      </c>
      <c r="N34" s="242">
        <v>6.5</v>
      </c>
      <c r="O34" s="242">
        <v>6.5</v>
      </c>
      <c r="P34" s="243">
        <f t="shared" si="4"/>
        <v>6.85</v>
      </c>
      <c r="Q34" s="242"/>
      <c r="R34" s="242"/>
      <c r="S34" s="277">
        <f t="shared" si="2"/>
        <v>2.2833333333333332</v>
      </c>
      <c r="T34" s="277">
        <f t="shared" si="3"/>
        <v>4.3916666666666666</v>
      </c>
      <c r="U34" s="379"/>
      <c r="V34" s="252"/>
      <c r="W34" s="394"/>
      <c r="X34" s="261" t="s">
        <v>182</v>
      </c>
      <c r="Y34" s="255"/>
      <c r="Z34" s="357">
        <f t="shared" si="0"/>
        <v>6.85</v>
      </c>
    </row>
    <row r="35" spans="1:26" s="256" customFormat="1" ht="18" customHeight="1" x14ac:dyDescent="0.2">
      <c r="A35" s="287">
        <v>28</v>
      </c>
      <c r="B35" s="245"/>
      <c r="C35" s="246">
        <v>2022</v>
      </c>
      <c r="D35" s="381" t="s">
        <v>1543</v>
      </c>
      <c r="E35" s="242" t="s">
        <v>1190</v>
      </c>
      <c r="F35" s="242">
        <v>8</v>
      </c>
      <c r="G35" s="242">
        <v>7</v>
      </c>
      <c r="H35" s="242">
        <v>7</v>
      </c>
      <c r="I35" s="242">
        <v>7</v>
      </c>
      <c r="J35" s="242">
        <v>7</v>
      </c>
      <c r="K35" s="242">
        <v>7</v>
      </c>
      <c r="L35" s="242">
        <v>7</v>
      </c>
      <c r="M35" s="242">
        <v>7</v>
      </c>
      <c r="N35" s="242">
        <v>7.5</v>
      </c>
      <c r="O35" s="242">
        <v>7</v>
      </c>
      <c r="P35" s="243">
        <f t="shared" si="4"/>
        <v>7.15</v>
      </c>
      <c r="Q35" s="242"/>
      <c r="R35" s="242"/>
      <c r="S35" s="277">
        <f t="shared" si="2"/>
        <v>2.3833333333333333</v>
      </c>
      <c r="T35" s="277">
        <f t="shared" si="3"/>
        <v>4.6916666666666664</v>
      </c>
      <c r="U35" s="379"/>
      <c r="V35" s="252"/>
      <c r="W35" s="263"/>
      <c r="X35" s="261" t="s">
        <v>207</v>
      </c>
      <c r="Y35" s="255"/>
      <c r="Z35" s="357">
        <f t="shared" si="0"/>
        <v>7.15</v>
      </c>
    </row>
    <row r="36" spans="1:26" s="256" customFormat="1" ht="18" customHeight="1" x14ac:dyDescent="0.2">
      <c r="A36" s="287">
        <v>29</v>
      </c>
      <c r="B36" s="245"/>
      <c r="C36" s="246">
        <v>2022</v>
      </c>
      <c r="D36" s="381" t="s">
        <v>1544</v>
      </c>
      <c r="E36" s="242" t="s">
        <v>942</v>
      </c>
      <c r="F36" s="242">
        <v>8</v>
      </c>
      <c r="G36" s="242">
        <v>8</v>
      </c>
      <c r="H36" s="242">
        <v>7.5</v>
      </c>
      <c r="I36" s="242">
        <v>7.8</v>
      </c>
      <c r="J36" s="268">
        <v>7</v>
      </c>
      <c r="K36" s="242">
        <v>7</v>
      </c>
      <c r="L36" s="242">
        <v>7.5</v>
      </c>
      <c r="M36" s="242">
        <v>7</v>
      </c>
      <c r="N36" s="242">
        <v>6.5</v>
      </c>
      <c r="O36" s="242">
        <v>7</v>
      </c>
      <c r="P36" s="243">
        <f t="shared" si="4"/>
        <v>7.33</v>
      </c>
      <c r="Q36" s="242"/>
      <c r="R36" s="242"/>
      <c r="S36" s="277">
        <f t="shared" si="2"/>
        <v>2.4433333333333334</v>
      </c>
      <c r="T36" s="277">
        <f t="shared" si="3"/>
        <v>4.7216666666666667</v>
      </c>
      <c r="U36" s="379"/>
      <c r="V36" s="252"/>
      <c r="W36" s="263"/>
      <c r="X36" s="261" t="s">
        <v>180</v>
      </c>
      <c r="Y36" s="255"/>
      <c r="Z36" s="357">
        <f t="shared" si="0"/>
        <v>7.33</v>
      </c>
    </row>
    <row r="37" spans="1:26" s="256" customFormat="1" ht="18" customHeight="1" x14ac:dyDescent="0.2">
      <c r="A37" s="287">
        <v>30</v>
      </c>
      <c r="B37" s="245"/>
      <c r="C37" s="246">
        <v>2022</v>
      </c>
      <c r="D37" s="381" t="s">
        <v>1545</v>
      </c>
      <c r="E37" s="242" t="s">
        <v>544</v>
      </c>
      <c r="F37" s="242">
        <v>8</v>
      </c>
      <c r="G37" s="242">
        <v>7</v>
      </c>
      <c r="H37" s="242">
        <v>8</v>
      </c>
      <c r="I37" s="242">
        <v>7.4</v>
      </c>
      <c r="J37" s="242">
        <v>8</v>
      </c>
      <c r="K37" s="242">
        <v>7</v>
      </c>
      <c r="L37" s="242">
        <v>7</v>
      </c>
      <c r="M37" s="242">
        <v>7.5</v>
      </c>
      <c r="N37" s="242">
        <v>7.5</v>
      </c>
      <c r="O37" s="242">
        <v>7</v>
      </c>
      <c r="P37" s="243">
        <f t="shared" si="4"/>
        <v>7.44</v>
      </c>
      <c r="Q37" s="242"/>
      <c r="R37" s="242"/>
      <c r="S37" s="277">
        <f t="shared" si="2"/>
        <v>2.48</v>
      </c>
      <c r="T37" s="277">
        <f t="shared" si="3"/>
        <v>4.74</v>
      </c>
      <c r="U37" s="379"/>
      <c r="V37" s="252"/>
      <c r="W37" s="263"/>
      <c r="X37" s="261" t="s">
        <v>218</v>
      </c>
      <c r="Y37" s="255"/>
      <c r="Z37" s="357">
        <f t="shared" si="0"/>
        <v>7.44</v>
      </c>
    </row>
    <row r="38" spans="1:26" s="256" customFormat="1" ht="18" customHeight="1" x14ac:dyDescent="0.2">
      <c r="A38" s="287">
        <v>31</v>
      </c>
      <c r="B38" s="245"/>
      <c r="C38" s="246">
        <v>2022</v>
      </c>
      <c r="D38" s="276" t="s">
        <v>1546</v>
      </c>
      <c r="E38" s="294" t="s">
        <v>1547</v>
      </c>
      <c r="F38" s="242">
        <v>7</v>
      </c>
      <c r="G38" s="242">
        <v>7</v>
      </c>
      <c r="H38" s="242">
        <v>7.5</v>
      </c>
      <c r="I38" s="242">
        <v>7</v>
      </c>
      <c r="J38" s="242">
        <v>5</v>
      </c>
      <c r="K38" s="242">
        <v>7</v>
      </c>
      <c r="L38" s="242">
        <v>7</v>
      </c>
      <c r="M38" s="242">
        <v>7.5</v>
      </c>
      <c r="N38" s="242">
        <v>7</v>
      </c>
      <c r="O38" s="242">
        <v>7</v>
      </c>
      <c r="P38" s="243">
        <f t="shared" si="4"/>
        <v>6.9</v>
      </c>
      <c r="Q38" s="242"/>
      <c r="R38" s="242"/>
      <c r="S38" s="242"/>
      <c r="T38" s="277">
        <f>SUM(Q38:S38)/3</f>
        <v>0</v>
      </c>
      <c r="U38" s="277">
        <f>SUM(P38+T38)/2</f>
        <v>3.45</v>
      </c>
      <c r="V38" s="252"/>
      <c r="W38" s="273"/>
      <c r="X38" s="263" t="s">
        <v>1605</v>
      </c>
      <c r="Y38" s="255"/>
      <c r="Z38" s="357">
        <f t="shared" si="0"/>
        <v>6.9</v>
      </c>
    </row>
    <row r="39" spans="1:26" s="256" customFormat="1" ht="18" customHeight="1" x14ac:dyDescent="0.2">
      <c r="A39" s="287">
        <v>32</v>
      </c>
      <c r="B39" s="245"/>
      <c r="C39" s="246">
        <v>2022</v>
      </c>
      <c r="D39" s="276" t="s">
        <v>1548</v>
      </c>
      <c r="E39" s="294" t="s">
        <v>1148</v>
      </c>
      <c r="F39" s="242">
        <v>8</v>
      </c>
      <c r="G39" s="242">
        <v>8</v>
      </c>
      <c r="H39" s="242">
        <v>7.5</v>
      </c>
      <c r="I39" s="242">
        <v>7.6</v>
      </c>
      <c r="J39" s="242">
        <v>7</v>
      </c>
      <c r="K39" s="242">
        <v>8</v>
      </c>
      <c r="L39" s="242">
        <v>7.5</v>
      </c>
      <c r="M39" s="242">
        <v>8</v>
      </c>
      <c r="N39" s="242">
        <v>7.5</v>
      </c>
      <c r="O39" s="242">
        <v>7</v>
      </c>
      <c r="P39" s="243">
        <f t="shared" si="4"/>
        <v>7.6099999999999994</v>
      </c>
      <c r="Q39" s="242"/>
      <c r="R39" s="242"/>
      <c r="S39" s="242"/>
      <c r="T39" s="277">
        <f>SUM(Q39:S39)/3</f>
        <v>0</v>
      </c>
      <c r="U39" s="277">
        <f>SUM(P39+T39)/2</f>
        <v>3.8049999999999997</v>
      </c>
      <c r="V39" s="252"/>
      <c r="W39" s="273"/>
      <c r="X39" s="263" t="s">
        <v>207</v>
      </c>
      <c r="Y39" s="255"/>
      <c r="Z39" s="357">
        <f t="shared" si="0"/>
        <v>7.6099999999999994</v>
      </c>
    </row>
    <row r="40" spans="1:26" s="256" customFormat="1" ht="18" customHeight="1" x14ac:dyDescent="0.2">
      <c r="A40" s="287">
        <v>33</v>
      </c>
      <c r="B40" s="245"/>
      <c r="C40" s="246">
        <v>2022</v>
      </c>
      <c r="D40" s="276" t="s">
        <v>1549</v>
      </c>
      <c r="E40" s="294" t="s">
        <v>1550</v>
      </c>
      <c r="F40" s="242">
        <v>7.5</v>
      </c>
      <c r="G40" s="242">
        <v>6.5</v>
      </c>
      <c r="H40" s="242">
        <v>6.5</v>
      </c>
      <c r="I40" s="242">
        <v>7</v>
      </c>
      <c r="J40" s="242">
        <v>7</v>
      </c>
      <c r="K40" s="242">
        <v>8</v>
      </c>
      <c r="L40" s="242">
        <v>7</v>
      </c>
      <c r="M40" s="242">
        <v>7</v>
      </c>
      <c r="N40" s="242">
        <v>7</v>
      </c>
      <c r="O40" s="242">
        <v>7</v>
      </c>
      <c r="P40" s="243">
        <f t="shared" si="4"/>
        <v>7.05</v>
      </c>
      <c r="Q40" s="242"/>
      <c r="R40" s="242"/>
      <c r="S40" s="242"/>
      <c r="T40" s="277"/>
      <c r="U40" s="277"/>
      <c r="V40" s="252"/>
      <c r="W40" s="273"/>
      <c r="X40" s="261" t="s">
        <v>1198</v>
      </c>
      <c r="Y40" s="255"/>
      <c r="Z40" s="357">
        <f t="shared" si="0"/>
        <v>7.05</v>
      </c>
    </row>
    <row r="41" spans="1:26" s="256" customFormat="1" ht="18" customHeight="1" x14ac:dyDescent="0.2">
      <c r="A41" s="287">
        <v>34</v>
      </c>
      <c r="B41" s="245"/>
      <c r="C41" s="246">
        <v>2022</v>
      </c>
      <c r="D41" s="276" t="s">
        <v>1551</v>
      </c>
      <c r="E41" s="294" t="s">
        <v>1552</v>
      </c>
      <c r="F41" s="242">
        <v>8</v>
      </c>
      <c r="G41" s="242">
        <v>8</v>
      </c>
      <c r="H41" s="242">
        <v>7.5</v>
      </c>
      <c r="I41" s="242">
        <v>6.8</v>
      </c>
      <c r="J41" s="242">
        <v>7</v>
      </c>
      <c r="K41" s="242">
        <v>8</v>
      </c>
      <c r="L41" s="242">
        <v>7.5</v>
      </c>
      <c r="M41" s="242">
        <v>7.5</v>
      </c>
      <c r="N41" s="242">
        <v>7.5</v>
      </c>
      <c r="O41" s="242">
        <v>7</v>
      </c>
      <c r="P41" s="243">
        <f t="shared" si="4"/>
        <v>7.4799999999999995</v>
      </c>
      <c r="Q41" s="242"/>
      <c r="R41" s="242"/>
      <c r="S41" s="242"/>
      <c r="T41" s="277"/>
      <c r="U41" s="277"/>
      <c r="V41" s="252"/>
      <c r="W41" s="273"/>
      <c r="X41" s="261" t="s">
        <v>141</v>
      </c>
      <c r="Y41" s="255"/>
      <c r="Z41" s="357">
        <f t="shared" si="0"/>
        <v>7.4799999999999995</v>
      </c>
    </row>
    <row r="42" spans="1:26" s="256" customFormat="1" ht="18" customHeight="1" x14ac:dyDescent="0.2">
      <c r="A42" s="287">
        <v>35</v>
      </c>
      <c r="B42" s="245"/>
      <c r="C42" s="246">
        <v>2022</v>
      </c>
      <c r="D42" s="376" t="s">
        <v>1553</v>
      </c>
      <c r="E42" s="242" t="s">
        <v>1554</v>
      </c>
      <c r="F42" s="242">
        <v>6</v>
      </c>
      <c r="G42" s="242">
        <v>8</v>
      </c>
      <c r="H42" s="242">
        <v>7.5</v>
      </c>
      <c r="I42" s="242">
        <v>7</v>
      </c>
      <c r="J42" s="242">
        <v>7</v>
      </c>
      <c r="K42" s="242">
        <v>8</v>
      </c>
      <c r="L42" s="242">
        <v>7.5</v>
      </c>
      <c r="M42" s="242">
        <v>7.5</v>
      </c>
      <c r="N42" s="242">
        <v>7.5</v>
      </c>
      <c r="O42" s="242">
        <v>7.5</v>
      </c>
      <c r="P42" s="243">
        <f t="shared" si="4"/>
        <v>7.35</v>
      </c>
      <c r="Q42" s="242"/>
      <c r="R42" s="242"/>
      <c r="S42" s="277">
        <f>SUM(P42:R42)/3</f>
        <v>2.4499999999999997</v>
      </c>
      <c r="T42" s="277">
        <f>SUM(O42+S42)/2</f>
        <v>4.9749999999999996</v>
      </c>
      <c r="U42" s="379"/>
      <c r="V42" s="252"/>
      <c r="W42" s="263"/>
      <c r="X42" s="263" t="s">
        <v>186</v>
      </c>
      <c r="Y42" s="255"/>
      <c r="Z42" s="357">
        <f t="shared" si="0"/>
        <v>7.35</v>
      </c>
    </row>
    <row r="43" spans="1:26" s="256" customFormat="1" ht="18" customHeight="1" x14ac:dyDescent="0.2">
      <c r="A43" s="287">
        <v>36</v>
      </c>
      <c r="B43" s="245"/>
      <c r="C43" s="246">
        <v>2022</v>
      </c>
      <c r="D43" s="378" t="s">
        <v>1555</v>
      </c>
      <c r="E43" s="242" t="s">
        <v>1006</v>
      </c>
      <c r="F43" s="242">
        <v>7.5</v>
      </c>
      <c r="G43" s="242">
        <v>8</v>
      </c>
      <c r="H43" s="242">
        <v>7.5</v>
      </c>
      <c r="I43" s="242">
        <v>7.8</v>
      </c>
      <c r="J43" s="268">
        <v>6</v>
      </c>
      <c r="K43" s="242">
        <v>8</v>
      </c>
      <c r="L43" s="242">
        <v>7</v>
      </c>
      <c r="M43" s="242">
        <v>7</v>
      </c>
      <c r="N43" s="242">
        <v>7</v>
      </c>
      <c r="O43" s="242">
        <v>7</v>
      </c>
      <c r="P43" s="243">
        <f t="shared" si="4"/>
        <v>7.2799999999999994</v>
      </c>
      <c r="Q43" s="268"/>
      <c r="R43" s="268"/>
      <c r="S43" s="243">
        <f>SUM(P43:R43)/3</f>
        <v>2.4266666666666663</v>
      </c>
      <c r="T43" s="243">
        <f>SUM(O43+S43)/2</f>
        <v>4.7133333333333329</v>
      </c>
      <c r="U43" s="252"/>
      <c r="V43" s="252"/>
      <c r="W43" s="263"/>
      <c r="X43" s="263" t="s">
        <v>235</v>
      </c>
      <c r="Y43" s="255"/>
      <c r="Z43" s="357">
        <f t="shared" si="0"/>
        <v>7.2799999999999994</v>
      </c>
    </row>
    <row r="44" spans="1:26" s="256" customFormat="1" ht="18" customHeight="1" x14ac:dyDescent="0.2">
      <c r="A44" s="287">
        <v>37</v>
      </c>
      <c r="B44" s="245"/>
      <c r="C44" s="246">
        <v>2022</v>
      </c>
      <c r="D44" s="376" t="s">
        <v>1556</v>
      </c>
      <c r="E44" s="242" t="s">
        <v>152</v>
      </c>
      <c r="F44" s="242">
        <v>7</v>
      </c>
      <c r="G44" s="242">
        <v>6</v>
      </c>
      <c r="H44" s="242">
        <v>6</v>
      </c>
      <c r="I44" s="242">
        <v>7</v>
      </c>
      <c r="J44" s="268">
        <v>7</v>
      </c>
      <c r="K44" s="242">
        <v>7</v>
      </c>
      <c r="L44" s="242">
        <v>7</v>
      </c>
      <c r="M44" s="242">
        <v>6</v>
      </c>
      <c r="N44" s="242">
        <v>6.5</v>
      </c>
      <c r="O44" s="242">
        <v>7</v>
      </c>
      <c r="P44" s="243">
        <f t="shared" si="4"/>
        <v>6.65</v>
      </c>
      <c r="Q44" s="242"/>
      <c r="R44" s="242"/>
      <c r="S44" s="277">
        <f>SUM(P44:R44)/3</f>
        <v>2.2166666666666668</v>
      </c>
      <c r="T44" s="277">
        <f>SUM(O44+S44)/2</f>
        <v>4.6083333333333334</v>
      </c>
      <c r="U44" s="379"/>
      <c r="V44" s="252"/>
      <c r="W44" s="263"/>
      <c r="X44" s="261" t="s">
        <v>141</v>
      </c>
      <c r="Y44" s="255"/>
      <c r="Z44" s="357">
        <f t="shared" si="0"/>
        <v>6.65</v>
      </c>
    </row>
    <row r="45" spans="1:26" s="256" customFormat="1" ht="18" customHeight="1" x14ac:dyDescent="0.2">
      <c r="A45" s="287">
        <v>38</v>
      </c>
      <c r="B45" s="245"/>
      <c r="C45" s="246">
        <v>2022</v>
      </c>
      <c r="D45" s="276" t="s">
        <v>1557</v>
      </c>
      <c r="E45" s="294" t="s">
        <v>152</v>
      </c>
      <c r="F45" s="242">
        <v>7.5</v>
      </c>
      <c r="G45" s="242">
        <v>8</v>
      </c>
      <c r="H45" s="242">
        <v>8</v>
      </c>
      <c r="I45" s="242">
        <v>8</v>
      </c>
      <c r="J45" s="242">
        <v>8</v>
      </c>
      <c r="K45" s="242">
        <v>8</v>
      </c>
      <c r="L45" s="242">
        <v>7.5</v>
      </c>
      <c r="M45" s="242">
        <v>7</v>
      </c>
      <c r="N45" s="242">
        <v>7</v>
      </c>
      <c r="O45" s="242">
        <v>7</v>
      </c>
      <c r="P45" s="243">
        <f t="shared" si="4"/>
        <v>7.6</v>
      </c>
      <c r="Q45" s="242"/>
      <c r="R45" s="242"/>
      <c r="S45" s="242"/>
      <c r="T45" s="277">
        <f>SUM(Q45:S45)/3</f>
        <v>0</v>
      </c>
      <c r="U45" s="277">
        <f>SUM(P45+T45)/2</f>
        <v>3.8</v>
      </c>
      <c r="V45" s="252"/>
      <c r="W45" s="273"/>
      <c r="X45" s="263" t="s">
        <v>282</v>
      </c>
      <c r="Y45" s="255"/>
      <c r="Z45" s="357">
        <f t="shared" si="0"/>
        <v>7.6</v>
      </c>
    </row>
    <row r="46" spans="1:26" s="256" customFormat="1" ht="18" customHeight="1" x14ac:dyDescent="0.2">
      <c r="A46" s="287">
        <v>39</v>
      </c>
      <c r="B46" s="245"/>
      <c r="C46" s="246">
        <v>2022</v>
      </c>
      <c r="D46" s="376" t="s">
        <v>1558</v>
      </c>
      <c r="E46" s="242" t="s">
        <v>1559</v>
      </c>
      <c r="F46" s="242">
        <v>6.5</v>
      </c>
      <c r="G46" s="242">
        <v>7.5</v>
      </c>
      <c r="H46" s="242">
        <v>7</v>
      </c>
      <c r="I46" s="242">
        <v>7</v>
      </c>
      <c r="J46" s="242">
        <v>7</v>
      </c>
      <c r="K46" s="242">
        <v>7</v>
      </c>
      <c r="L46" s="242">
        <v>6</v>
      </c>
      <c r="M46" s="242">
        <v>6.5</v>
      </c>
      <c r="N46" s="242">
        <v>7</v>
      </c>
      <c r="O46" s="242">
        <v>6.5</v>
      </c>
      <c r="P46" s="243">
        <f t="shared" si="4"/>
        <v>6.8</v>
      </c>
      <c r="Q46" s="242"/>
      <c r="R46" s="242"/>
      <c r="S46" s="277">
        <f t="shared" ref="S46:S73" si="5">SUM(P46:R46)/3</f>
        <v>2.2666666666666666</v>
      </c>
      <c r="T46" s="277">
        <f t="shared" ref="T46:T73" si="6">SUM(O46+S46)/2</f>
        <v>4.3833333333333329</v>
      </c>
      <c r="U46" s="379"/>
      <c r="V46" s="252"/>
      <c r="W46" s="263"/>
      <c r="X46" s="261" t="s">
        <v>190</v>
      </c>
      <c r="Y46" s="255"/>
      <c r="Z46" s="357">
        <f t="shared" si="0"/>
        <v>6.8</v>
      </c>
    </row>
    <row r="47" spans="1:26" s="256" customFormat="1" ht="18" customHeight="1" x14ac:dyDescent="0.2">
      <c r="A47" s="287">
        <v>40</v>
      </c>
      <c r="B47" s="245"/>
      <c r="C47" s="246">
        <v>2022</v>
      </c>
      <c r="D47" s="376" t="s">
        <v>1560</v>
      </c>
      <c r="E47" s="242" t="s">
        <v>1561</v>
      </c>
      <c r="F47" s="242">
        <v>8</v>
      </c>
      <c r="G47" s="242">
        <v>8</v>
      </c>
      <c r="H47" s="242">
        <v>7.5</v>
      </c>
      <c r="I47" s="242">
        <v>7.6</v>
      </c>
      <c r="J47" s="242">
        <v>7</v>
      </c>
      <c r="K47" s="242">
        <v>8</v>
      </c>
      <c r="L47" s="242">
        <v>7.5</v>
      </c>
      <c r="M47" s="242">
        <v>8</v>
      </c>
      <c r="N47" s="242">
        <v>7</v>
      </c>
      <c r="O47" s="242">
        <v>6.5</v>
      </c>
      <c r="P47" s="243">
        <f t="shared" si="4"/>
        <v>7.51</v>
      </c>
      <c r="Q47" s="242"/>
      <c r="R47" s="242"/>
      <c r="S47" s="277">
        <f t="shared" si="5"/>
        <v>2.5033333333333334</v>
      </c>
      <c r="T47" s="277">
        <f t="shared" si="6"/>
        <v>4.5016666666666669</v>
      </c>
      <c r="U47" s="379"/>
      <c r="V47" s="252"/>
      <c r="W47" s="300"/>
      <c r="X47" s="261" t="s">
        <v>169</v>
      </c>
      <c r="Y47" s="255"/>
      <c r="Z47" s="357">
        <f t="shared" si="0"/>
        <v>7.51</v>
      </c>
    </row>
    <row r="48" spans="1:26" s="256" customFormat="1" ht="18" customHeight="1" x14ac:dyDescent="0.2">
      <c r="A48" s="287">
        <v>41</v>
      </c>
      <c r="B48" s="245"/>
      <c r="C48" s="246">
        <v>2022</v>
      </c>
      <c r="D48" s="376" t="s">
        <v>1562</v>
      </c>
      <c r="E48" s="242" t="s">
        <v>785</v>
      </c>
      <c r="F48" s="242">
        <v>8</v>
      </c>
      <c r="G48" s="242">
        <v>8</v>
      </c>
      <c r="H48" s="242">
        <v>7.5</v>
      </c>
      <c r="I48" s="242">
        <v>7.4</v>
      </c>
      <c r="J48" s="242">
        <v>7</v>
      </c>
      <c r="K48" s="242">
        <v>8</v>
      </c>
      <c r="L48" s="242">
        <v>7.5</v>
      </c>
      <c r="M48" s="242">
        <v>8</v>
      </c>
      <c r="N48" s="242">
        <v>6.5</v>
      </c>
      <c r="O48" s="242">
        <v>7</v>
      </c>
      <c r="P48" s="243">
        <f t="shared" si="4"/>
        <v>7.49</v>
      </c>
      <c r="Q48" s="242"/>
      <c r="R48" s="242"/>
      <c r="S48" s="277">
        <f t="shared" si="5"/>
        <v>2.4966666666666666</v>
      </c>
      <c r="T48" s="277">
        <f t="shared" si="6"/>
        <v>4.7483333333333331</v>
      </c>
      <c r="U48" s="379"/>
      <c r="V48" s="252"/>
      <c r="W48" s="263"/>
      <c r="X48" s="263" t="s">
        <v>200</v>
      </c>
      <c r="Y48" s="255"/>
      <c r="Z48" s="357">
        <f t="shared" si="0"/>
        <v>7.49</v>
      </c>
    </row>
    <row r="49" spans="1:26" s="256" customFormat="1" ht="18" customHeight="1" x14ac:dyDescent="0.2">
      <c r="A49" s="287">
        <v>42</v>
      </c>
      <c r="B49" s="245"/>
      <c r="C49" s="246">
        <v>2022</v>
      </c>
      <c r="D49" s="376" t="s">
        <v>1563</v>
      </c>
      <c r="E49" s="242" t="s">
        <v>1564</v>
      </c>
      <c r="F49" s="242">
        <v>8</v>
      </c>
      <c r="G49" s="242">
        <v>8</v>
      </c>
      <c r="H49" s="242">
        <v>8</v>
      </c>
      <c r="I49" s="242">
        <v>8</v>
      </c>
      <c r="J49" s="242">
        <v>5</v>
      </c>
      <c r="K49" s="242">
        <v>9</v>
      </c>
      <c r="L49" s="242">
        <v>8</v>
      </c>
      <c r="M49" s="242">
        <v>8</v>
      </c>
      <c r="N49" s="242">
        <v>8</v>
      </c>
      <c r="O49" s="242">
        <v>8</v>
      </c>
      <c r="P49" s="243">
        <f t="shared" si="4"/>
        <v>7.8</v>
      </c>
      <c r="Q49" s="242"/>
      <c r="R49" s="242"/>
      <c r="S49" s="277">
        <f t="shared" si="5"/>
        <v>2.6</v>
      </c>
      <c r="T49" s="277">
        <f t="shared" si="6"/>
        <v>5.3</v>
      </c>
      <c r="U49" s="379"/>
      <c r="V49" s="252"/>
      <c r="W49" s="263"/>
      <c r="X49" s="263" t="s">
        <v>174</v>
      </c>
      <c r="Y49" s="255"/>
      <c r="Z49" s="357">
        <f t="shared" si="0"/>
        <v>7.8</v>
      </c>
    </row>
    <row r="50" spans="1:26" s="256" customFormat="1" ht="18" customHeight="1" x14ac:dyDescent="0.2">
      <c r="A50" s="287">
        <v>43</v>
      </c>
      <c r="B50" s="245"/>
      <c r="C50" s="246">
        <v>2022</v>
      </c>
      <c r="D50" s="376" t="s">
        <v>1565</v>
      </c>
      <c r="E50" s="242" t="s">
        <v>505</v>
      </c>
      <c r="F50" s="242">
        <v>7.5</v>
      </c>
      <c r="G50" s="242">
        <v>8</v>
      </c>
      <c r="H50" s="242">
        <v>8</v>
      </c>
      <c r="I50" s="242">
        <v>7</v>
      </c>
      <c r="J50" s="242">
        <v>7</v>
      </c>
      <c r="K50" s="242">
        <v>7</v>
      </c>
      <c r="L50" s="242">
        <v>8</v>
      </c>
      <c r="M50" s="242">
        <v>7.5</v>
      </c>
      <c r="N50" s="242">
        <v>7</v>
      </c>
      <c r="O50" s="242">
        <v>7</v>
      </c>
      <c r="P50" s="243">
        <f t="shared" si="4"/>
        <v>7.4</v>
      </c>
      <c r="Q50" s="242"/>
      <c r="R50" s="242"/>
      <c r="S50" s="277">
        <f>SUM(P50:R50)/3</f>
        <v>2.4666666666666668</v>
      </c>
      <c r="T50" s="277">
        <f>SUM(O50+S50)/2</f>
        <v>4.7333333333333334</v>
      </c>
      <c r="U50" s="379"/>
      <c r="V50" s="252"/>
      <c r="W50" s="263"/>
      <c r="X50" s="261" t="s">
        <v>218</v>
      </c>
      <c r="Y50" s="255"/>
      <c r="Z50" s="357">
        <f t="shared" si="0"/>
        <v>7.4</v>
      </c>
    </row>
    <row r="51" spans="1:26" s="256" customFormat="1" ht="18" customHeight="1" x14ac:dyDescent="0.2">
      <c r="A51" s="287">
        <v>44</v>
      </c>
      <c r="B51" s="245"/>
      <c r="C51" s="246">
        <v>2022</v>
      </c>
      <c r="D51" s="376" t="s">
        <v>1566</v>
      </c>
      <c r="E51" s="242" t="s">
        <v>825</v>
      </c>
      <c r="F51" s="242">
        <v>8</v>
      </c>
      <c r="G51" s="242">
        <v>7.5</v>
      </c>
      <c r="H51" s="242">
        <v>7.5</v>
      </c>
      <c r="I51" s="242">
        <v>7</v>
      </c>
      <c r="J51" s="242">
        <v>6</v>
      </c>
      <c r="K51" s="242">
        <v>7</v>
      </c>
      <c r="L51" s="242">
        <v>7.5</v>
      </c>
      <c r="M51" s="242">
        <v>7.5</v>
      </c>
      <c r="N51" s="242">
        <v>7.5</v>
      </c>
      <c r="O51" s="242">
        <v>7.5</v>
      </c>
      <c r="P51" s="243">
        <f t="shared" si="4"/>
        <v>7.3</v>
      </c>
      <c r="Q51" s="242"/>
      <c r="R51" s="242"/>
      <c r="S51" s="277">
        <f t="shared" si="5"/>
        <v>2.4333333333333331</v>
      </c>
      <c r="T51" s="277">
        <f t="shared" si="6"/>
        <v>4.9666666666666668</v>
      </c>
      <c r="U51" s="379"/>
      <c r="V51" s="252"/>
      <c r="W51" s="263"/>
      <c r="X51" s="261" t="s">
        <v>171</v>
      </c>
      <c r="Y51" s="255"/>
      <c r="Z51" s="357">
        <f t="shared" si="0"/>
        <v>7.3</v>
      </c>
    </row>
    <row r="52" spans="1:26" s="256" customFormat="1" ht="18" customHeight="1" x14ac:dyDescent="0.2">
      <c r="A52" s="287">
        <v>45</v>
      </c>
      <c r="B52" s="245"/>
      <c r="C52" s="246">
        <v>2022</v>
      </c>
      <c r="D52" s="376" t="s">
        <v>1567</v>
      </c>
      <c r="E52" s="242" t="s">
        <v>1568</v>
      </c>
      <c r="F52" s="242">
        <v>8</v>
      </c>
      <c r="G52" s="242">
        <v>8</v>
      </c>
      <c r="H52" s="242">
        <v>8</v>
      </c>
      <c r="I52" s="242">
        <v>7.5</v>
      </c>
      <c r="J52" s="242">
        <v>7</v>
      </c>
      <c r="K52" s="242">
        <v>8</v>
      </c>
      <c r="L52" s="242">
        <v>7</v>
      </c>
      <c r="M52" s="242">
        <v>8</v>
      </c>
      <c r="N52" s="242">
        <v>7.5</v>
      </c>
      <c r="O52" s="242">
        <v>7</v>
      </c>
      <c r="P52" s="243">
        <f t="shared" si="4"/>
        <v>7.6</v>
      </c>
      <c r="Q52" s="242"/>
      <c r="R52" s="242"/>
      <c r="S52" s="277">
        <f t="shared" si="5"/>
        <v>2.5333333333333332</v>
      </c>
      <c r="T52" s="277">
        <f t="shared" si="6"/>
        <v>4.7666666666666666</v>
      </c>
      <c r="U52" s="379"/>
      <c r="V52" s="252"/>
      <c r="W52" s="263"/>
      <c r="X52" s="261" t="s">
        <v>177</v>
      </c>
      <c r="Y52" s="255"/>
      <c r="Z52" s="357">
        <f t="shared" si="0"/>
        <v>7.6</v>
      </c>
    </row>
    <row r="53" spans="1:26" s="256" customFormat="1" ht="18" customHeight="1" x14ac:dyDescent="0.2">
      <c r="A53" s="287">
        <v>46</v>
      </c>
      <c r="B53" s="245"/>
      <c r="C53" s="246">
        <v>2022</v>
      </c>
      <c r="D53" s="380" t="s">
        <v>1569</v>
      </c>
      <c r="E53" s="242" t="s">
        <v>1570</v>
      </c>
      <c r="F53" s="242">
        <v>7.5</v>
      </c>
      <c r="G53" s="242">
        <v>7.5</v>
      </c>
      <c r="H53" s="242">
        <v>7</v>
      </c>
      <c r="I53" s="242">
        <v>7.5</v>
      </c>
      <c r="J53" s="242">
        <v>7</v>
      </c>
      <c r="K53" s="242">
        <v>7</v>
      </c>
      <c r="L53" s="242">
        <v>6.5</v>
      </c>
      <c r="M53" s="242">
        <v>7</v>
      </c>
      <c r="N53" s="242">
        <v>7.5</v>
      </c>
      <c r="O53" s="242">
        <v>7</v>
      </c>
      <c r="P53" s="243">
        <f t="shared" si="4"/>
        <v>7.15</v>
      </c>
      <c r="Q53" s="242"/>
      <c r="R53" s="242"/>
      <c r="S53" s="277">
        <f t="shared" si="5"/>
        <v>2.3833333333333333</v>
      </c>
      <c r="T53" s="277">
        <f t="shared" si="6"/>
        <v>4.6916666666666664</v>
      </c>
      <c r="U53" s="379"/>
      <c r="V53" s="252"/>
      <c r="W53" s="263"/>
      <c r="X53" s="261" t="s">
        <v>1198</v>
      </c>
      <c r="Y53" s="255"/>
      <c r="Z53" s="357">
        <f t="shared" si="0"/>
        <v>7.15</v>
      </c>
    </row>
    <row r="54" spans="1:26" s="256" customFormat="1" ht="18" customHeight="1" x14ac:dyDescent="0.2">
      <c r="A54" s="287">
        <v>47</v>
      </c>
      <c r="B54" s="245"/>
      <c r="C54" s="246">
        <v>2022</v>
      </c>
      <c r="D54" s="381" t="s">
        <v>1571</v>
      </c>
      <c r="E54" s="242" t="s">
        <v>827</v>
      </c>
      <c r="F54" s="242">
        <v>8</v>
      </c>
      <c r="G54" s="242">
        <v>8</v>
      </c>
      <c r="H54" s="242">
        <v>8</v>
      </c>
      <c r="I54" s="242">
        <v>7</v>
      </c>
      <c r="J54" s="242">
        <v>7</v>
      </c>
      <c r="K54" s="242">
        <v>7</v>
      </c>
      <c r="L54" s="242">
        <v>7</v>
      </c>
      <c r="M54" s="242">
        <v>7.5</v>
      </c>
      <c r="N54" s="242">
        <v>7.5</v>
      </c>
      <c r="O54" s="242">
        <v>7.5</v>
      </c>
      <c r="P54" s="243">
        <f t="shared" si="4"/>
        <v>7.45</v>
      </c>
      <c r="Q54" s="242"/>
      <c r="R54" s="242"/>
      <c r="S54" s="277">
        <f t="shared" si="5"/>
        <v>2.4833333333333334</v>
      </c>
      <c r="T54" s="277">
        <f t="shared" si="6"/>
        <v>4.9916666666666671</v>
      </c>
      <c r="U54" s="379"/>
      <c r="V54" s="252"/>
      <c r="W54" s="263"/>
      <c r="X54" s="263" t="s">
        <v>216</v>
      </c>
      <c r="Y54" s="255"/>
      <c r="Z54" s="357">
        <f t="shared" si="0"/>
        <v>7.45</v>
      </c>
    </row>
    <row r="55" spans="1:26" s="256" customFormat="1" ht="18" customHeight="1" x14ac:dyDescent="0.2">
      <c r="A55" s="287">
        <v>48</v>
      </c>
      <c r="B55" s="245"/>
      <c r="C55" s="246">
        <v>2022</v>
      </c>
      <c r="D55" s="376" t="s">
        <v>1572</v>
      </c>
      <c r="E55" s="242" t="s">
        <v>758</v>
      </c>
      <c r="F55" s="242">
        <v>8</v>
      </c>
      <c r="G55" s="242">
        <v>8</v>
      </c>
      <c r="H55" s="242">
        <v>8</v>
      </c>
      <c r="I55" s="242">
        <v>7</v>
      </c>
      <c r="J55" s="242">
        <v>8</v>
      </c>
      <c r="K55" s="242">
        <v>7</v>
      </c>
      <c r="L55" s="242">
        <v>6.5</v>
      </c>
      <c r="M55" s="242">
        <v>7</v>
      </c>
      <c r="N55" s="242">
        <v>7</v>
      </c>
      <c r="O55" s="242">
        <v>6</v>
      </c>
      <c r="P55" s="243">
        <f t="shared" si="4"/>
        <v>7.25</v>
      </c>
      <c r="Q55" s="242"/>
      <c r="R55" s="242"/>
      <c r="S55" s="277">
        <f t="shared" si="5"/>
        <v>2.4166666666666665</v>
      </c>
      <c r="T55" s="277">
        <f t="shared" si="6"/>
        <v>4.208333333333333</v>
      </c>
      <c r="U55" s="379"/>
      <c r="V55" s="252"/>
      <c r="W55" s="263"/>
      <c r="X55" s="263" t="s">
        <v>169</v>
      </c>
      <c r="Y55" s="255"/>
      <c r="Z55" s="357">
        <f t="shared" si="0"/>
        <v>7.25</v>
      </c>
    </row>
    <row r="56" spans="1:26" s="256" customFormat="1" ht="18" customHeight="1" x14ac:dyDescent="0.2">
      <c r="A56" s="287">
        <v>49</v>
      </c>
      <c r="B56" s="245"/>
      <c r="C56" s="246">
        <v>2022</v>
      </c>
      <c r="D56" s="382" t="s">
        <v>1573</v>
      </c>
      <c r="E56" s="308" t="s">
        <v>1310</v>
      </c>
      <c r="F56" s="242">
        <v>8</v>
      </c>
      <c r="G56" s="242">
        <v>7.5</v>
      </c>
      <c r="H56" s="242">
        <v>7.5</v>
      </c>
      <c r="I56" s="242">
        <v>7</v>
      </c>
      <c r="J56" s="242">
        <v>7</v>
      </c>
      <c r="K56" s="242">
        <v>7</v>
      </c>
      <c r="L56" s="242">
        <v>7.5</v>
      </c>
      <c r="M56" s="242">
        <v>7</v>
      </c>
      <c r="N56" s="242">
        <v>7.5</v>
      </c>
      <c r="O56" s="242">
        <v>7</v>
      </c>
      <c r="P56" s="243">
        <f t="shared" si="4"/>
        <v>7.3</v>
      </c>
      <c r="Q56" s="242"/>
      <c r="R56" s="242"/>
      <c r="S56" s="277">
        <f t="shared" si="5"/>
        <v>2.4333333333333331</v>
      </c>
      <c r="T56" s="277">
        <f t="shared" si="6"/>
        <v>4.7166666666666668</v>
      </c>
      <c r="U56" s="379"/>
      <c r="V56" s="252"/>
      <c r="W56" s="263"/>
      <c r="X56" s="263" t="s">
        <v>207</v>
      </c>
      <c r="Y56" s="255"/>
      <c r="Z56" s="357">
        <f t="shared" si="0"/>
        <v>7.3</v>
      </c>
    </row>
    <row r="57" spans="1:26" s="256" customFormat="1" ht="18" customHeight="1" thickBot="1" x14ac:dyDescent="0.25">
      <c r="A57" s="384">
        <v>50</v>
      </c>
      <c r="B57" s="245"/>
      <c r="C57" s="246">
        <v>2022</v>
      </c>
      <c r="D57" s="385" t="s">
        <v>1574</v>
      </c>
      <c r="E57" s="386" t="s">
        <v>1375</v>
      </c>
      <c r="F57" s="386">
        <v>7.5</v>
      </c>
      <c r="G57" s="386">
        <v>7.5</v>
      </c>
      <c r="H57" s="386">
        <v>6.5</v>
      </c>
      <c r="I57" s="386">
        <v>7</v>
      </c>
      <c r="J57" s="386">
        <v>7</v>
      </c>
      <c r="K57" s="386">
        <v>7</v>
      </c>
      <c r="L57" s="386">
        <v>7.5</v>
      </c>
      <c r="M57" s="386">
        <v>7</v>
      </c>
      <c r="N57" s="386">
        <v>7</v>
      </c>
      <c r="O57" s="386">
        <v>6.5</v>
      </c>
      <c r="P57" s="387">
        <f>SUM(F57:O57)/10</f>
        <v>7.05</v>
      </c>
      <c r="Q57" s="386"/>
      <c r="R57" s="386"/>
      <c r="S57" s="387">
        <f t="shared" si="5"/>
        <v>2.35</v>
      </c>
      <c r="T57" s="387">
        <f t="shared" si="6"/>
        <v>4.4249999999999998</v>
      </c>
      <c r="U57" s="388"/>
      <c r="V57" s="389"/>
      <c r="W57" s="390"/>
      <c r="X57" s="390" t="s">
        <v>282</v>
      </c>
      <c r="Y57" s="255"/>
      <c r="Z57" s="357">
        <f t="shared" si="0"/>
        <v>7.05</v>
      </c>
    </row>
    <row r="58" spans="1:26" s="256" customFormat="1" ht="18" customHeight="1" thickTop="1" x14ac:dyDescent="0.2">
      <c r="A58" s="395">
        <v>51</v>
      </c>
      <c r="B58" s="245"/>
      <c r="C58" s="246">
        <v>2022</v>
      </c>
      <c r="D58" s="376" t="s">
        <v>1575</v>
      </c>
      <c r="E58" s="268" t="s">
        <v>1315</v>
      </c>
      <c r="F58" s="268">
        <v>8</v>
      </c>
      <c r="G58" s="268">
        <v>6.5</v>
      </c>
      <c r="H58" s="268">
        <v>6.5</v>
      </c>
      <c r="I58" s="268">
        <v>7.8</v>
      </c>
      <c r="J58" s="268">
        <v>7</v>
      </c>
      <c r="K58" s="268">
        <v>7</v>
      </c>
      <c r="L58" s="268">
        <v>6.5</v>
      </c>
      <c r="M58" s="268">
        <v>7</v>
      </c>
      <c r="N58" s="242">
        <v>6</v>
      </c>
      <c r="O58" s="268">
        <v>7</v>
      </c>
      <c r="P58" s="243">
        <f>SUM(F58:O58)/10</f>
        <v>6.93</v>
      </c>
      <c r="Q58" s="268"/>
      <c r="R58" s="268"/>
      <c r="S58" s="243">
        <f t="shared" si="5"/>
        <v>2.31</v>
      </c>
      <c r="T58" s="243">
        <f t="shared" si="6"/>
        <v>4.6550000000000002</v>
      </c>
      <c r="U58" s="252"/>
      <c r="V58" s="358"/>
      <c r="W58" s="261"/>
      <c r="X58" s="261" t="s">
        <v>1198</v>
      </c>
      <c r="Y58" s="255"/>
      <c r="Z58" s="357">
        <f t="shared" si="0"/>
        <v>6.93</v>
      </c>
    </row>
    <row r="59" spans="1:26" s="256" customFormat="1" ht="18" customHeight="1" x14ac:dyDescent="0.2">
      <c r="A59" s="287">
        <v>52</v>
      </c>
      <c r="B59" s="245"/>
      <c r="C59" s="246">
        <v>2022</v>
      </c>
      <c r="D59" s="376" t="s">
        <v>1576</v>
      </c>
      <c r="E59" s="242" t="s">
        <v>1577</v>
      </c>
      <c r="F59" s="242">
        <v>8</v>
      </c>
      <c r="G59" s="242">
        <v>7</v>
      </c>
      <c r="H59" s="242">
        <v>7</v>
      </c>
      <c r="I59" s="242">
        <v>7.6</v>
      </c>
      <c r="J59" s="242">
        <v>8</v>
      </c>
      <c r="K59" s="242">
        <v>8</v>
      </c>
      <c r="L59" s="242">
        <v>7</v>
      </c>
      <c r="M59" s="242">
        <v>7</v>
      </c>
      <c r="N59" s="242">
        <v>6</v>
      </c>
      <c r="O59" s="242">
        <v>7</v>
      </c>
      <c r="P59" s="243">
        <f>SUM(F59:O59)/10</f>
        <v>7.26</v>
      </c>
      <c r="Q59" s="242"/>
      <c r="R59" s="242"/>
      <c r="S59" s="277">
        <f t="shared" si="5"/>
        <v>2.42</v>
      </c>
      <c r="T59" s="277">
        <f t="shared" si="6"/>
        <v>4.71</v>
      </c>
      <c r="U59" s="379"/>
      <c r="V59" s="252"/>
      <c r="W59" s="300"/>
      <c r="X59" s="261" t="s">
        <v>1198</v>
      </c>
      <c r="Y59" s="255"/>
      <c r="Z59" s="357">
        <f t="shared" si="0"/>
        <v>7.26</v>
      </c>
    </row>
    <row r="60" spans="1:26" s="256" customFormat="1" ht="18" customHeight="1" x14ac:dyDescent="0.2">
      <c r="A60" s="287">
        <v>53</v>
      </c>
      <c r="B60" s="245"/>
      <c r="C60" s="246">
        <v>2022</v>
      </c>
      <c r="D60" s="376" t="s">
        <v>1578</v>
      </c>
      <c r="E60" s="242" t="s">
        <v>842</v>
      </c>
      <c r="F60" s="242">
        <v>8</v>
      </c>
      <c r="G60" s="242">
        <v>8</v>
      </c>
      <c r="H60" s="242">
        <v>8</v>
      </c>
      <c r="I60" s="242">
        <v>6.5</v>
      </c>
      <c r="J60" s="242">
        <v>7</v>
      </c>
      <c r="K60" s="242">
        <v>9</v>
      </c>
      <c r="L60" s="242">
        <v>8</v>
      </c>
      <c r="M60" s="242">
        <v>8</v>
      </c>
      <c r="N60" s="242">
        <v>7.5</v>
      </c>
      <c r="O60" s="242">
        <v>7</v>
      </c>
      <c r="P60" s="243">
        <f t="shared" ref="P60:P80" si="7">SUM(F60:O60)/10</f>
        <v>7.7</v>
      </c>
      <c r="Q60" s="242"/>
      <c r="R60" s="242"/>
      <c r="S60" s="277">
        <f t="shared" si="5"/>
        <v>2.5666666666666669</v>
      </c>
      <c r="T60" s="277">
        <f t="shared" si="6"/>
        <v>4.7833333333333332</v>
      </c>
      <c r="U60" s="379"/>
      <c r="V60" s="252"/>
      <c r="W60" s="263"/>
      <c r="X60" s="263" t="s">
        <v>216</v>
      </c>
      <c r="Y60" s="255"/>
      <c r="Z60" s="357">
        <f t="shared" si="0"/>
        <v>7.7</v>
      </c>
    </row>
    <row r="61" spans="1:26" s="256" customFormat="1" ht="18" customHeight="1" x14ac:dyDescent="0.2">
      <c r="A61" s="287">
        <v>54</v>
      </c>
      <c r="B61" s="245"/>
      <c r="C61" s="246">
        <v>2022</v>
      </c>
      <c r="D61" s="376" t="s">
        <v>1579</v>
      </c>
      <c r="E61" s="242" t="s">
        <v>712</v>
      </c>
      <c r="F61" s="242">
        <v>8</v>
      </c>
      <c r="G61" s="242">
        <v>7</v>
      </c>
      <c r="H61" s="242">
        <v>7</v>
      </c>
      <c r="I61" s="242">
        <v>7</v>
      </c>
      <c r="J61" s="242">
        <v>7</v>
      </c>
      <c r="K61" s="242">
        <v>8</v>
      </c>
      <c r="L61" s="242">
        <v>7.5</v>
      </c>
      <c r="M61" s="242">
        <v>6.5</v>
      </c>
      <c r="N61" s="242">
        <v>7.5</v>
      </c>
      <c r="O61" s="242">
        <v>7</v>
      </c>
      <c r="P61" s="243">
        <f t="shared" si="7"/>
        <v>7.25</v>
      </c>
      <c r="Q61" s="242"/>
      <c r="R61" s="242"/>
      <c r="S61" s="277">
        <f t="shared" si="5"/>
        <v>2.4166666666666665</v>
      </c>
      <c r="T61" s="277">
        <f t="shared" si="6"/>
        <v>4.708333333333333</v>
      </c>
      <c r="U61" s="379"/>
      <c r="V61" s="252"/>
      <c r="W61" s="263"/>
      <c r="X61" s="263" t="s">
        <v>186</v>
      </c>
      <c r="Y61" s="255"/>
      <c r="Z61" s="357">
        <f t="shared" si="0"/>
        <v>7.25</v>
      </c>
    </row>
    <row r="62" spans="1:26" s="256" customFormat="1" ht="18" customHeight="1" x14ac:dyDescent="0.2">
      <c r="A62" s="287">
        <v>55</v>
      </c>
      <c r="B62" s="245"/>
      <c r="C62" s="246">
        <v>2022</v>
      </c>
      <c r="D62" s="380" t="s">
        <v>1165</v>
      </c>
      <c r="E62" s="242" t="s">
        <v>1580</v>
      </c>
      <c r="F62" s="242">
        <v>6.5</v>
      </c>
      <c r="G62" s="242">
        <v>8</v>
      </c>
      <c r="H62" s="242">
        <v>7.5</v>
      </c>
      <c r="I62" s="242">
        <v>7</v>
      </c>
      <c r="J62" s="242">
        <v>7</v>
      </c>
      <c r="K62" s="242">
        <v>8</v>
      </c>
      <c r="L62" s="458">
        <v>7.5</v>
      </c>
      <c r="M62" s="242">
        <v>7.5</v>
      </c>
      <c r="N62" s="242">
        <v>7.5</v>
      </c>
      <c r="O62" s="242">
        <v>7.5</v>
      </c>
      <c r="P62" s="243">
        <f t="shared" si="7"/>
        <v>7.4</v>
      </c>
      <c r="Q62" s="242"/>
      <c r="R62" s="242"/>
      <c r="S62" s="277">
        <f t="shared" si="5"/>
        <v>2.4666666666666668</v>
      </c>
      <c r="T62" s="277">
        <f t="shared" si="6"/>
        <v>4.9833333333333334</v>
      </c>
      <c r="U62" s="379"/>
      <c r="V62" s="252"/>
      <c r="W62" s="263"/>
      <c r="X62" s="263" t="s">
        <v>226</v>
      </c>
      <c r="Y62" s="255"/>
      <c r="Z62" s="357">
        <f t="shared" si="0"/>
        <v>7.4</v>
      </c>
    </row>
    <row r="63" spans="1:26" s="256" customFormat="1" ht="18" customHeight="1" x14ac:dyDescent="0.2">
      <c r="A63" s="287">
        <v>56</v>
      </c>
      <c r="B63" s="245"/>
      <c r="C63" s="246">
        <v>2022</v>
      </c>
      <c r="D63" s="381" t="s">
        <v>1581</v>
      </c>
      <c r="E63" s="242" t="s">
        <v>1509</v>
      </c>
      <c r="F63" s="242">
        <v>7</v>
      </c>
      <c r="G63" s="242">
        <v>7</v>
      </c>
      <c r="H63" s="242">
        <v>7.5</v>
      </c>
      <c r="I63" s="242">
        <v>7.5</v>
      </c>
      <c r="J63" s="242">
        <v>7</v>
      </c>
      <c r="K63" s="242">
        <v>7</v>
      </c>
      <c r="L63" s="242">
        <v>7</v>
      </c>
      <c r="M63" s="242">
        <v>6</v>
      </c>
      <c r="N63" s="242">
        <v>7.5</v>
      </c>
      <c r="O63" s="242">
        <v>6.5</v>
      </c>
      <c r="P63" s="243">
        <f t="shared" si="7"/>
        <v>7</v>
      </c>
      <c r="Q63" s="242"/>
      <c r="R63" s="242"/>
      <c r="S63" s="277">
        <f t="shared" si="5"/>
        <v>2.3333333333333335</v>
      </c>
      <c r="T63" s="277">
        <f t="shared" si="6"/>
        <v>4.416666666666667</v>
      </c>
      <c r="U63" s="379"/>
      <c r="V63" s="252"/>
      <c r="W63" s="300"/>
      <c r="X63" s="261" t="s">
        <v>18</v>
      </c>
      <c r="Y63" s="255"/>
      <c r="Z63" s="357">
        <f t="shared" si="0"/>
        <v>7</v>
      </c>
    </row>
    <row r="64" spans="1:26" s="256" customFormat="1" ht="18" customHeight="1" x14ac:dyDescent="0.2">
      <c r="A64" s="287">
        <v>57</v>
      </c>
      <c r="B64" s="245"/>
      <c r="C64" s="246">
        <v>2022</v>
      </c>
      <c r="D64" s="380" t="s">
        <v>1582</v>
      </c>
      <c r="E64" s="242" t="s">
        <v>796</v>
      </c>
      <c r="F64" s="242">
        <v>8</v>
      </c>
      <c r="G64" s="242">
        <v>8</v>
      </c>
      <c r="H64" s="242">
        <v>8</v>
      </c>
      <c r="I64" s="242">
        <v>7</v>
      </c>
      <c r="J64" s="242">
        <v>7</v>
      </c>
      <c r="K64" s="242">
        <v>8</v>
      </c>
      <c r="L64" s="242">
        <v>8</v>
      </c>
      <c r="M64" s="242">
        <v>8</v>
      </c>
      <c r="N64" s="242">
        <v>7.5</v>
      </c>
      <c r="O64" s="242">
        <v>7.5</v>
      </c>
      <c r="P64" s="243">
        <f t="shared" si="7"/>
        <v>7.7</v>
      </c>
      <c r="Q64" s="242"/>
      <c r="R64" s="242"/>
      <c r="S64" s="277">
        <f t="shared" si="5"/>
        <v>2.5666666666666669</v>
      </c>
      <c r="T64" s="277">
        <f t="shared" si="6"/>
        <v>5.0333333333333332</v>
      </c>
      <c r="U64" s="379"/>
      <c r="V64" s="252"/>
      <c r="W64" s="261"/>
      <c r="X64" s="261" t="s">
        <v>194</v>
      </c>
      <c r="Y64" s="255"/>
      <c r="Z64" s="357">
        <f t="shared" si="0"/>
        <v>7.7</v>
      </c>
    </row>
    <row r="65" spans="1:26" s="256" customFormat="1" ht="18" customHeight="1" x14ac:dyDescent="0.2">
      <c r="A65" s="287">
        <v>58</v>
      </c>
      <c r="B65" s="245"/>
      <c r="C65" s="246">
        <v>2022</v>
      </c>
      <c r="D65" s="381" t="s">
        <v>1583</v>
      </c>
      <c r="E65" s="242" t="s">
        <v>1584</v>
      </c>
      <c r="F65" s="242">
        <v>7.5</v>
      </c>
      <c r="G65" s="242">
        <v>6.5</v>
      </c>
      <c r="H65" s="242">
        <v>7</v>
      </c>
      <c r="I65" s="242">
        <v>7.6</v>
      </c>
      <c r="J65" s="242">
        <v>6</v>
      </c>
      <c r="K65" s="242">
        <v>8</v>
      </c>
      <c r="L65" s="242">
        <v>6.5</v>
      </c>
      <c r="M65" s="242">
        <v>7</v>
      </c>
      <c r="N65" s="242">
        <v>7</v>
      </c>
      <c r="O65" s="242">
        <v>7</v>
      </c>
      <c r="P65" s="243">
        <f t="shared" si="7"/>
        <v>7.01</v>
      </c>
      <c r="Q65" s="242"/>
      <c r="R65" s="242"/>
      <c r="S65" s="277">
        <f t="shared" si="5"/>
        <v>2.3366666666666664</v>
      </c>
      <c r="T65" s="277">
        <f t="shared" si="6"/>
        <v>4.668333333333333</v>
      </c>
      <c r="U65" s="379"/>
      <c r="V65" s="252"/>
      <c r="W65" s="263"/>
      <c r="X65" s="261" t="s">
        <v>206</v>
      </c>
      <c r="Y65" s="255"/>
      <c r="Z65" s="357">
        <f t="shared" si="0"/>
        <v>7.01</v>
      </c>
    </row>
    <row r="66" spans="1:26" s="256" customFormat="1" ht="18" customHeight="1" x14ac:dyDescent="0.2">
      <c r="A66" s="287">
        <v>59</v>
      </c>
      <c r="B66" s="245"/>
      <c r="C66" s="246">
        <v>2022</v>
      </c>
      <c r="D66" s="391" t="s">
        <v>1585</v>
      </c>
      <c r="E66" s="268" t="s">
        <v>565</v>
      </c>
      <c r="F66" s="268">
        <v>8</v>
      </c>
      <c r="G66" s="268">
        <v>7</v>
      </c>
      <c r="H66" s="268">
        <v>7.5</v>
      </c>
      <c r="I66" s="268">
        <v>7.4</v>
      </c>
      <c r="J66" s="268">
        <v>7</v>
      </c>
      <c r="K66" s="268">
        <v>8</v>
      </c>
      <c r="L66" s="268">
        <v>7</v>
      </c>
      <c r="M66" s="268">
        <v>6.5</v>
      </c>
      <c r="N66" s="268">
        <v>7</v>
      </c>
      <c r="O66" s="268">
        <v>7</v>
      </c>
      <c r="P66" s="243">
        <f t="shared" si="7"/>
        <v>7.24</v>
      </c>
      <c r="Q66" s="268"/>
      <c r="R66" s="268"/>
      <c r="S66" s="243">
        <f t="shared" si="5"/>
        <v>2.4133333333333336</v>
      </c>
      <c r="T66" s="243">
        <f t="shared" si="6"/>
        <v>4.706666666666667</v>
      </c>
      <c r="U66" s="252"/>
      <c r="V66" s="252"/>
      <c r="W66" s="261"/>
      <c r="X66" s="263" t="s">
        <v>12</v>
      </c>
      <c r="Y66" s="255"/>
      <c r="Z66" s="357">
        <f t="shared" si="0"/>
        <v>7.24</v>
      </c>
    </row>
    <row r="67" spans="1:26" s="256" customFormat="1" ht="18" customHeight="1" x14ac:dyDescent="0.2">
      <c r="A67" s="287">
        <v>60</v>
      </c>
      <c r="B67" s="245"/>
      <c r="C67" s="246">
        <v>2022</v>
      </c>
      <c r="D67" s="381" t="s">
        <v>1586</v>
      </c>
      <c r="E67" s="242" t="s">
        <v>1026</v>
      </c>
      <c r="F67" s="242">
        <v>8</v>
      </c>
      <c r="G67" s="242">
        <v>8</v>
      </c>
      <c r="H67" s="242">
        <v>7.5</v>
      </c>
      <c r="I67" s="242">
        <v>7</v>
      </c>
      <c r="J67" s="242">
        <v>7</v>
      </c>
      <c r="K67" s="242">
        <v>8</v>
      </c>
      <c r="L67" s="242">
        <v>7.5</v>
      </c>
      <c r="M67" s="242">
        <v>7.5</v>
      </c>
      <c r="N67" s="242">
        <v>7.5</v>
      </c>
      <c r="O67" s="242">
        <v>7</v>
      </c>
      <c r="P67" s="243">
        <f t="shared" si="7"/>
        <v>7.5</v>
      </c>
      <c r="Q67" s="242"/>
      <c r="R67" s="242"/>
      <c r="S67" s="277">
        <f t="shared" si="5"/>
        <v>2.5</v>
      </c>
      <c r="T67" s="277">
        <f t="shared" si="6"/>
        <v>4.75</v>
      </c>
      <c r="U67" s="379"/>
      <c r="V67" s="252"/>
      <c r="W67" s="263"/>
      <c r="X67" s="263" t="s">
        <v>667</v>
      </c>
      <c r="Y67" s="255"/>
      <c r="Z67" s="357">
        <f t="shared" si="0"/>
        <v>7.5</v>
      </c>
    </row>
    <row r="68" spans="1:26" s="256" customFormat="1" ht="18" customHeight="1" x14ac:dyDescent="0.2">
      <c r="A68" s="287">
        <v>61</v>
      </c>
      <c r="B68" s="245"/>
      <c r="C68" s="246">
        <v>2022</v>
      </c>
      <c r="D68" s="392" t="s">
        <v>1587</v>
      </c>
      <c r="E68" s="242" t="s">
        <v>860</v>
      </c>
      <c r="F68" s="242">
        <v>7.5</v>
      </c>
      <c r="G68" s="242">
        <v>8</v>
      </c>
      <c r="H68" s="242">
        <v>7</v>
      </c>
      <c r="I68" s="242">
        <v>7</v>
      </c>
      <c r="J68" s="242">
        <v>6</v>
      </c>
      <c r="K68" s="242">
        <v>8</v>
      </c>
      <c r="L68" s="242">
        <v>7</v>
      </c>
      <c r="M68" s="242">
        <v>7.5</v>
      </c>
      <c r="N68" s="242">
        <v>7.5</v>
      </c>
      <c r="O68" s="242">
        <v>7</v>
      </c>
      <c r="P68" s="243">
        <f t="shared" si="7"/>
        <v>7.25</v>
      </c>
      <c r="Q68" s="242"/>
      <c r="R68" s="242"/>
      <c r="S68" s="277">
        <f t="shared" si="5"/>
        <v>2.4166666666666665</v>
      </c>
      <c r="T68" s="277">
        <f t="shared" si="6"/>
        <v>4.708333333333333</v>
      </c>
      <c r="U68" s="379"/>
      <c r="V68" s="252"/>
      <c r="W68" s="263"/>
      <c r="X68" s="263" t="s">
        <v>268</v>
      </c>
      <c r="Y68" s="255"/>
      <c r="Z68" s="357">
        <f t="shared" si="0"/>
        <v>7.25</v>
      </c>
    </row>
    <row r="69" spans="1:26" s="256" customFormat="1" ht="18" customHeight="1" x14ac:dyDescent="0.2">
      <c r="A69" s="287">
        <v>62</v>
      </c>
      <c r="B69" s="245"/>
      <c r="C69" s="246">
        <v>2022</v>
      </c>
      <c r="D69" s="276" t="s">
        <v>1588</v>
      </c>
      <c r="E69" s="242" t="s">
        <v>1059</v>
      </c>
      <c r="F69" s="242">
        <v>8</v>
      </c>
      <c r="G69" s="242">
        <v>8</v>
      </c>
      <c r="H69" s="242">
        <v>7.5</v>
      </c>
      <c r="I69" s="242">
        <v>7</v>
      </c>
      <c r="J69" s="242">
        <v>8</v>
      </c>
      <c r="K69" s="242">
        <v>8</v>
      </c>
      <c r="L69" s="458">
        <v>7</v>
      </c>
      <c r="M69" s="242">
        <v>6</v>
      </c>
      <c r="N69" s="242">
        <v>7.5</v>
      </c>
      <c r="O69" s="242">
        <v>7</v>
      </c>
      <c r="P69" s="243">
        <f t="shared" si="7"/>
        <v>7.4</v>
      </c>
      <c r="Q69" s="242"/>
      <c r="R69" s="242"/>
      <c r="S69" s="277">
        <f t="shared" si="5"/>
        <v>2.4666666666666668</v>
      </c>
      <c r="T69" s="277">
        <f t="shared" si="6"/>
        <v>4.7333333333333334</v>
      </c>
      <c r="U69" s="379"/>
      <c r="V69" s="252"/>
      <c r="W69" s="394"/>
      <c r="X69" s="261" t="s">
        <v>141</v>
      </c>
      <c r="Y69" s="255"/>
      <c r="Z69" s="357">
        <f t="shared" si="0"/>
        <v>7.4</v>
      </c>
    </row>
    <row r="70" spans="1:26" s="256" customFormat="1" ht="18" customHeight="1" x14ac:dyDescent="0.2">
      <c r="A70" s="287">
        <v>63</v>
      </c>
      <c r="B70" s="245"/>
      <c r="C70" s="246">
        <v>2022</v>
      </c>
      <c r="D70" s="381" t="s">
        <v>1589</v>
      </c>
      <c r="E70" s="242" t="s">
        <v>1590</v>
      </c>
      <c r="F70" s="242">
        <v>6.5</v>
      </c>
      <c r="G70" s="242">
        <v>6.5</v>
      </c>
      <c r="H70" s="242">
        <v>8</v>
      </c>
      <c r="I70" s="242">
        <v>7.4</v>
      </c>
      <c r="J70" s="242">
        <v>6</v>
      </c>
      <c r="K70" s="242">
        <v>9</v>
      </c>
      <c r="L70" s="242">
        <v>7.5</v>
      </c>
      <c r="M70" s="242">
        <v>7.5</v>
      </c>
      <c r="N70" s="242">
        <v>6.5</v>
      </c>
      <c r="O70" s="242">
        <v>6.5</v>
      </c>
      <c r="P70" s="243">
        <f t="shared" si="7"/>
        <v>7.1400000000000006</v>
      </c>
      <c r="Q70" s="242"/>
      <c r="R70" s="242"/>
      <c r="S70" s="277">
        <f t="shared" si="5"/>
        <v>2.3800000000000003</v>
      </c>
      <c r="T70" s="277">
        <f t="shared" si="6"/>
        <v>4.4400000000000004</v>
      </c>
      <c r="U70" s="379"/>
      <c r="V70" s="252"/>
      <c r="W70" s="263"/>
      <c r="X70" s="261" t="s">
        <v>202</v>
      </c>
      <c r="Y70" s="255"/>
      <c r="Z70" s="357">
        <f t="shared" si="0"/>
        <v>7.1400000000000006</v>
      </c>
    </row>
    <row r="71" spans="1:26" s="256" customFormat="1" ht="18" customHeight="1" x14ac:dyDescent="0.2">
      <c r="A71" s="287">
        <v>64</v>
      </c>
      <c r="B71" s="245"/>
      <c r="C71" s="246">
        <v>2022</v>
      </c>
      <c r="D71" s="381" t="s">
        <v>1591</v>
      </c>
      <c r="E71" s="242" t="s">
        <v>1592</v>
      </c>
      <c r="F71" s="242">
        <v>8</v>
      </c>
      <c r="G71" s="242">
        <v>7.5</v>
      </c>
      <c r="H71" s="242">
        <v>8</v>
      </c>
      <c r="I71" s="242">
        <v>7.5</v>
      </c>
      <c r="J71" s="242">
        <v>7</v>
      </c>
      <c r="K71" s="242">
        <v>8</v>
      </c>
      <c r="L71" s="242">
        <v>7.5</v>
      </c>
      <c r="M71" s="242">
        <v>7</v>
      </c>
      <c r="N71" s="242">
        <v>7.5</v>
      </c>
      <c r="O71" s="242">
        <v>7.5</v>
      </c>
      <c r="P71" s="243">
        <f t="shared" si="7"/>
        <v>7.55</v>
      </c>
      <c r="Q71" s="242"/>
      <c r="R71" s="242"/>
      <c r="S71" s="277">
        <f t="shared" si="5"/>
        <v>2.5166666666666666</v>
      </c>
      <c r="T71" s="277">
        <f t="shared" si="6"/>
        <v>5.0083333333333329</v>
      </c>
      <c r="U71" s="379"/>
      <c r="V71" s="252"/>
      <c r="W71" s="263"/>
      <c r="X71" s="261" t="s">
        <v>181</v>
      </c>
      <c r="Y71" s="255"/>
      <c r="Z71" s="357">
        <f t="shared" si="0"/>
        <v>7.55</v>
      </c>
    </row>
    <row r="72" spans="1:26" s="256" customFormat="1" ht="18" customHeight="1" x14ac:dyDescent="0.2">
      <c r="A72" s="287">
        <v>65</v>
      </c>
      <c r="B72" s="245"/>
      <c r="C72" s="246">
        <v>2022</v>
      </c>
      <c r="D72" s="396" t="s">
        <v>1593</v>
      </c>
      <c r="E72" s="242" t="s">
        <v>1594</v>
      </c>
      <c r="F72" s="242">
        <v>7.5</v>
      </c>
      <c r="G72" s="242">
        <v>8</v>
      </c>
      <c r="H72" s="242">
        <v>7.5</v>
      </c>
      <c r="I72" s="242">
        <v>7</v>
      </c>
      <c r="J72" s="242">
        <v>8</v>
      </c>
      <c r="K72" s="242">
        <v>9</v>
      </c>
      <c r="L72" s="242">
        <v>8</v>
      </c>
      <c r="M72" s="242">
        <v>8</v>
      </c>
      <c r="N72" s="242">
        <v>7</v>
      </c>
      <c r="O72" s="242">
        <v>7</v>
      </c>
      <c r="P72" s="243">
        <f t="shared" si="7"/>
        <v>7.7</v>
      </c>
      <c r="Q72" s="242"/>
      <c r="R72" s="242"/>
      <c r="S72" s="277">
        <f t="shared" si="5"/>
        <v>2.5666666666666669</v>
      </c>
      <c r="T72" s="277">
        <f t="shared" si="6"/>
        <v>4.7833333333333332</v>
      </c>
      <c r="U72" s="379"/>
      <c r="V72" s="252"/>
      <c r="W72" s="394"/>
      <c r="X72" s="261" t="s">
        <v>927</v>
      </c>
      <c r="Y72" s="255"/>
      <c r="Z72" s="357">
        <f t="shared" ref="Z72:Z80" si="8">AVERAGE(F72:O72)</f>
        <v>7.7</v>
      </c>
    </row>
    <row r="73" spans="1:26" s="256" customFormat="1" ht="18" customHeight="1" x14ac:dyDescent="0.2">
      <c r="A73" s="287">
        <v>66</v>
      </c>
      <c r="B73" s="245"/>
      <c r="C73" s="246">
        <v>2022</v>
      </c>
      <c r="D73" s="381" t="s">
        <v>1595</v>
      </c>
      <c r="E73" s="242" t="s">
        <v>1100</v>
      </c>
      <c r="F73" s="242">
        <v>8</v>
      </c>
      <c r="G73" s="242">
        <v>8</v>
      </c>
      <c r="H73" s="242">
        <v>7</v>
      </c>
      <c r="I73" s="242">
        <v>7</v>
      </c>
      <c r="J73" s="242">
        <v>6</v>
      </c>
      <c r="K73" s="242">
        <v>8</v>
      </c>
      <c r="L73" s="242">
        <v>7</v>
      </c>
      <c r="M73" s="242">
        <v>7.5</v>
      </c>
      <c r="N73" s="242">
        <v>7</v>
      </c>
      <c r="O73" s="242">
        <v>7</v>
      </c>
      <c r="P73" s="243">
        <f t="shared" si="7"/>
        <v>7.25</v>
      </c>
      <c r="Q73" s="242"/>
      <c r="R73" s="242"/>
      <c r="S73" s="277">
        <f t="shared" si="5"/>
        <v>2.4166666666666665</v>
      </c>
      <c r="T73" s="277">
        <f t="shared" si="6"/>
        <v>4.708333333333333</v>
      </c>
      <c r="U73" s="379"/>
      <c r="V73" s="252"/>
      <c r="W73" s="263"/>
      <c r="X73" s="261" t="s">
        <v>186</v>
      </c>
      <c r="Y73" s="255"/>
      <c r="Z73" s="357">
        <f t="shared" si="8"/>
        <v>7.25</v>
      </c>
    </row>
    <row r="74" spans="1:26" s="256" customFormat="1" ht="18" customHeight="1" x14ac:dyDescent="0.2">
      <c r="A74" s="287">
        <v>67</v>
      </c>
      <c r="B74" s="245"/>
      <c r="C74" s="246">
        <v>2022</v>
      </c>
      <c r="D74" s="276" t="s">
        <v>1596</v>
      </c>
      <c r="E74" s="294" t="s">
        <v>1597</v>
      </c>
      <c r="F74" s="242">
        <v>7</v>
      </c>
      <c r="G74" s="242">
        <v>7</v>
      </c>
      <c r="H74" s="242">
        <v>7.5</v>
      </c>
      <c r="I74" s="242">
        <v>6.5</v>
      </c>
      <c r="J74" s="242">
        <v>7</v>
      </c>
      <c r="K74" s="242">
        <v>8</v>
      </c>
      <c r="L74" s="242">
        <v>7.5</v>
      </c>
      <c r="M74" s="242">
        <v>7.5</v>
      </c>
      <c r="N74" s="242">
        <v>7</v>
      </c>
      <c r="O74" s="242">
        <v>7.5</v>
      </c>
      <c r="P74" s="243">
        <f t="shared" si="7"/>
        <v>7.25</v>
      </c>
      <c r="Q74" s="242"/>
      <c r="R74" s="242"/>
      <c r="S74" s="242"/>
      <c r="T74" s="277">
        <f>SUM(Q74:S74)/3</f>
        <v>0</v>
      </c>
      <c r="U74" s="277">
        <f>SUM(P74+T74)/2</f>
        <v>3.625</v>
      </c>
      <c r="V74" s="252"/>
      <c r="W74" s="273"/>
      <c r="X74" s="263" t="s">
        <v>141</v>
      </c>
      <c r="Y74" s="255"/>
      <c r="Z74" s="357">
        <f t="shared" si="8"/>
        <v>7.25</v>
      </c>
    </row>
    <row r="75" spans="1:26" s="256" customFormat="1" ht="18" customHeight="1" x14ac:dyDescent="0.2">
      <c r="A75" s="287">
        <v>68</v>
      </c>
      <c r="B75" s="245"/>
      <c r="C75" s="246">
        <v>2022</v>
      </c>
      <c r="D75" s="276" t="s">
        <v>1598</v>
      </c>
      <c r="E75" s="294" t="s">
        <v>1497</v>
      </c>
      <c r="F75" s="242">
        <v>7</v>
      </c>
      <c r="G75" s="242">
        <v>8</v>
      </c>
      <c r="H75" s="242">
        <v>7.5</v>
      </c>
      <c r="I75" s="242">
        <v>6.5</v>
      </c>
      <c r="J75" s="242">
        <v>7</v>
      </c>
      <c r="K75" s="242">
        <v>8</v>
      </c>
      <c r="L75" s="242">
        <v>7.5</v>
      </c>
      <c r="M75" s="242">
        <v>7</v>
      </c>
      <c r="N75" s="242">
        <v>7</v>
      </c>
      <c r="O75" s="242">
        <v>7</v>
      </c>
      <c r="P75" s="243">
        <f t="shared" si="7"/>
        <v>7.25</v>
      </c>
      <c r="Q75" s="242"/>
      <c r="R75" s="242"/>
      <c r="S75" s="242"/>
      <c r="T75" s="277">
        <f>SUM(Q75:S75)/3</f>
        <v>0</v>
      </c>
      <c r="U75" s="277">
        <f>SUM(P75+T75)/2</f>
        <v>3.625</v>
      </c>
      <c r="V75" s="252"/>
      <c r="W75" s="273"/>
      <c r="X75" s="263" t="s">
        <v>1198</v>
      </c>
      <c r="Y75" s="255"/>
      <c r="Z75" s="357">
        <f t="shared" si="8"/>
        <v>7.25</v>
      </c>
    </row>
    <row r="76" spans="1:26" s="256" customFormat="1" ht="18" customHeight="1" x14ac:dyDescent="0.2">
      <c r="A76" s="287">
        <v>69</v>
      </c>
      <c r="B76" s="245"/>
      <c r="C76" s="246">
        <v>2022</v>
      </c>
      <c r="D76" s="276" t="s">
        <v>1599</v>
      </c>
      <c r="E76" s="294" t="s">
        <v>620</v>
      </c>
      <c r="F76" s="242">
        <v>7.5</v>
      </c>
      <c r="G76" s="242">
        <v>7.5</v>
      </c>
      <c r="H76" s="242">
        <v>7.5</v>
      </c>
      <c r="I76" s="242">
        <v>6.5</v>
      </c>
      <c r="J76" s="242">
        <v>6.5</v>
      </c>
      <c r="K76" s="242">
        <v>8</v>
      </c>
      <c r="L76" s="242">
        <v>7.5</v>
      </c>
      <c r="M76" s="242">
        <v>8</v>
      </c>
      <c r="N76" s="242">
        <v>7.5</v>
      </c>
      <c r="O76" s="242">
        <v>7</v>
      </c>
      <c r="P76" s="243">
        <f t="shared" si="7"/>
        <v>7.35</v>
      </c>
      <c r="Q76" s="242"/>
      <c r="R76" s="242"/>
      <c r="S76" s="242"/>
      <c r="T76" s="277"/>
      <c r="U76" s="277"/>
      <c r="V76" s="252"/>
      <c r="W76" s="273"/>
      <c r="X76" s="261" t="s">
        <v>179</v>
      </c>
      <c r="Y76" s="255"/>
      <c r="Z76" s="357">
        <f t="shared" si="8"/>
        <v>7.35</v>
      </c>
    </row>
    <row r="77" spans="1:26" s="256" customFormat="1" ht="18" customHeight="1" x14ac:dyDescent="0.2">
      <c r="A77" s="287">
        <v>70</v>
      </c>
      <c r="B77" s="245"/>
      <c r="C77" s="246">
        <v>2022</v>
      </c>
      <c r="D77" s="276" t="s">
        <v>1600</v>
      </c>
      <c r="E77" s="294" t="s">
        <v>1006</v>
      </c>
      <c r="F77" s="242">
        <v>8</v>
      </c>
      <c r="G77" s="242">
        <v>7</v>
      </c>
      <c r="H77" s="242">
        <v>7</v>
      </c>
      <c r="I77" s="242">
        <v>7.8</v>
      </c>
      <c r="J77" s="242">
        <v>7</v>
      </c>
      <c r="K77" s="242">
        <v>7</v>
      </c>
      <c r="L77" s="242">
        <v>7</v>
      </c>
      <c r="M77" s="242">
        <v>7</v>
      </c>
      <c r="N77" s="242">
        <v>7.5</v>
      </c>
      <c r="O77" s="242">
        <v>7.5</v>
      </c>
      <c r="P77" s="243">
        <f t="shared" si="7"/>
        <v>7.2799999999999994</v>
      </c>
      <c r="Q77" s="242"/>
      <c r="R77" s="242"/>
      <c r="S77" s="242"/>
      <c r="T77" s="277"/>
      <c r="U77" s="277"/>
      <c r="V77" s="252"/>
      <c r="W77" s="273"/>
      <c r="X77" s="261" t="s">
        <v>141</v>
      </c>
      <c r="Y77" s="255"/>
      <c r="Z77" s="357">
        <f t="shared" si="8"/>
        <v>7.2799999999999994</v>
      </c>
    </row>
    <row r="78" spans="1:26" s="256" customFormat="1" ht="18" customHeight="1" x14ac:dyDescent="0.2">
      <c r="A78" s="287">
        <v>71</v>
      </c>
      <c r="B78" s="245"/>
      <c r="C78" s="246">
        <v>2022</v>
      </c>
      <c r="D78" s="276" t="s">
        <v>1601</v>
      </c>
      <c r="E78" s="294" t="s">
        <v>1310</v>
      </c>
      <c r="F78" s="242">
        <v>6.5</v>
      </c>
      <c r="G78" s="242">
        <v>6.5</v>
      </c>
      <c r="H78" s="242">
        <v>7.5</v>
      </c>
      <c r="I78" s="242">
        <v>7</v>
      </c>
      <c r="J78" s="242">
        <v>6</v>
      </c>
      <c r="K78" s="242">
        <v>9</v>
      </c>
      <c r="L78" s="242">
        <v>6.5</v>
      </c>
      <c r="M78" s="242">
        <v>7</v>
      </c>
      <c r="N78" s="242">
        <v>7.5</v>
      </c>
      <c r="O78" s="242">
        <v>7</v>
      </c>
      <c r="P78" s="243">
        <f t="shared" si="7"/>
        <v>7.05</v>
      </c>
      <c r="Q78" s="242"/>
      <c r="R78" s="242"/>
      <c r="S78" s="242"/>
      <c r="T78" s="277"/>
      <c r="U78" s="277"/>
      <c r="V78" s="252"/>
      <c r="W78" s="273"/>
      <c r="X78" s="261" t="s">
        <v>186</v>
      </c>
      <c r="Y78" s="255"/>
      <c r="Z78" s="357">
        <f t="shared" si="8"/>
        <v>7.05</v>
      </c>
    </row>
    <row r="79" spans="1:26" s="256" customFormat="1" ht="18" customHeight="1" x14ac:dyDescent="0.2">
      <c r="A79" s="287">
        <v>72</v>
      </c>
      <c r="B79" s="245"/>
      <c r="C79" s="246">
        <v>2022</v>
      </c>
      <c r="D79" s="276" t="s">
        <v>1602</v>
      </c>
      <c r="E79" s="294" t="s">
        <v>1346</v>
      </c>
      <c r="F79" s="242">
        <v>7</v>
      </c>
      <c r="G79" s="242">
        <v>7</v>
      </c>
      <c r="H79" s="242">
        <v>6.5</v>
      </c>
      <c r="I79" s="242">
        <v>7</v>
      </c>
      <c r="J79" s="242">
        <v>7</v>
      </c>
      <c r="K79" s="242">
        <v>7</v>
      </c>
      <c r="L79" s="242">
        <v>6.5</v>
      </c>
      <c r="M79" s="242">
        <v>7</v>
      </c>
      <c r="N79" s="242">
        <v>7</v>
      </c>
      <c r="O79" s="242">
        <v>6.5</v>
      </c>
      <c r="P79" s="243">
        <f t="shared" si="7"/>
        <v>6.85</v>
      </c>
      <c r="Q79" s="242"/>
      <c r="R79" s="242"/>
      <c r="S79" s="242"/>
      <c r="T79" s="277"/>
      <c r="U79" s="277"/>
      <c r="V79" s="252"/>
      <c r="W79" s="273"/>
      <c r="X79" s="261" t="s">
        <v>226</v>
      </c>
      <c r="Y79" s="255"/>
      <c r="Z79" s="357">
        <f t="shared" si="8"/>
        <v>6.85</v>
      </c>
    </row>
    <row r="80" spans="1:26" s="256" customFormat="1" ht="18" customHeight="1" x14ac:dyDescent="0.2">
      <c r="A80" s="287">
        <v>73</v>
      </c>
      <c r="B80" s="245"/>
      <c r="C80" s="246">
        <v>2022</v>
      </c>
      <c r="D80" s="276" t="s">
        <v>1603</v>
      </c>
      <c r="E80" s="294" t="s">
        <v>1604</v>
      </c>
      <c r="F80" s="242">
        <v>6.5</v>
      </c>
      <c r="G80" s="242">
        <v>8</v>
      </c>
      <c r="H80" s="242">
        <v>7.5</v>
      </c>
      <c r="I80" s="242">
        <v>6.5</v>
      </c>
      <c r="J80" s="242">
        <v>6</v>
      </c>
      <c r="K80" s="242">
        <v>8</v>
      </c>
      <c r="L80" s="242">
        <v>7</v>
      </c>
      <c r="M80" s="242">
        <v>6.5</v>
      </c>
      <c r="N80" s="242">
        <v>7.5</v>
      </c>
      <c r="O80" s="242">
        <v>7</v>
      </c>
      <c r="P80" s="243">
        <f t="shared" si="7"/>
        <v>7.05</v>
      </c>
      <c r="Q80" s="242"/>
      <c r="R80" s="242"/>
      <c r="S80" s="242"/>
      <c r="T80" s="277"/>
      <c r="U80" s="277"/>
      <c r="V80" s="252"/>
      <c r="W80" s="273"/>
      <c r="X80" s="261" t="s">
        <v>186</v>
      </c>
      <c r="Y80" s="255"/>
      <c r="Z80" s="357">
        <f t="shared" si="8"/>
        <v>7.05</v>
      </c>
    </row>
    <row r="81" spans="1:25" s="368" customFormat="1" ht="18" customHeight="1" thickBot="1" x14ac:dyDescent="0.35">
      <c r="A81" s="397"/>
      <c r="B81" s="398"/>
      <c r="C81" s="399"/>
      <c r="D81" s="362"/>
      <c r="E81" s="399"/>
      <c r="F81" s="400"/>
      <c r="G81" s="400"/>
      <c r="H81" s="400"/>
      <c r="I81" s="400"/>
      <c r="J81" s="400"/>
      <c r="K81" s="400"/>
      <c r="L81" s="400"/>
      <c r="M81" s="400"/>
      <c r="N81" s="400"/>
      <c r="O81" s="400"/>
      <c r="P81" s="401"/>
      <c r="Q81" s="401"/>
      <c r="R81" s="401"/>
      <c r="S81" s="401"/>
      <c r="T81" s="401"/>
      <c r="U81" s="401"/>
      <c r="V81" s="401"/>
      <c r="W81" s="402"/>
      <c r="X81" s="403"/>
    </row>
    <row r="82" spans="1:25" s="368" customFormat="1" ht="19.5" thickTop="1" x14ac:dyDescent="0.3">
      <c r="A82" s="369"/>
      <c r="B82" s="369"/>
      <c r="C82" s="369"/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1065"/>
      <c r="Q82" s="1065"/>
      <c r="R82" s="1065"/>
      <c r="S82" s="371"/>
      <c r="T82" s="369"/>
      <c r="U82" s="369"/>
      <c r="V82" s="369"/>
      <c r="W82" s="372"/>
      <c r="X82" s="369"/>
    </row>
    <row r="83" spans="1:25" s="368" customFormat="1" x14ac:dyDescent="0.3">
      <c r="A83" s="369"/>
      <c r="B83" s="369"/>
      <c r="C83" s="369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69"/>
      <c r="P83" s="373"/>
      <c r="Q83" s="374"/>
      <c r="R83" s="374"/>
      <c r="S83" s="371"/>
      <c r="T83" s="369"/>
      <c r="U83" s="369"/>
      <c r="V83" s="369"/>
      <c r="W83" s="372"/>
      <c r="X83" s="369"/>
    </row>
    <row r="84" spans="1:25" s="368" customFormat="1" x14ac:dyDescent="0.3">
      <c r="A84" s="369"/>
      <c r="B84" s="369"/>
      <c r="C84" s="369"/>
      <c r="E84" s="369"/>
      <c r="F84" s="369"/>
      <c r="G84" s="369"/>
      <c r="H84" s="369"/>
      <c r="I84" s="369"/>
      <c r="J84" s="369"/>
      <c r="K84" s="369"/>
      <c r="L84" s="369"/>
      <c r="M84" s="369"/>
      <c r="N84" s="369"/>
      <c r="O84" s="369"/>
      <c r="P84" s="373"/>
      <c r="Q84" s="374"/>
      <c r="R84" s="374"/>
      <c r="S84" s="371"/>
      <c r="T84" s="369"/>
      <c r="U84" s="369"/>
      <c r="V84" s="369"/>
      <c r="W84" s="372"/>
      <c r="X84" s="369"/>
    </row>
    <row r="85" spans="1:25" s="368" customFormat="1" x14ac:dyDescent="0.3">
      <c r="A85" s="369"/>
      <c r="B85" s="369"/>
      <c r="C85" s="369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69"/>
      <c r="P85" s="1066"/>
      <c r="Q85" s="1066"/>
      <c r="R85" s="1066"/>
      <c r="S85" s="371"/>
      <c r="T85" s="369"/>
      <c r="U85" s="369"/>
      <c r="V85" s="369"/>
      <c r="W85" s="372"/>
      <c r="X85" s="369"/>
    </row>
    <row r="86" spans="1:25" s="368" customFormat="1" x14ac:dyDescent="0.3">
      <c r="A86" s="369"/>
      <c r="B86" s="369"/>
      <c r="C86" s="369"/>
      <c r="E86" s="369"/>
      <c r="F86" s="369"/>
      <c r="G86" s="369"/>
      <c r="H86" s="369"/>
      <c r="I86" s="369"/>
      <c r="J86" s="369"/>
      <c r="K86" s="369"/>
      <c r="L86" s="369"/>
      <c r="M86" s="369"/>
      <c r="N86" s="369"/>
      <c r="O86" s="369"/>
      <c r="P86" s="370"/>
      <c r="Q86" s="371"/>
      <c r="R86" s="371"/>
      <c r="S86" s="371"/>
      <c r="T86" s="369"/>
      <c r="U86" s="369"/>
      <c r="V86" s="369"/>
      <c r="W86" s="372"/>
      <c r="X86" s="369"/>
    </row>
    <row r="87" spans="1:25" s="368" customFormat="1" x14ac:dyDescent="0.3">
      <c r="A87" s="369"/>
      <c r="B87" s="369"/>
      <c r="C87" s="369"/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70"/>
      <c r="Q87" s="371"/>
      <c r="R87" s="371"/>
      <c r="S87" s="371"/>
      <c r="T87" s="369"/>
      <c r="U87" s="369"/>
      <c r="V87" s="369"/>
      <c r="W87" s="372"/>
      <c r="X87" s="369"/>
    </row>
    <row r="88" spans="1:25" s="368" customFormat="1" x14ac:dyDescent="0.3">
      <c r="A88" s="369"/>
      <c r="B88" s="369"/>
      <c r="C88" s="369"/>
      <c r="E88" s="369"/>
      <c r="F88" s="369"/>
      <c r="G88" s="369"/>
      <c r="H88" s="369"/>
      <c r="I88" s="369"/>
      <c r="J88" s="369"/>
      <c r="K88" s="369"/>
      <c r="L88" s="369"/>
      <c r="M88" s="369"/>
      <c r="N88" s="369"/>
      <c r="O88" s="369"/>
      <c r="P88" s="370"/>
      <c r="Q88" s="371"/>
      <c r="R88" s="371"/>
      <c r="S88" s="371"/>
      <c r="T88" s="369"/>
      <c r="U88" s="369"/>
      <c r="V88" s="369"/>
      <c r="W88" s="372"/>
      <c r="X88" s="369"/>
    </row>
    <row r="89" spans="1:25" s="368" customFormat="1" x14ac:dyDescent="0.3">
      <c r="A89" s="369"/>
      <c r="B89" s="369"/>
      <c r="C89" s="369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69"/>
      <c r="P89" s="370"/>
      <c r="Q89" s="371"/>
      <c r="R89" s="371"/>
      <c r="S89" s="371"/>
      <c r="T89" s="369"/>
      <c r="U89" s="369"/>
      <c r="V89" s="369"/>
      <c r="W89" s="372"/>
      <c r="X89" s="369"/>
    </row>
    <row r="90" spans="1:25" s="368" customFormat="1" x14ac:dyDescent="0.3">
      <c r="A90" s="369"/>
      <c r="B90" s="369"/>
      <c r="C90" s="369"/>
      <c r="E90" s="369"/>
      <c r="F90" s="369"/>
      <c r="G90" s="369"/>
      <c r="H90" s="369"/>
      <c r="I90" s="369"/>
      <c r="J90" s="369"/>
      <c r="K90" s="369"/>
      <c r="L90" s="369"/>
      <c r="M90" s="369"/>
      <c r="N90" s="369"/>
      <c r="O90" s="369"/>
      <c r="P90" s="370"/>
      <c r="Q90" s="371"/>
      <c r="R90" s="371"/>
      <c r="S90" s="371"/>
      <c r="T90" s="369"/>
      <c r="U90" s="369"/>
      <c r="V90" s="369"/>
      <c r="W90" s="372"/>
      <c r="X90" s="369"/>
    </row>
    <row r="91" spans="1:25" s="368" customFormat="1" x14ac:dyDescent="0.3">
      <c r="A91" s="369"/>
      <c r="B91" s="369"/>
      <c r="C91" s="369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69"/>
      <c r="P91" s="370"/>
      <c r="Q91" s="371"/>
      <c r="R91" s="371"/>
      <c r="S91" s="371"/>
      <c r="T91" s="369"/>
      <c r="U91" s="369"/>
      <c r="V91" s="369"/>
      <c r="W91" s="372"/>
      <c r="X91" s="369"/>
    </row>
    <row r="92" spans="1:25" s="368" customFormat="1" x14ac:dyDescent="0.3">
      <c r="A92" s="369"/>
      <c r="B92" s="369"/>
      <c r="C92" s="369"/>
      <c r="E92" s="369"/>
      <c r="F92" s="369"/>
      <c r="G92" s="369"/>
      <c r="H92" s="369"/>
      <c r="I92" s="369"/>
      <c r="J92" s="369"/>
      <c r="K92" s="369"/>
      <c r="L92" s="369"/>
      <c r="M92" s="369"/>
      <c r="N92" s="369"/>
      <c r="O92" s="369"/>
      <c r="P92" s="370"/>
      <c r="Q92" s="371"/>
      <c r="R92" s="371"/>
      <c r="S92" s="371"/>
      <c r="T92" s="369"/>
      <c r="U92" s="369"/>
      <c r="V92" s="369"/>
      <c r="W92" s="372"/>
      <c r="X92" s="369"/>
    </row>
    <row r="93" spans="1:25" s="368" customFormat="1" x14ac:dyDescent="0.3">
      <c r="A93" s="369"/>
      <c r="B93" s="369"/>
      <c r="C93" s="369"/>
      <c r="E93" s="369"/>
      <c r="F93" s="369"/>
      <c r="G93" s="369"/>
      <c r="H93" s="369"/>
      <c r="I93" s="369"/>
      <c r="J93" s="369"/>
      <c r="K93" s="369"/>
      <c r="L93" s="369"/>
      <c r="M93" s="369"/>
      <c r="N93" s="369"/>
      <c r="O93" s="369"/>
      <c r="P93" s="370"/>
      <c r="Q93" s="371"/>
      <c r="R93" s="371"/>
      <c r="S93" s="371"/>
      <c r="T93" s="369"/>
      <c r="U93" s="369"/>
      <c r="V93" s="369"/>
      <c r="W93" s="372"/>
      <c r="X93" s="369"/>
    </row>
    <row r="94" spans="1:25" s="368" customFormat="1" x14ac:dyDescent="0.3">
      <c r="A94" s="369"/>
      <c r="B94" s="369"/>
      <c r="C94" s="369"/>
      <c r="E94" s="369"/>
      <c r="F94" s="369"/>
      <c r="G94" s="369"/>
      <c r="H94" s="369"/>
      <c r="I94" s="369"/>
      <c r="J94" s="369"/>
      <c r="K94" s="369"/>
      <c r="L94" s="369"/>
      <c r="M94" s="369"/>
      <c r="N94" s="369"/>
      <c r="O94" s="369"/>
      <c r="P94" s="370"/>
      <c r="Q94" s="371"/>
      <c r="R94" s="371"/>
      <c r="S94" s="371"/>
      <c r="T94" s="369"/>
      <c r="U94" s="369"/>
      <c r="V94" s="369"/>
      <c r="W94" s="372"/>
      <c r="X94" s="369"/>
    </row>
    <row r="95" spans="1:25" x14ac:dyDescent="0.3">
      <c r="Y95" s="134"/>
    </row>
    <row r="96" spans="1:25" x14ac:dyDescent="0.3">
      <c r="Y96" s="134"/>
    </row>
    <row r="97" spans="25:25" x14ac:dyDescent="0.3">
      <c r="Y97" s="134"/>
    </row>
    <row r="98" spans="25:25" x14ac:dyDescent="0.3">
      <c r="Y98" s="134"/>
    </row>
    <row r="99" spans="25:25" x14ac:dyDescent="0.3">
      <c r="Y99" s="134"/>
    </row>
    <row r="100" spans="25:25" x14ac:dyDescent="0.3">
      <c r="Y100" s="134"/>
    </row>
    <row r="101" spans="25:25" x14ac:dyDescent="0.3">
      <c r="Y101" s="134"/>
    </row>
    <row r="102" spans="25:25" x14ac:dyDescent="0.3">
      <c r="Y102" s="134"/>
    </row>
    <row r="103" spans="25:25" x14ac:dyDescent="0.3">
      <c r="Y103" s="134"/>
    </row>
    <row r="104" spans="25:25" x14ac:dyDescent="0.3">
      <c r="Y104" s="134"/>
    </row>
  </sheetData>
  <autoFilter ref="P6:Y80">
    <filterColumn colId="1" showButton="0"/>
    <filterColumn colId="2" showButton="0"/>
    <filterColumn colId="3" showButton="0"/>
  </autoFilter>
  <mergeCells count="17">
    <mergeCell ref="A6:A7"/>
    <mergeCell ref="B6:C7"/>
    <mergeCell ref="D6:D7"/>
    <mergeCell ref="E6:E7"/>
    <mergeCell ref="F6:O6"/>
    <mergeCell ref="X6:X7"/>
    <mergeCell ref="P82:R82"/>
    <mergeCell ref="E1:X1"/>
    <mergeCell ref="E2:X2"/>
    <mergeCell ref="E3:X3"/>
    <mergeCell ref="E4:AH4"/>
    <mergeCell ref="P6:P7"/>
    <mergeCell ref="P85:R85"/>
    <mergeCell ref="Q6:T6"/>
    <mergeCell ref="U6:U7"/>
    <mergeCell ref="V6:V7"/>
    <mergeCell ref="W6:W7"/>
  </mergeCells>
  <printOptions horizontalCentered="1"/>
  <pageMargins left="0.85" right="0.16" top="0.27" bottom="0.28000000000000003" header="0.23" footer="0.2"/>
  <pageSetup scale="98"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I26"/>
  <sheetViews>
    <sheetView topLeftCell="A5" zoomScale="110" zoomScaleNormal="110" workbookViewId="0">
      <selection activeCell="K17" sqref="K17"/>
    </sheetView>
  </sheetViews>
  <sheetFormatPr defaultRowHeight="18.75" x14ac:dyDescent="0.3"/>
  <cols>
    <col min="1" max="1" width="2.796875" style="1" customWidth="1"/>
    <col min="2" max="2" width="4.59765625" style="1" customWidth="1"/>
    <col min="3" max="3" width="4.5" style="1" customWidth="1"/>
    <col min="4" max="4" width="14.5" customWidth="1"/>
    <col min="5" max="5" width="7.69921875" style="1" customWidth="1"/>
    <col min="6" max="16" width="2.8984375" style="1" customWidth="1"/>
    <col min="17" max="17" width="4.19921875" style="5" customWidth="1"/>
    <col min="18" max="20" width="2.19921875" style="22" hidden="1" customWidth="1"/>
    <col min="21" max="22" width="3.3984375" style="1" hidden="1" customWidth="1"/>
    <col min="23" max="23" width="4.5" style="1" customWidth="1"/>
    <col min="24" max="24" width="4.3984375" style="15" hidden="1" customWidth="1"/>
    <col min="25" max="25" width="26.3984375" style="1" customWidth="1"/>
    <col min="26" max="26" width="9.296875" customWidth="1"/>
    <col min="27" max="27" width="6.5" customWidth="1"/>
  </cols>
  <sheetData>
    <row r="1" spans="1:35" s="368" customFormat="1" x14ac:dyDescent="0.3">
      <c r="A1" s="369"/>
      <c r="B1" s="369"/>
      <c r="C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70"/>
      <c r="R1" s="371"/>
      <c r="S1" s="371"/>
      <c r="T1" s="371"/>
      <c r="U1" s="369"/>
      <c r="V1" s="369"/>
      <c r="W1" s="369"/>
      <c r="X1" s="372"/>
      <c r="Y1" s="369"/>
    </row>
    <row r="2" spans="1:35" s="351" customFormat="1" ht="17.25" x14ac:dyDescent="0.3">
      <c r="B2" s="577"/>
      <c r="C2" s="577"/>
      <c r="D2" s="577"/>
      <c r="E2" s="1065" t="s">
        <v>30</v>
      </c>
      <c r="F2" s="1065"/>
      <c r="G2" s="1065"/>
      <c r="H2" s="1065"/>
      <c r="I2" s="1065"/>
      <c r="J2" s="1065"/>
      <c r="K2" s="1065"/>
      <c r="L2" s="1065"/>
      <c r="M2" s="1065"/>
      <c r="N2" s="1065"/>
      <c r="O2" s="1065"/>
      <c r="P2" s="1065"/>
      <c r="Q2" s="1065"/>
      <c r="R2" s="1065"/>
      <c r="S2" s="1065"/>
      <c r="T2" s="1065"/>
      <c r="U2" s="1065"/>
      <c r="V2" s="1065"/>
      <c r="W2" s="1065"/>
      <c r="X2" s="1065"/>
      <c r="Y2" s="1065"/>
    </row>
    <row r="3" spans="1:35" s="351" customFormat="1" ht="15.75" x14ac:dyDescent="0.25">
      <c r="B3" s="578"/>
      <c r="C3" s="578"/>
      <c r="D3" s="578"/>
      <c r="E3" s="1064" t="s">
        <v>482</v>
      </c>
      <c r="F3" s="1064"/>
      <c r="G3" s="1064"/>
      <c r="H3" s="1064"/>
      <c r="I3" s="1064"/>
      <c r="J3" s="1064"/>
      <c r="K3" s="1064"/>
      <c r="L3" s="1064"/>
      <c r="M3" s="1064"/>
      <c r="N3" s="1064"/>
      <c r="O3" s="1064"/>
      <c r="P3" s="1064"/>
      <c r="Q3" s="1064"/>
      <c r="R3" s="1064"/>
      <c r="S3" s="1064"/>
      <c r="T3" s="1064"/>
      <c r="U3" s="1064"/>
      <c r="V3" s="1064"/>
      <c r="W3" s="1064"/>
      <c r="X3" s="1064"/>
      <c r="Y3" s="1064"/>
    </row>
    <row r="4" spans="1:35" s="351" customFormat="1" ht="15.75" hidden="1" x14ac:dyDescent="0.25">
      <c r="B4" s="579"/>
      <c r="C4" s="579"/>
      <c r="D4" s="579"/>
      <c r="E4" s="1302" t="s">
        <v>28</v>
      </c>
      <c r="F4" s="1302"/>
      <c r="G4" s="1302"/>
      <c r="H4" s="1302"/>
      <c r="I4" s="1302"/>
      <c r="J4" s="1302"/>
      <c r="K4" s="1302"/>
      <c r="L4" s="1302"/>
      <c r="M4" s="1302"/>
      <c r="N4" s="1302"/>
      <c r="O4" s="1302"/>
      <c r="P4" s="1302"/>
      <c r="Q4" s="1302"/>
      <c r="R4" s="1302"/>
      <c r="S4" s="1302"/>
      <c r="T4" s="1302"/>
      <c r="U4" s="1302"/>
      <c r="V4" s="1302"/>
      <c r="W4" s="1302"/>
      <c r="X4" s="1302"/>
      <c r="Y4" s="1302"/>
    </row>
    <row r="5" spans="1:35" s="351" customFormat="1" ht="15.75" customHeight="1" x14ac:dyDescent="0.25">
      <c r="B5" s="578"/>
      <c r="C5" s="578"/>
      <c r="D5" s="578"/>
      <c r="E5" s="1303" t="s">
        <v>483</v>
      </c>
      <c r="F5" s="1303"/>
      <c r="G5" s="1303"/>
      <c r="H5" s="1303"/>
      <c r="I5" s="1303"/>
      <c r="J5" s="1303"/>
      <c r="K5" s="1303"/>
      <c r="L5" s="1303"/>
      <c r="M5" s="1303"/>
      <c r="N5" s="1303"/>
      <c r="O5" s="1303"/>
      <c r="P5" s="1303"/>
      <c r="Q5" s="1303"/>
      <c r="R5" s="1303"/>
      <c r="S5" s="1303"/>
      <c r="T5" s="1303"/>
      <c r="U5" s="1303"/>
      <c r="V5" s="1303"/>
      <c r="W5" s="1303"/>
      <c r="X5" s="1303"/>
      <c r="Y5" s="1303"/>
      <c r="Z5" s="1303"/>
      <c r="AA5" s="1303"/>
      <c r="AB5" s="1303"/>
      <c r="AC5" s="1303"/>
      <c r="AD5" s="1303"/>
      <c r="AE5" s="1303"/>
      <c r="AF5" s="1303"/>
      <c r="AG5" s="1303"/>
      <c r="AH5" s="1303"/>
      <c r="AI5" s="1303"/>
    </row>
    <row r="6" spans="1:35" s="351" customFormat="1" ht="16.5" thickBot="1" x14ac:dyDescent="0.3">
      <c r="A6" s="667"/>
      <c r="B6" s="667"/>
      <c r="C6" s="667"/>
      <c r="D6" s="667"/>
      <c r="E6" s="667"/>
      <c r="F6" s="580"/>
      <c r="G6" s="580"/>
      <c r="H6" s="580"/>
      <c r="I6" s="580"/>
      <c r="J6" s="580"/>
      <c r="K6" s="580"/>
      <c r="L6" s="580"/>
      <c r="M6" s="580"/>
      <c r="N6" s="580"/>
      <c r="O6" s="580"/>
      <c r="P6" s="580"/>
      <c r="Q6" s="667"/>
      <c r="R6" s="581"/>
      <c r="S6" s="581"/>
      <c r="T6" s="581"/>
      <c r="U6" s="667"/>
      <c r="V6" s="667"/>
      <c r="W6" s="667"/>
      <c r="X6" s="667"/>
      <c r="Y6" s="667"/>
    </row>
    <row r="7" spans="1:35" s="351" customFormat="1" ht="23.25" customHeight="1" thickTop="1" x14ac:dyDescent="0.2">
      <c r="A7" s="1268" t="s">
        <v>91</v>
      </c>
      <c r="B7" s="1270" t="s">
        <v>106</v>
      </c>
      <c r="C7" s="1271"/>
      <c r="D7" s="1274" t="s">
        <v>92</v>
      </c>
      <c r="E7" s="1270" t="s">
        <v>93</v>
      </c>
      <c r="F7" s="1261" t="s">
        <v>132</v>
      </c>
      <c r="G7" s="1262"/>
      <c r="H7" s="1262"/>
      <c r="I7" s="1262"/>
      <c r="J7" s="1262"/>
      <c r="K7" s="1262"/>
      <c r="L7" s="1262"/>
      <c r="M7" s="1262"/>
      <c r="N7" s="1262"/>
      <c r="O7" s="1262"/>
      <c r="P7" s="1262"/>
      <c r="Q7" s="1277" t="s">
        <v>102</v>
      </c>
      <c r="R7" s="1261" t="s">
        <v>104</v>
      </c>
      <c r="S7" s="1262"/>
      <c r="T7" s="1262"/>
      <c r="U7" s="1263"/>
      <c r="V7" s="1264" t="s">
        <v>99</v>
      </c>
      <c r="W7" s="1264" t="s">
        <v>100</v>
      </c>
      <c r="X7" s="1050" t="s">
        <v>103</v>
      </c>
      <c r="Y7" s="1266" t="s">
        <v>90</v>
      </c>
      <c r="Z7" s="351">
        <v>11</v>
      </c>
    </row>
    <row r="8" spans="1:35" s="351" customFormat="1" ht="126" customHeight="1" x14ac:dyDescent="0.2">
      <c r="A8" s="1269"/>
      <c r="B8" s="1272"/>
      <c r="C8" s="1273"/>
      <c r="D8" s="1275"/>
      <c r="E8" s="1275"/>
      <c r="F8" s="462" t="s">
        <v>313</v>
      </c>
      <c r="G8" s="279" t="s">
        <v>330</v>
      </c>
      <c r="H8" s="462" t="s">
        <v>43</v>
      </c>
      <c r="I8" s="462" t="s">
        <v>107</v>
      </c>
      <c r="J8" s="462" t="s">
        <v>111</v>
      </c>
      <c r="K8" s="463" t="s">
        <v>323</v>
      </c>
      <c r="L8" s="463" t="s">
        <v>326</v>
      </c>
      <c r="M8" s="282" t="s">
        <v>96</v>
      </c>
      <c r="N8" s="413" t="s">
        <v>458</v>
      </c>
      <c r="O8" s="282" t="s">
        <v>113</v>
      </c>
      <c r="P8" s="413" t="s">
        <v>459</v>
      </c>
      <c r="Q8" s="1292"/>
      <c r="R8" s="323" t="s">
        <v>108</v>
      </c>
      <c r="S8" s="323" t="s">
        <v>97</v>
      </c>
      <c r="T8" s="323" t="s">
        <v>96</v>
      </c>
      <c r="U8" s="375" t="s">
        <v>98</v>
      </c>
      <c r="V8" s="1265"/>
      <c r="W8" s="1265"/>
      <c r="X8" s="1051"/>
      <c r="Y8" s="1267"/>
      <c r="Z8" s="351" t="s">
        <v>94</v>
      </c>
    </row>
    <row r="9" spans="1:35" s="256" customFormat="1" ht="18" customHeight="1" x14ac:dyDescent="0.2">
      <c r="A9" s="285">
        <v>1</v>
      </c>
      <c r="B9" s="245" t="s">
        <v>23</v>
      </c>
      <c r="C9" s="246">
        <v>2022</v>
      </c>
      <c r="D9" s="264" t="s">
        <v>1606</v>
      </c>
      <c r="E9" s="275" t="s">
        <v>1607</v>
      </c>
      <c r="F9" s="268">
        <v>8</v>
      </c>
      <c r="G9" s="266">
        <v>7</v>
      </c>
      <c r="H9" s="268">
        <v>8</v>
      </c>
      <c r="I9" s="268">
        <v>7</v>
      </c>
      <c r="J9" s="268">
        <v>8</v>
      </c>
      <c r="K9" s="268">
        <v>9</v>
      </c>
      <c r="L9" s="268">
        <v>7.5</v>
      </c>
      <c r="M9" s="268">
        <v>7</v>
      </c>
      <c r="N9" s="582">
        <v>7.5</v>
      </c>
      <c r="O9" s="268">
        <v>7</v>
      </c>
      <c r="P9" s="268">
        <v>7</v>
      </c>
      <c r="Q9" s="243">
        <f t="shared" ref="Q9:Q14" si="0">SUM(F9:P9)/11</f>
        <v>7.5454545454545459</v>
      </c>
      <c r="R9" s="268"/>
      <c r="S9" s="268"/>
      <c r="T9" s="268"/>
      <c r="U9" s="243">
        <f>SUM(R9:T9)/3</f>
        <v>0</v>
      </c>
      <c r="V9" s="243">
        <f>SUM(Q9+U9)/2</f>
        <v>3.7727272727272729</v>
      </c>
      <c r="W9" s="257" t="s">
        <v>101</v>
      </c>
      <c r="X9" s="358"/>
      <c r="Y9" s="259" t="s">
        <v>190</v>
      </c>
      <c r="Z9" s="255"/>
      <c r="AA9" s="357">
        <f t="shared" ref="AA9:AA14" si="1">AVERAGE(F9:P9)</f>
        <v>7.5454545454545459</v>
      </c>
    </row>
    <row r="10" spans="1:35" s="256" customFormat="1" ht="18" customHeight="1" x14ac:dyDescent="0.2">
      <c r="A10" s="287">
        <v>2</v>
      </c>
      <c r="B10" s="245"/>
      <c r="C10" s="246">
        <v>2022</v>
      </c>
      <c r="D10" s="269" t="s">
        <v>1608</v>
      </c>
      <c r="E10" s="294" t="s">
        <v>1044</v>
      </c>
      <c r="F10" s="242">
        <v>8</v>
      </c>
      <c r="G10" s="242">
        <v>7</v>
      </c>
      <c r="H10" s="242">
        <v>7.5</v>
      </c>
      <c r="I10" s="242">
        <v>6</v>
      </c>
      <c r="J10" s="242">
        <v>7.5</v>
      </c>
      <c r="K10" s="242">
        <v>9</v>
      </c>
      <c r="L10" s="242">
        <v>8</v>
      </c>
      <c r="M10" s="242">
        <v>7.5</v>
      </c>
      <c r="N10" s="242">
        <v>7.5</v>
      </c>
      <c r="O10" s="242">
        <v>7.5</v>
      </c>
      <c r="P10" s="242">
        <v>7.5</v>
      </c>
      <c r="Q10" s="243">
        <f t="shared" si="0"/>
        <v>7.5454545454545459</v>
      </c>
      <c r="R10" s="242"/>
      <c r="S10" s="242"/>
      <c r="T10" s="242"/>
      <c r="U10" s="277">
        <f>SUM(R10:T10)/3</f>
        <v>0</v>
      </c>
      <c r="V10" s="277">
        <f>SUM(Q10+U10)/2</f>
        <v>3.7727272727272729</v>
      </c>
      <c r="W10" s="252" t="s">
        <v>95</v>
      </c>
      <c r="X10" s="273"/>
      <c r="Y10" s="261" t="s">
        <v>193</v>
      </c>
      <c r="Z10" s="255"/>
      <c r="AA10" s="357">
        <f t="shared" si="1"/>
        <v>7.5454545454545459</v>
      </c>
    </row>
    <row r="11" spans="1:35" s="256" customFormat="1" ht="18" customHeight="1" x14ac:dyDescent="0.2">
      <c r="A11" s="287">
        <v>3</v>
      </c>
      <c r="B11" s="245"/>
      <c r="C11" s="246">
        <v>2022</v>
      </c>
      <c r="D11" s="393" t="s">
        <v>1609</v>
      </c>
      <c r="E11" s="583" t="s">
        <v>1054</v>
      </c>
      <c r="F11" s="242">
        <v>8</v>
      </c>
      <c r="G11" s="242">
        <v>7.2</v>
      </c>
      <c r="H11" s="242">
        <v>8</v>
      </c>
      <c r="I11" s="242">
        <v>8</v>
      </c>
      <c r="J11" s="242">
        <v>8</v>
      </c>
      <c r="K11" s="242">
        <v>9</v>
      </c>
      <c r="L11" s="242">
        <v>7.5</v>
      </c>
      <c r="M11" s="242">
        <v>7</v>
      </c>
      <c r="N11" s="242">
        <v>7.5</v>
      </c>
      <c r="O11" s="242">
        <v>8</v>
      </c>
      <c r="P11" s="242">
        <v>7</v>
      </c>
      <c r="Q11" s="243">
        <f t="shared" si="0"/>
        <v>7.745454545454546</v>
      </c>
      <c r="R11" s="242"/>
      <c r="S11" s="242"/>
      <c r="T11" s="242"/>
      <c r="U11" s="277">
        <f>SUM(R11:T11)/3</f>
        <v>0</v>
      </c>
      <c r="V11" s="277">
        <f>SUM(Q11+U11)/2</f>
        <v>3.872727272727273</v>
      </c>
      <c r="W11" s="252" t="s">
        <v>101</v>
      </c>
      <c r="X11" s="358"/>
      <c r="Y11" s="584" t="s">
        <v>193</v>
      </c>
      <c r="Z11" s="255"/>
      <c r="AA11" s="357">
        <f t="shared" si="1"/>
        <v>7.745454545454546</v>
      </c>
    </row>
    <row r="12" spans="1:35" s="256" customFormat="1" ht="18" customHeight="1" x14ac:dyDescent="0.2">
      <c r="A12" s="287">
        <v>4</v>
      </c>
      <c r="B12" s="245"/>
      <c r="C12" s="246">
        <v>2022</v>
      </c>
      <c r="D12" s="393" t="s">
        <v>1610</v>
      </c>
      <c r="E12" s="583" t="s">
        <v>600</v>
      </c>
      <c r="F12" s="242">
        <v>7.5</v>
      </c>
      <c r="G12" s="242">
        <v>7.8</v>
      </c>
      <c r="H12" s="242">
        <v>7.5</v>
      </c>
      <c r="I12" s="242">
        <v>7</v>
      </c>
      <c r="J12" s="242">
        <v>6.5</v>
      </c>
      <c r="K12" s="242">
        <v>9</v>
      </c>
      <c r="L12" s="242">
        <v>7</v>
      </c>
      <c r="M12" s="242">
        <v>6.5</v>
      </c>
      <c r="N12" s="242">
        <v>7</v>
      </c>
      <c r="O12" s="242">
        <v>6.5</v>
      </c>
      <c r="P12" s="242">
        <v>7</v>
      </c>
      <c r="Q12" s="243">
        <f t="shared" si="0"/>
        <v>7.209090909090909</v>
      </c>
      <c r="R12" s="242"/>
      <c r="S12" s="242"/>
      <c r="T12" s="242"/>
      <c r="U12" s="277"/>
      <c r="V12" s="277"/>
      <c r="W12" s="252" t="s">
        <v>101</v>
      </c>
      <c r="X12" s="358"/>
      <c r="Y12" s="584" t="s">
        <v>174</v>
      </c>
      <c r="Z12" s="255"/>
      <c r="AA12" s="357">
        <f t="shared" si="1"/>
        <v>7.209090909090909</v>
      </c>
    </row>
    <row r="13" spans="1:35" s="256" customFormat="1" ht="18" customHeight="1" x14ac:dyDescent="0.2">
      <c r="A13" s="287">
        <v>5</v>
      </c>
      <c r="B13" s="245"/>
      <c r="C13" s="246">
        <v>2022</v>
      </c>
      <c r="D13" s="269" t="s">
        <v>1611</v>
      </c>
      <c r="E13" s="294" t="s">
        <v>1612</v>
      </c>
      <c r="F13" s="242">
        <v>6</v>
      </c>
      <c r="G13" s="242">
        <v>6.5</v>
      </c>
      <c r="H13" s="242">
        <v>6.5</v>
      </c>
      <c r="I13" s="242">
        <v>6</v>
      </c>
      <c r="J13" s="242">
        <v>7.5</v>
      </c>
      <c r="K13" s="242">
        <v>9</v>
      </c>
      <c r="L13" s="242">
        <v>5</v>
      </c>
      <c r="M13" s="242">
        <v>7</v>
      </c>
      <c r="N13" s="242">
        <v>7</v>
      </c>
      <c r="O13" s="242">
        <v>7</v>
      </c>
      <c r="P13" s="242">
        <v>7</v>
      </c>
      <c r="Q13" s="243">
        <f t="shared" si="0"/>
        <v>6.7727272727272725</v>
      </c>
      <c r="R13" s="242"/>
      <c r="S13" s="242"/>
      <c r="T13" s="242"/>
      <c r="U13" s="277">
        <f>SUM(R13:T13)/3</f>
        <v>0</v>
      </c>
      <c r="V13" s="277">
        <f>SUM(Q13+U13)/2</f>
        <v>3.3863636363636362</v>
      </c>
      <c r="W13" s="252" t="s">
        <v>101</v>
      </c>
      <c r="X13" s="273"/>
      <c r="Y13" s="261" t="s">
        <v>193</v>
      </c>
      <c r="Z13" s="255"/>
      <c r="AA13" s="628">
        <f t="shared" si="1"/>
        <v>6.7727272727272725</v>
      </c>
    </row>
    <row r="14" spans="1:35" s="256" customFormat="1" ht="18" customHeight="1" x14ac:dyDescent="0.2">
      <c r="A14" s="287">
        <v>6</v>
      </c>
      <c r="B14" s="245"/>
      <c r="C14" s="246">
        <v>2022</v>
      </c>
      <c r="D14" s="269" t="s">
        <v>1613</v>
      </c>
      <c r="E14" s="294" t="s">
        <v>1614</v>
      </c>
      <c r="F14" s="242">
        <v>7.5</v>
      </c>
      <c r="G14" s="242">
        <v>7</v>
      </c>
      <c r="H14" s="242">
        <v>8</v>
      </c>
      <c r="I14" s="242">
        <v>7</v>
      </c>
      <c r="J14" s="242">
        <v>8</v>
      </c>
      <c r="K14" s="242">
        <v>9</v>
      </c>
      <c r="L14" s="242">
        <v>8</v>
      </c>
      <c r="M14" s="242">
        <v>7.5</v>
      </c>
      <c r="N14" s="242">
        <v>7.5</v>
      </c>
      <c r="O14" s="242">
        <v>7.5</v>
      </c>
      <c r="P14" s="242">
        <v>7</v>
      </c>
      <c r="Q14" s="243">
        <f t="shared" si="0"/>
        <v>7.6363636363636367</v>
      </c>
      <c r="R14" s="242"/>
      <c r="S14" s="242"/>
      <c r="T14" s="242"/>
      <c r="U14" s="277">
        <f>SUM(R14:T14)/3</f>
        <v>0</v>
      </c>
      <c r="V14" s="277">
        <f>SUM(Q14+U14)/2</f>
        <v>3.8181818181818183</v>
      </c>
      <c r="W14" s="252" t="s">
        <v>101</v>
      </c>
      <c r="X14" s="358"/>
      <c r="Y14" s="261" t="s">
        <v>190</v>
      </c>
      <c r="Z14" s="255"/>
      <c r="AA14" s="357">
        <f t="shared" si="1"/>
        <v>7.6363636363636367</v>
      </c>
    </row>
    <row r="15" spans="1:35" s="368" customFormat="1" ht="18" customHeight="1" thickBot="1" x14ac:dyDescent="0.3">
      <c r="A15" s="551"/>
      <c r="B15" s="585"/>
      <c r="C15" s="586"/>
      <c r="D15" s="587"/>
      <c r="E15" s="588"/>
      <c r="F15" s="589"/>
      <c r="G15" s="365"/>
      <c r="H15" s="553"/>
      <c r="I15" s="553"/>
      <c r="J15" s="553"/>
      <c r="K15" s="553"/>
      <c r="L15" s="553"/>
      <c r="M15" s="553"/>
      <c r="N15" s="553"/>
      <c r="O15" s="553"/>
      <c r="P15" s="553"/>
      <c r="Q15" s="554"/>
      <c r="R15" s="365"/>
      <c r="S15" s="365"/>
      <c r="T15" s="365"/>
      <c r="U15" s="365"/>
      <c r="V15" s="365"/>
      <c r="W15" s="590"/>
      <c r="X15" s="591"/>
      <c r="Y15" s="592"/>
      <c r="Z15" s="256"/>
    </row>
    <row r="16" spans="1:35" s="368" customFormat="1" ht="19.5" thickTop="1" x14ac:dyDescent="0.3">
      <c r="A16" s="369"/>
      <c r="B16" s="369"/>
      <c r="C16" s="369"/>
      <c r="E16" s="369"/>
      <c r="F16" s="369"/>
      <c r="G16" s="369"/>
      <c r="H16" s="369"/>
      <c r="I16" s="369"/>
      <c r="J16" s="369"/>
      <c r="K16" s="369"/>
      <c r="L16" s="369"/>
      <c r="M16" s="369"/>
      <c r="N16" s="369"/>
      <c r="O16" s="369"/>
      <c r="P16" s="369"/>
      <c r="Q16" s="1065"/>
      <c r="R16" s="1065"/>
      <c r="S16" s="1065"/>
      <c r="T16" s="1065"/>
      <c r="U16" s="1065"/>
      <c r="V16" s="1065"/>
      <c r="W16" s="1065"/>
      <c r="X16" s="1065"/>
      <c r="Y16" s="1065"/>
    </row>
    <row r="17" spans="1:25" s="368" customFormat="1" x14ac:dyDescent="0.3">
      <c r="A17" s="369"/>
      <c r="B17" s="369"/>
      <c r="C17" s="369"/>
      <c r="E17" s="369"/>
      <c r="F17" s="369"/>
      <c r="G17" s="369"/>
      <c r="H17" s="369"/>
      <c r="I17" s="369"/>
      <c r="J17" s="369"/>
      <c r="K17" s="369"/>
      <c r="L17" s="369"/>
      <c r="M17" s="369"/>
      <c r="N17" s="369"/>
      <c r="O17" s="369"/>
      <c r="P17" s="369"/>
      <c r="Q17" s="1065"/>
      <c r="R17" s="1065"/>
      <c r="S17" s="1065"/>
      <c r="T17" s="371"/>
      <c r="U17" s="369"/>
      <c r="V17" s="369"/>
      <c r="W17" s="369"/>
      <c r="X17" s="372"/>
      <c r="Y17" s="369"/>
    </row>
    <row r="18" spans="1:25" s="368" customFormat="1" x14ac:dyDescent="0.3">
      <c r="A18" s="369"/>
      <c r="B18" s="369"/>
      <c r="C18" s="369"/>
      <c r="E18" s="369"/>
      <c r="F18" s="369"/>
      <c r="G18" s="369"/>
      <c r="H18" s="369"/>
      <c r="I18" s="369"/>
      <c r="J18" s="369"/>
      <c r="K18" s="369"/>
      <c r="L18" s="369"/>
      <c r="M18" s="369"/>
      <c r="N18" s="369"/>
      <c r="O18" s="369"/>
      <c r="P18" s="369"/>
      <c r="Q18" s="373"/>
      <c r="R18" s="374"/>
      <c r="S18" s="374"/>
      <c r="T18" s="371"/>
      <c r="U18" s="369"/>
      <c r="V18" s="369"/>
      <c r="W18" s="369"/>
      <c r="X18" s="372"/>
      <c r="Y18" s="369"/>
    </row>
    <row r="19" spans="1:25" s="368" customFormat="1" x14ac:dyDescent="0.3">
      <c r="A19" s="369"/>
      <c r="B19" s="369"/>
      <c r="C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73"/>
      <c r="R19" s="374"/>
      <c r="S19" s="374"/>
      <c r="T19" s="371"/>
      <c r="U19" s="369"/>
      <c r="V19" s="369"/>
      <c r="W19" s="369"/>
      <c r="X19" s="372"/>
      <c r="Y19" s="369"/>
    </row>
    <row r="20" spans="1:25" s="368" customFormat="1" x14ac:dyDescent="0.3">
      <c r="A20" s="369"/>
      <c r="B20" s="369"/>
      <c r="C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1066"/>
      <c r="R20" s="1066"/>
      <c r="S20" s="1066"/>
      <c r="T20" s="371"/>
      <c r="U20" s="369"/>
      <c r="V20" s="369"/>
      <c r="W20" s="369"/>
      <c r="X20" s="372"/>
      <c r="Y20" s="369"/>
    </row>
    <row r="21" spans="1:25" s="368" customFormat="1" ht="18" x14ac:dyDescent="0.25">
      <c r="A21" s="369"/>
      <c r="B21" s="369"/>
      <c r="C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69"/>
      <c r="Q21" s="1064"/>
      <c r="R21" s="1064"/>
      <c r="S21" s="1064"/>
      <c r="T21" s="1064"/>
      <c r="U21" s="1064"/>
      <c r="V21" s="1064"/>
      <c r="W21" s="1064"/>
      <c r="X21" s="1064"/>
      <c r="Y21" s="1064"/>
    </row>
    <row r="22" spans="1:25" s="368" customFormat="1" x14ac:dyDescent="0.3">
      <c r="A22" s="369"/>
      <c r="B22" s="369"/>
      <c r="C22" s="369"/>
      <c r="E22" s="369"/>
      <c r="F22" s="369"/>
      <c r="G22" s="369"/>
      <c r="H22" s="369"/>
      <c r="I22" s="369"/>
      <c r="J22" s="369"/>
      <c r="K22" s="369"/>
      <c r="L22" s="369"/>
      <c r="M22" s="369"/>
      <c r="N22" s="369"/>
      <c r="O22" s="369"/>
      <c r="P22" s="369"/>
      <c r="Q22" s="370"/>
      <c r="R22" s="371"/>
      <c r="S22" s="371"/>
      <c r="T22" s="371"/>
      <c r="U22" s="369"/>
      <c r="V22" s="369"/>
      <c r="W22" s="369"/>
      <c r="X22" s="372"/>
      <c r="Y22" s="369"/>
    </row>
    <row r="23" spans="1:25" s="368" customFormat="1" x14ac:dyDescent="0.3">
      <c r="A23" s="369"/>
      <c r="B23" s="369"/>
      <c r="C23" s="369"/>
      <c r="E23" s="369"/>
      <c r="F23" s="369"/>
      <c r="G23" s="369"/>
      <c r="H23" s="369"/>
      <c r="I23" s="369"/>
      <c r="J23" s="369"/>
      <c r="K23" s="369"/>
      <c r="L23" s="369"/>
      <c r="M23" s="369"/>
      <c r="N23" s="369"/>
      <c r="O23" s="369"/>
      <c r="P23" s="369"/>
      <c r="Q23" s="370"/>
      <c r="R23" s="371"/>
      <c r="S23" s="371"/>
      <c r="T23" s="371"/>
      <c r="U23" s="369"/>
      <c r="V23" s="369"/>
      <c r="W23" s="369"/>
      <c r="X23" s="372"/>
      <c r="Y23" s="369"/>
    </row>
    <row r="24" spans="1:25" x14ac:dyDescent="0.3">
      <c r="A24" s="236"/>
      <c r="B24" s="236"/>
      <c r="C24" s="236"/>
      <c r="D24" s="3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R24" s="20"/>
      <c r="S24" s="20"/>
      <c r="T24" s="20"/>
      <c r="U24" s="236"/>
      <c r="V24" s="236"/>
      <c r="W24" s="236"/>
      <c r="X24" s="14"/>
      <c r="Y24" s="236"/>
    </row>
    <row r="25" spans="1:25" x14ac:dyDescent="0.3">
      <c r="A25" s="236"/>
      <c r="B25" s="236"/>
      <c r="C25" s="236"/>
      <c r="D25" s="3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R25" s="20"/>
      <c r="S25" s="20"/>
      <c r="T25" s="20"/>
      <c r="U25" s="236"/>
      <c r="V25" s="236"/>
      <c r="W25" s="236"/>
      <c r="X25" s="14"/>
      <c r="Y25" s="236"/>
    </row>
    <row r="26" spans="1:25" x14ac:dyDescent="0.3">
      <c r="A26" s="236"/>
      <c r="B26" s="236"/>
      <c r="C26" s="236"/>
      <c r="D26" s="3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R26" s="20"/>
      <c r="S26" s="20"/>
      <c r="T26" s="20"/>
      <c r="U26" s="236"/>
      <c r="V26" s="236"/>
      <c r="W26" s="236"/>
      <c r="X26" s="14"/>
      <c r="Y26" s="236"/>
    </row>
  </sheetData>
  <autoFilter ref="Q7:Z16">
    <filterColumn colId="1" showButton="0"/>
    <filterColumn colId="2" showButton="0"/>
    <filterColumn colId="3" showButton="0"/>
  </autoFilter>
  <mergeCells count="19">
    <mergeCell ref="E2:Y2"/>
    <mergeCell ref="E3:Y3"/>
    <mergeCell ref="E4:Y4"/>
    <mergeCell ref="E5:AI5"/>
    <mergeCell ref="A7:A8"/>
    <mergeCell ref="B7:C8"/>
    <mergeCell ref="D7:D8"/>
    <mergeCell ref="E7:E8"/>
    <mergeCell ref="F7:P7"/>
    <mergeCell ref="Q7:Q8"/>
    <mergeCell ref="Q17:S17"/>
    <mergeCell ref="Q20:S20"/>
    <mergeCell ref="Q21:Y21"/>
    <mergeCell ref="R7:U7"/>
    <mergeCell ref="V7:V8"/>
    <mergeCell ref="W7:W8"/>
    <mergeCell ref="X7:X8"/>
    <mergeCell ref="Y7:Y8"/>
    <mergeCell ref="Q16:Y16"/>
  </mergeCells>
  <printOptions horizontalCentered="1"/>
  <pageMargins left="0.72" right="0.16" top="0.27" bottom="0.31" header="0.23" footer="0.27"/>
  <pageSetup scale="98" orientation="landscape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I86"/>
  <sheetViews>
    <sheetView topLeftCell="A36" zoomScale="110" zoomScaleNormal="110" workbookViewId="0">
      <selection activeCell="K17" sqref="K17"/>
    </sheetView>
  </sheetViews>
  <sheetFormatPr defaultRowHeight="18.75" x14ac:dyDescent="0.3"/>
  <cols>
    <col min="1" max="1" width="3.09765625" style="1" customWidth="1"/>
    <col min="2" max="2" width="4.296875" style="1" customWidth="1"/>
    <col min="3" max="3" width="4.59765625" style="1" customWidth="1"/>
    <col min="4" max="4" width="13.296875" customWidth="1"/>
    <col min="5" max="5" width="7.796875" style="1" customWidth="1"/>
    <col min="6" max="7" width="2.59765625" style="1" customWidth="1"/>
    <col min="8" max="8" width="2.59765625" style="237" customWidth="1"/>
    <col min="9" max="10" width="2.59765625" style="1" customWidth="1"/>
    <col min="11" max="11" width="3" style="237" customWidth="1"/>
    <col min="12" max="12" width="3.296875" style="1" customWidth="1"/>
    <col min="13" max="13" width="2.5" style="1" customWidth="1"/>
    <col min="14" max="16" width="2.59765625" style="1" customWidth="1"/>
    <col min="17" max="17" width="4.59765625" style="5" customWidth="1"/>
    <col min="18" max="20" width="2.19921875" style="22" hidden="1" customWidth="1"/>
    <col min="21" max="22" width="3.3984375" style="1" hidden="1" customWidth="1"/>
    <col min="23" max="23" width="5" style="1" customWidth="1"/>
    <col min="24" max="24" width="4.3984375" style="15" hidden="1" customWidth="1"/>
    <col min="25" max="25" width="26.3984375" style="1" customWidth="1"/>
    <col min="26" max="26" width="9.296875" customWidth="1"/>
    <col min="27" max="27" width="6" style="461" customWidth="1"/>
  </cols>
  <sheetData>
    <row r="1" spans="1:35" ht="9" customHeight="1" x14ac:dyDescent="0.3"/>
    <row r="3" spans="1:35" s="6" customFormat="1" ht="17.25" x14ac:dyDescent="0.3">
      <c r="B3" s="8"/>
      <c r="C3" s="8"/>
      <c r="D3" s="8"/>
      <c r="E3" s="1199" t="s">
        <v>30</v>
      </c>
      <c r="F3" s="1199"/>
      <c r="G3" s="1199"/>
      <c r="H3" s="1199"/>
      <c r="I3" s="1199"/>
      <c r="J3" s="1199"/>
      <c r="K3" s="1199"/>
      <c r="L3" s="1199"/>
      <c r="M3" s="1199"/>
      <c r="N3" s="1199"/>
      <c r="O3" s="1199"/>
      <c r="P3" s="1199"/>
      <c r="Q3" s="1199"/>
      <c r="R3" s="1199"/>
      <c r="S3" s="1199"/>
      <c r="T3" s="1199"/>
      <c r="U3" s="1199"/>
      <c r="V3" s="1199"/>
      <c r="W3" s="1199"/>
      <c r="X3" s="1199"/>
      <c r="Y3" s="1199"/>
    </row>
    <row r="4" spans="1:35" s="6" customFormat="1" ht="15.75" x14ac:dyDescent="0.25">
      <c r="B4" s="10"/>
      <c r="C4" s="10"/>
      <c r="D4" s="10"/>
      <c r="E4" s="1200" t="s">
        <v>484</v>
      </c>
      <c r="F4" s="1200"/>
      <c r="G4" s="1200"/>
      <c r="H4" s="1200"/>
      <c r="I4" s="1200"/>
      <c r="J4" s="1200"/>
      <c r="K4" s="1200"/>
      <c r="L4" s="1200"/>
      <c r="M4" s="1200"/>
      <c r="N4" s="1200"/>
      <c r="O4" s="1200"/>
      <c r="P4" s="1200"/>
      <c r="Q4" s="1200"/>
      <c r="R4" s="1200"/>
      <c r="S4" s="1200"/>
      <c r="T4" s="1200"/>
      <c r="U4" s="1200"/>
      <c r="V4" s="1200"/>
      <c r="W4" s="1200"/>
      <c r="X4" s="1200"/>
      <c r="Y4" s="1200"/>
    </row>
    <row r="5" spans="1:35" s="6" customFormat="1" ht="15.75" hidden="1" x14ac:dyDescent="0.25">
      <c r="B5" s="11"/>
      <c r="C5" s="11"/>
      <c r="D5" s="11"/>
      <c r="E5" s="1201" t="s">
        <v>28</v>
      </c>
      <c r="F5" s="1201"/>
      <c r="G5" s="1201"/>
      <c r="H5" s="1201"/>
      <c r="I5" s="1201"/>
      <c r="J5" s="1201"/>
      <c r="K5" s="1201"/>
      <c r="L5" s="1201"/>
      <c r="M5" s="1201"/>
      <c r="N5" s="1201"/>
      <c r="O5" s="1201"/>
      <c r="P5" s="1201"/>
      <c r="Q5" s="1201"/>
      <c r="R5" s="1201"/>
      <c r="S5" s="1201"/>
      <c r="T5" s="1201"/>
      <c r="U5" s="1201"/>
      <c r="V5" s="1201"/>
      <c r="W5" s="1201"/>
      <c r="X5" s="1201"/>
      <c r="Y5" s="1201"/>
    </row>
    <row r="6" spans="1:35" s="6" customFormat="1" ht="15.75" customHeight="1" x14ac:dyDescent="0.25">
      <c r="B6" s="10"/>
      <c r="C6" s="10"/>
      <c r="D6" s="10"/>
      <c r="E6" s="1202" t="s">
        <v>475</v>
      </c>
      <c r="F6" s="1202"/>
      <c r="G6" s="1202"/>
      <c r="H6" s="1202"/>
      <c r="I6" s="1202"/>
      <c r="J6" s="1202"/>
      <c r="K6" s="1202"/>
      <c r="L6" s="1202"/>
      <c r="M6" s="1202"/>
      <c r="N6" s="1202"/>
      <c r="O6" s="1202"/>
      <c r="P6" s="1202"/>
      <c r="Q6" s="1202"/>
      <c r="R6" s="1202"/>
      <c r="S6" s="1202"/>
      <c r="T6" s="1202"/>
      <c r="U6" s="1202"/>
      <c r="V6" s="1202"/>
      <c r="W6" s="1202"/>
      <c r="X6" s="1202"/>
      <c r="Y6" s="1202"/>
      <c r="Z6" s="1202"/>
      <c r="AA6" s="1202"/>
      <c r="AB6" s="1202"/>
      <c r="AC6" s="1202"/>
      <c r="AD6" s="1202"/>
      <c r="AE6" s="1202"/>
      <c r="AF6" s="1202"/>
      <c r="AG6" s="1202"/>
      <c r="AH6" s="1202"/>
      <c r="AI6" s="1202"/>
    </row>
    <row r="7" spans="1:35" s="6" customFormat="1" ht="15.75" x14ac:dyDescent="0.25">
      <c r="A7" s="663"/>
      <c r="B7" s="663"/>
      <c r="C7" s="663"/>
      <c r="D7" s="663"/>
      <c r="E7" s="663"/>
      <c r="F7" s="663"/>
      <c r="G7" s="663"/>
      <c r="H7" s="663"/>
      <c r="I7" s="663"/>
      <c r="J7" s="663"/>
      <c r="K7" s="663"/>
      <c r="L7" s="663"/>
      <c r="M7" s="663"/>
      <c r="N7" s="663"/>
      <c r="O7" s="663"/>
      <c r="P7" s="663"/>
      <c r="Q7" s="663"/>
      <c r="R7" s="18"/>
      <c r="S7" s="18"/>
      <c r="T7" s="18"/>
      <c r="U7" s="663"/>
      <c r="V7" s="663"/>
      <c r="W7" s="663"/>
      <c r="X7" s="663"/>
      <c r="Y7" s="663"/>
    </row>
    <row r="8" spans="1:35" thickBot="1" x14ac:dyDescent="0.3">
      <c r="A8" s="2"/>
      <c r="B8" s="2"/>
      <c r="C8" s="2"/>
      <c r="D8" s="2"/>
      <c r="E8" s="2"/>
      <c r="F8" s="47"/>
      <c r="G8" s="47"/>
      <c r="H8" s="239"/>
      <c r="I8" s="47"/>
      <c r="J8" s="47"/>
      <c r="K8" s="239"/>
      <c r="L8" s="47"/>
      <c r="M8" s="47"/>
      <c r="N8" s="47"/>
      <c r="O8" s="47"/>
      <c r="P8" s="47"/>
      <c r="Q8" s="239"/>
      <c r="R8" s="19"/>
      <c r="S8" s="19"/>
      <c r="T8" s="19"/>
      <c r="U8" s="2"/>
      <c r="V8" s="2"/>
      <c r="W8" s="2"/>
      <c r="X8" s="2"/>
      <c r="Y8" s="2"/>
      <c r="Z8" s="114">
        <v>11</v>
      </c>
    </row>
    <row r="9" spans="1:35" s="351" customFormat="1" ht="23.25" customHeight="1" thickTop="1" x14ac:dyDescent="0.2">
      <c r="A9" s="1268" t="s">
        <v>91</v>
      </c>
      <c r="B9" s="1270" t="s">
        <v>106</v>
      </c>
      <c r="C9" s="1271"/>
      <c r="D9" s="1274" t="s">
        <v>92</v>
      </c>
      <c r="E9" s="1270" t="s">
        <v>93</v>
      </c>
      <c r="F9" s="1261" t="s">
        <v>132</v>
      </c>
      <c r="G9" s="1262"/>
      <c r="H9" s="1262"/>
      <c r="I9" s="1262"/>
      <c r="J9" s="1262"/>
      <c r="K9" s="1262"/>
      <c r="L9" s="1262"/>
      <c r="M9" s="1262"/>
      <c r="N9" s="1262"/>
      <c r="O9" s="1262"/>
      <c r="P9" s="1262"/>
      <c r="Q9" s="1277" t="s">
        <v>102</v>
      </c>
      <c r="R9" s="1261" t="s">
        <v>104</v>
      </c>
      <c r="S9" s="1262"/>
      <c r="T9" s="1262"/>
      <c r="U9" s="1263"/>
      <c r="V9" s="1264" t="s">
        <v>99</v>
      </c>
      <c r="W9" s="1264" t="s">
        <v>100</v>
      </c>
      <c r="X9" s="1050" t="s">
        <v>103</v>
      </c>
      <c r="Y9" s="1266" t="s">
        <v>90</v>
      </c>
    </row>
    <row r="10" spans="1:35" s="351" customFormat="1" ht="153.75" customHeight="1" x14ac:dyDescent="0.2">
      <c r="A10" s="1269"/>
      <c r="B10" s="1272"/>
      <c r="C10" s="1273"/>
      <c r="D10" s="1275"/>
      <c r="E10" s="1275"/>
      <c r="F10" s="462" t="s">
        <v>313</v>
      </c>
      <c r="G10" s="279" t="s">
        <v>330</v>
      </c>
      <c r="H10" s="462" t="s">
        <v>43</v>
      </c>
      <c r="I10" s="462" t="s">
        <v>107</v>
      </c>
      <c r="J10" s="462" t="s">
        <v>111</v>
      </c>
      <c r="K10" s="463" t="s">
        <v>323</v>
      </c>
      <c r="L10" s="463" t="s">
        <v>326</v>
      </c>
      <c r="M10" s="282" t="s">
        <v>96</v>
      </c>
      <c r="N10" s="413" t="s">
        <v>458</v>
      </c>
      <c r="O10" s="282" t="s">
        <v>113</v>
      </c>
      <c r="P10" s="413" t="s">
        <v>459</v>
      </c>
      <c r="Q10" s="1292"/>
      <c r="R10" s="323" t="s">
        <v>108</v>
      </c>
      <c r="S10" s="323" t="s">
        <v>97</v>
      </c>
      <c r="T10" s="323" t="s">
        <v>96</v>
      </c>
      <c r="U10" s="324" t="s">
        <v>98</v>
      </c>
      <c r="V10" s="1265"/>
      <c r="W10" s="1265"/>
      <c r="X10" s="1291"/>
      <c r="Y10" s="1267"/>
      <c r="Z10" s="544" t="s">
        <v>94</v>
      </c>
    </row>
    <row r="11" spans="1:35" s="256" customFormat="1" ht="18" customHeight="1" x14ac:dyDescent="0.2">
      <c r="A11" s="285">
        <v>1</v>
      </c>
      <c r="B11" s="245" t="s">
        <v>24</v>
      </c>
      <c r="C11" s="246">
        <v>2022</v>
      </c>
      <c r="D11" s="264" t="s">
        <v>1615</v>
      </c>
      <c r="E11" s="275" t="s">
        <v>1182</v>
      </c>
      <c r="F11" s="268">
        <v>7</v>
      </c>
      <c r="G11" s="266">
        <v>7</v>
      </c>
      <c r="H11" s="268">
        <v>8</v>
      </c>
      <c r="I11" s="268">
        <v>6</v>
      </c>
      <c r="J11" s="268">
        <v>7</v>
      </c>
      <c r="K11" s="268">
        <v>10</v>
      </c>
      <c r="L11" s="268">
        <v>7</v>
      </c>
      <c r="M11" s="268">
        <v>6.5</v>
      </c>
      <c r="N11" s="268">
        <v>7.5</v>
      </c>
      <c r="O11" s="268">
        <v>6</v>
      </c>
      <c r="P11" s="268">
        <v>7</v>
      </c>
      <c r="Q11" s="243">
        <f>SUM(F11:P11)/11</f>
        <v>7.1818181818181817</v>
      </c>
      <c r="R11" s="268"/>
      <c r="S11" s="268"/>
      <c r="T11" s="268"/>
      <c r="U11" s="243">
        <f>SUM(R11:T11)/3</f>
        <v>0</v>
      </c>
      <c r="V11" s="243">
        <f>SUM(Q11+U11)/2</f>
        <v>3.5909090909090908</v>
      </c>
      <c r="W11" s="257"/>
      <c r="X11" s="406"/>
      <c r="Y11" s="300" t="s">
        <v>178</v>
      </c>
      <c r="Z11" s="560"/>
      <c r="AA11" s="357">
        <f t="shared" ref="AA11:AA73" si="0">AVERAGE(F11:P11)</f>
        <v>7.1818181818181817</v>
      </c>
    </row>
    <row r="12" spans="1:35" s="256" customFormat="1" ht="18" customHeight="1" x14ac:dyDescent="0.2">
      <c r="A12" s="353">
        <v>2</v>
      </c>
      <c r="B12" s="245"/>
      <c r="C12" s="246">
        <v>2022</v>
      </c>
      <c r="D12" s="315" t="s">
        <v>1616</v>
      </c>
      <c r="E12" s="316" t="s">
        <v>530</v>
      </c>
      <c r="F12" s="268">
        <v>7</v>
      </c>
      <c r="G12" s="268">
        <v>7</v>
      </c>
      <c r="H12" s="268">
        <v>7.5</v>
      </c>
      <c r="I12" s="268">
        <v>7</v>
      </c>
      <c r="J12" s="268">
        <v>7</v>
      </c>
      <c r="K12" s="268">
        <v>8</v>
      </c>
      <c r="L12" s="268">
        <v>8</v>
      </c>
      <c r="M12" s="268">
        <v>7</v>
      </c>
      <c r="N12" s="268">
        <v>7.5</v>
      </c>
      <c r="O12" s="268">
        <v>7</v>
      </c>
      <c r="P12" s="268">
        <v>6.5</v>
      </c>
      <c r="Q12" s="243">
        <f>SUM(F12:P12)/11</f>
        <v>7.2272727272727275</v>
      </c>
      <c r="R12" s="268"/>
      <c r="S12" s="268"/>
      <c r="T12" s="268"/>
      <c r="U12" s="243"/>
      <c r="V12" s="407"/>
      <c r="W12" s="252"/>
      <c r="X12" s="408"/>
      <c r="Y12" s="263" t="s">
        <v>152</v>
      </c>
      <c r="Z12" s="560"/>
      <c r="AA12" s="357">
        <f t="shared" si="0"/>
        <v>7.2272727272727275</v>
      </c>
    </row>
    <row r="13" spans="1:35" s="256" customFormat="1" ht="18" customHeight="1" x14ac:dyDescent="0.2">
      <c r="A13" s="353">
        <v>3</v>
      </c>
      <c r="B13" s="245"/>
      <c r="C13" s="246">
        <v>2022</v>
      </c>
      <c r="D13" s="315" t="s">
        <v>1617</v>
      </c>
      <c r="E13" s="316" t="s">
        <v>223</v>
      </c>
      <c r="F13" s="268">
        <v>7</v>
      </c>
      <c r="G13" s="268">
        <v>6.5</v>
      </c>
      <c r="H13" s="268">
        <v>6.5</v>
      </c>
      <c r="I13" s="268">
        <v>7</v>
      </c>
      <c r="J13" s="268">
        <v>7.5</v>
      </c>
      <c r="K13" s="268">
        <v>8</v>
      </c>
      <c r="L13" s="268">
        <v>7</v>
      </c>
      <c r="M13" s="268">
        <v>7.5</v>
      </c>
      <c r="N13" s="268">
        <v>6</v>
      </c>
      <c r="O13" s="268">
        <v>7</v>
      </c>
      <c r="P13" s="268">
        <v>6.5</v>
      </c>
      <c r="Q13" s="243">
        <f t="shared" ref="Q13:Q73" si="1">SUM(F13:P13)/11</f>
        <v>6.9545454545454541</v>
      </c>
      <c r="R13" s="268"/>
      <c r="S13" s="268"/>
      <c r="T13" s="268"/>
      <c r="U13" s="243"/>
      <c r="V13" s="407"/>
      <c r="W13" s="252"/>
      <c r="X13" s="408"/>
      <c r="Y13" s="261" t="s">
        <v>194</v>
      </c>
      <c r="Z13" s="560"/>
      <c r="AA13" s="628">
        <f t="shared" si="0"/>
        <v>6.9545454545454541</v>
      </c>
    </row>
    <row r="14" spans="1:35" s="256" customFormat="1" ht="18" customHeight="1" x14ac:dyDescent="0.2">
      <c r="A14" s="353">
        <v>4</v>
      </c>
      <c r="B14" s="245"/>
      <c r="C14" s="246">
        <v>2022</v>
      </c>
      <c r="D14" s="315" t="s">
        <v>1618</v>
      </c>
      <c r="E14" s="316" t="s">
        <v>1619</v>
      </c>
      <c r="F14" s="268">
        <v>7</v>
      </c>
      <c r="G14" s="268">
        <v>7.5</v>
      </c>
      <c r="H14" s="268">
        <v>7</v>
      </c>
      <c r="I14" s="268">
        <v>7</v>
      </c>
      <c r="J14" s="268">
        <v>8</v>
      </c>
      <c r="K14" s="268">
        <v>10</v>
      </c>
      <c r="L14" s="268">
        <v>7.5</v>
      </c>
      <c r="M14" s="268">
        <v>7.5</v>
      </c>
      <c r="N14" s="268">
        <v>7.5</v>
      </c>
      <c r="O14" s="268">
        <v>8</v>
      </c>
      <c r="P14" s="268">
        <v>7</v>
      </c>
      <c r="Q14" s="243">
        <f t="shared" si="1"/>
        <v>7.6363636363636367</v>
      </c>
      <c r="R14" s="268"/>
      <c r="S14" s="268"/>
      <c r="T14" s="268"/>
      <c r="U14" s="243"/>
      <c r="V14" s="407"/>
      <c r="W14" s="252"/>
      <c r="X14" s="408"/>
      <c r="Y14" s="263" t="s">
        <v>194</v>
      </c>
      <c r="Z14" s="560"/>
      <c r="AA14" s="357">
        <f t="shared" si="0"/>
        <v>7.6363636363636367</v>
      </c>
    </row>
    <row r="15" spans="1:35" s="256" customFormat="1" ht="18" customHeight="1" x14ac:dyDescent="0.2">
      <c r="A15" s="353">
        <v>5</v>
      </c>
      <c r="B15" s="245"/>
      <c r="C15" s="246">
        <v>2022</v>
      </c>
      <c r="D15" s="315" t="s">
        <v>777</v>
      </c>
      <c r="E15" s="316" t="s">
        <v>1620</v>
      </c>
      <c r="F15" s="268">
        <v>7</v>
      </c>
      <c r="G15" s="268">
        <v>6.8</v>
      </c>
      <c r="H15" s="457">
        <v>7</v>
      </c>
      <c r="I15" s="268">
        <v>7</v>
      </c>
      <c r="J15" s="268">
        <v>7</v>
      </c>
      <c r="K15" s="268">
        <v>8</v>
      </c>
      <c r="L15" s="268">
        <v>7</v>
      </c>
      <c r="M15" s="268">
        <v>6.5</v>
      </c>
      <c r="N15" s="268">
        <v>7</v>
      </c>
      <c r="O15" s="268">
        <v>7</v>
      </c>
      <c r="P15" s="268">
        <v>7</v>
      </c>
      <c r="Q15" s="243">
        <f t="shared" si="1"/>
        <v>7.0272727272727273</v>
      </c>
      <c r="R15" s="268"/>
      <c r="S15" s="268"/>
      <c r="T15" s="268"/>
      <c r="U15" s="243"/>
      <c r="V15" s="407"/>
      <c r="W15" s="252"/>
      <c r="X15" s="408"/>
      <c r="Y15" s="263" t="s">
        <v>170</v>
      </c>
      <c r="Z15" s="560"/>
      <c r="AA15" s="357">
        <f t="shared" si="0"/>
        <v>7.0272727272727273</v>
      </c>
    </row>
    <row r="16" spans="1:35" s="256" customFormat="1" ht="18" customHeight="1" x14ac:dyDescent="0.2">
      <c r="A16" s="353">
        <v>6</v>
      </c>
      <c r="B16" s="245"/>
      <c r="C16" s="246">
        <v>2022</v>
      </c>
      <c r="D16" s="315" t="s">
        <v>1621</v>
      </c>
      <c r="E16" s="316" t="s">
        <v>1622</v>
      </c>
      <c r="F16" s="268">
        <v>7</v>
      </c>
      <c r="G16" s="268">
        <v>7.5</v>
      </c>
      <c r="H16" s="268">
        <v>7</v>
      </c>
      <c r="I16" s="268">
        <v>7</v>
      </c>
      <c r="J16" s="268">
        <v>8</v>
      </c>
      <c r="K16" s="268">
        <v>10</v>
      </c>
      <c r="L16" s="268">
        <v>7.5</v>
      </c>
      <c r="M16" s="268">
        <v>7</v>
      </c>
      <c r="N16" s="268">
        <v>7.5</v>
      </c>
      <c r="O16" s="268">
        <v>7.5</v>
      </c>
      <c r="P16" s="268">
        <v>7</v>
      </c>
      <c r="Q16" s="243">
        <f t="shared" si="1"/>
        <v>7.5454545454545459</v>
      </c>
      <c r="R16" s="268"/>
      <c r="S16" s="268"/>
      <c r="T16" s="268"/>
      <c r="U16" s="243"/>
      <c r="V16" s="407"/>
      <c r="W16" s="252"/>
      <c r="X16" s="408"/>
      <c r="Y16" s="263" t="s">
        <v>216</v>
      </c>
      <c r="Z16" s="560"/>
      <c r="AA16" s="357">
        <f t="shared" si="0"/>
        <v>7.5454545454545459</v>
      </c>
    </row>
    <row r="17" spans="1:27" s="256" customFormat="1" ht="18" customHeight="1" x14ac:dyDescent="0.2">
      <c r="A17" s="353">
        <v>7</v>
      </c>
      <c r="B17" s="245"/>
      <c r="C17" s="246">
        <v>2022</v>
      </c>
      <c r="D17" s="315" t="s">
        <v>1623</v>
      </c>
      <c r="E17" s="316" t="s">
        <v>770</v>
      </c>
      <c r="F17" s="268">
        <v>7</v>
      </c>
      <c r="G17" s="268">
        <v>7.5</v>
      </c>
      <c r="H17" s="268">
        <v>7</v>
      </c>
      <c r="I17" s="268">
        <v>7</v>
      </c>
      <c r="J17" s="268">
        <v>7</v>
      </c>
      <c r="K17" s="268">
        <v>9</v>
      </c>
      <c r="L17" s="268">
        <v>7</v>
      </c>
      <c r="M17" s="268">
        <v>7</v>
      </c>
      <c r="N17" s="268">
        <v>6</v>
      </c>
      <c r="O17" s="268">
        <v>7.5</v>
      </c>
      <c r="P17" s="268">
        <v>7</v>
      </c>
      <c r="Q17" s="243">
        <f t="shared" si="1"/>
        <v>7.1818181818181817</v>
      </c>
      <c r="R17" s="268"/>
      <c r="S17" s="268"/>
      <c r="T17" s="268"/>
      <c r="U17" s="243"/>
      <c r="V17" s="407"/>
      <c r="W17" s="252"/>
      <c r="X17" s="408"/>
      <c r="Y17" s="263" t="s">
        <v>194</v>
      </c>
      <c r="Z17" s="560"/>
      <c r="AA17" s="357">
        <f t="shared" si="0"/>
        <v>7.1818181818181817</v>
      </c>
    </row>
    <row r="18" spans="1:27" s="256" customFormat="1" ht="18" customHeight="1" x14ac:dyDescent="0.2">
      <c r="A18" s="353">
        <v>8</v>
      </c>
      <c r="B18" s="245"/>
      <c r="C18" s="246">
        <v>2022</v>
      </c>
      <c r="D18" s="315" t="s">
        <v>1624</v>
      </c>
      <c r="E18" s="316" t="s">
        <v>1625</v>
      </c>
      <c r="F18" s="268">
        <v>7</v>
      </c>
      <c r="G18" s="268">
        <v>7.4</v>
      </c>
      <c r="H18" s="268">
        <v>6.5</v>
      </c>
      <c r="I18" s="268">
        <v>6</v>
      </c>
      <c r="J18" s="268">
        <v>7</v>
      </c>
      <c r="K18" s="268">
        <v>8</v>
      </c>
      <c r="L18" s="268">
        <v>7</v>
      </c>
      <c r="M18" s="268">
        <v>7</v>
      </c>
      <c r="N18" s="268">
        <v>7</v>
      </c>
      <c r="O18" s="268">
        <v>7</v>
      </c>
      <c r="P18" s="268">
        <v>7.5</v>
      </c>
      <c r="Q18" s="243">
        <f t="shared" si="1"/>
        <v>7.036363636363637</v>
      </c>
      <c r="R18" s="268"/>
      <c r="S18" s="268"/>
      <c r="T18" s="268"/>
      <c r="U18" s="243"/>
      <c r="V18" s="407"/>
      <c r="W18" s="252"/>
      <c r="X18" s="408"/>
      <c r="Y18" s="261" t="s">
        <v>240</v>
      </c>
      <c r="Z18" s="560"/>
      <c r="AA18" s="357">
        <f t="shared" si="0"/>
        <v>7.036363636363637</v>
      </c>
    </row>
    <row r="19" spans="1:27" s="256" customFormat="1" ht="18" customHeight="1" x14ac:dyDescent="0.2">
      <c r="A19" s="353">
        <v>9</v>
      </c>
      <c r="B19" s="245"/>
      <c r="C19" s="246">
        <v>2022</v>
      </c>
      <c r="D19" s="315" t="s">
        <v>1626</v>
      </c>
      <c r="E19" s="316" t="s">
        <v>1590</v>
      </c>
      <c r="F19" s="268">
        <v>8</v>
      </c>
      <c r="G19" s="268">
        <v>7.2</v>
      </c>
      <c r="H19" s="268">
        <v>7</v>
      </c>
      <c r="I19" s="268">
        <v>6</v>
      </c>
      <c r="J19" s="268">
        <v>7</v>
      </c>
      <c r="K19" s="268">
        <v>9</v>
      </c>
      <c r="L19" s="268">
        <v>7.5</v>
      </c>
      <c r="M19" s="268">
        <v>6.5</v>
      </c>
      <c r="N19" s="268">
        <v>7</v>
      </c>
      <c r="O19" s="268">
        <v>7.5</v>
      </c>
      <c r="P19" s="268">
        <v>7</v>
      </c>
      <c r="Q19" s="243">
        <f t="shared" si="1"/>
        <v>7.245454545454546</v>
      </c>
      <c r="R19" s="268"/>
      <c r="S19" s="268"/>
      <c r="T19" s="268"/>
      <c r="U19" s="243"/>
      <c r="V19" s="407"/>
      <c r="W19" s="252"/>
      <c r="X19" s="408"/>
      <c r="Y19" s="263" t="s">
        <v>1605</v>
      </c>
      <c r="Z19" s="560"/>
      <c r="AA19" s="357">
        <f t="shared" si="0"/>
        <v>7.245454545454546</v>
      </c>
    </row>
    <row r="20" spans="1:27" s="256" customFormat="1" ht="18" customHeight="1" x14ac:dyDescent="0.2">
      <c r="A20" s="353">
        <v>10</v>
      </c>
      <c r="B20" s="245"/>
      <c r="C20" s="246">
        <v>2022</v>
      </c>
      <c r="D20" s="315" t="s">
        <v>1627</v>
      </c>
      <c r="E20" s="316" t="s">
        <v>1628</v>
      </c>
      <c r="F20" s="268">
        <v>8</v>
      </c>
      <c r="G20" s="268">
        <v>6.8</v>
      </c>
      <c r="H20" s="457">
        <v>7</v>
      </c>
      <c r="I20" s="268">
        <v>6</v>
      </c>
      <c r="J20" s="268">
        <v>8</v>
      </c>
      <c r="K20" s="268">
        <v>10</v>
      </c>
      <c r="L20" s="268">
        <v>7</v>
      </c>
      <c r="M20" s="268">
        <v>7</v>
      </c>
      <c r="N20" s="268">
        <v>7.5</v>
      </c>
      <c r="O20" s="268">
        <v>7</v>
      </c>
      <c r="P20" s="268">
        <v>7</v>
      </c>
      <c r="Q20" s="243">
        <f t="shared" si="1"/>
        <v>7.3909090909090907</v>
      </c>
      <c r="R20" s="268"/>
      <c r="S20" s="268"/>
      <c r="T20" s="268"/>
      <c r="U20" s="243"/>
      <c r="V20" s="407"/>
      <c r="W20" s="252"/>
      <c r="X20" s="408"/>
      <c r="Y20" s="263" t="s">
        <v>1197</v>
      </c>
      <c r="Z20" s="560"/>
      <c r="AA20" s="357">
        <f t="shared" si="0"/>
        <v>7.3909090909090907</v>
      </c>
    </row>
    <row r="21" spans="1:27" s="256" customFormat="1" ht="18" customHeight="1" x14ac:dyDescent="0.2">
      <c r="A21" s="353">
        <v>11</v>
      </c>
      <c r="B21" s="245"/>
      <c r="C21" s="246">
        <v>2022</v>
      </c>
      <c r="D21" s="315" t="s">
        <v>1629</v>
      </c>
      <c r="E21" s="316" t="s">
        <v>538</v>
      </c>
      <c r="F21" s="268">
        <v>8</v>
      </c>
      <c r="G21" s="268">
        <v>8</v>
      </c>
      <c r="H21" s="268">
        <v>8</v>
      </c>
      <c r="I21" s="268">
        <v>6</v>
      </c>
      <c r="J21" s="268">
        <v>8</v>
      </c>
      <c r="K21" s="268">
        <v>9</v>
      </c>
      <c r="L21" s="268">
        <v>8</v>
      </c>
      <c r="M21" s="268">
        <v>8</v>
      </c>
      <c r="N21" s="268">
        <v>8</v>
      </c>
      <c r="O21" s="268">
        <v>8</v>
      </c>
      <c r="P21" s="268">
        <v>8</v>
      </c>
      <c r="Q21" s="243">
        <f t="shared" si="1"/>
        <v>7.9090909090909092</v>
      </c>
      <c r="R21" s="268"/>
      <c r="S21" s="268"/>
      <c r="T21" s="268"/>
      <c r="U21" s="243"/>
      <c r="V21" s="407"/>
      <c r="W21" s="252"/>
      <c r="X21" s="408"/>
      <c r="Y21" s="263" t="s">
        <v>17</v>
      </c>
      <c r="Z21" s="560"/>
      <c r="AA21" s="357">
        <f t="shared" si="0"/>
        <v>7.9090909090909092</v>
      </c>
    </row>
    <row r="22" spans="1:27" s="256" customFormat="1" ht="18" customHeight="1" x14ac:dyDescent="0.2">
      <c r="A22" s="353">
        <v>12</v>
      </c>
      <c r="B22" s="245"/>
      <c r="C22" s="246">
        <v>2022</v>
      </c>
      <c r="D22" s="315" t="s">
        <v>1630</v>
      </c>
      <c r="E22" s="316" t="s">
        <v>796</v>
      </c>
      <c r="F22" s="268">
        <v>8</v>
      </c>
      <c r="G22" s="268">
        <v>7.8</v>
      </c>
      <c r="H22" s="268">
        <v>7.5</v>
      </c>
      <c r="I22" s="268">
        <v>6</v>
      </c>
      <c r="J22" s="268">
        <v>8</v>
      </c>
      <c r="K22" s="268">
        <v>10</v>
      </c>
      <c r="L22" s="268">
        <v>7.5</v>
      </c>
      <c r="M22" s="268">
        <v>7.5</v>
      </c>
      <c r="N22" s="268">
        <v>7.5</v>
      </c>
      <c r="O22" s="268">
        <v>7</v>
      </c>
      <c r="P22" s="268">
        <v>7</v>
      </c>
      <c r="Q22" s="243">
        <f t="shared" si="1"/>
        <v>7.6181818181818182</v>
      </c>
      <c r="R22" s="268"/>
      <c r="S22" s="268"/>
      <c r="T22" s="268"/>
      <c r="U22" s="243"/>
      <c r="V22" s="407"/>
      <c r="W22" s="252"/>
      <c r="X22" s="408"/>
      <c r="Y22" s="263" t="s">
        <v>194</v>
      </c>
      <c r="Z22" s="560"/>
      <c r="AA22" s="357">
        <f t="shared" si="0"/>
        <v>7.6181818181818182</v>
      </c>
    </row>
    <row r="23" spans="1:27" s="256" customFormat="1" ht="18" customHeight="1" x14ac:dyDescent="0.2">
      <c r="A23" s="353">
        <v>13</v>
      </c>
      <c r="B23" s="245"/>
      <c r="C23" s="246">
        <v>2022</v>
      </c>
      <c r="D23" s="315" t="s">
        <v>1631</v>
      </c>
      <c r="E23" s="316" t="s">
        <v>152</v>
      </c>
      <c r="F23" s="268">
        <v>7</v>
      </c>
      <c r="G23" s="268">
        <v>7.5</v>
      </c>
      <c r="H23" s="268">
        <v>8</v>
      </c>
      <c r="I23" s="268">
        <v>7</v>
      </c>
      <c r="J23" s="268">
        <v>7</v>
      </c>
      <c r="K23" s="268">
        <v>10</v>
      </c>
      <c r="L23" s="268">
        <v>6</v>
      </c>
      <c r="M23" s="268">
        <v>7</v>
      </c>
      <c r="N23" s="268">
        <v>7.5</v>
      </c>
      <c r="O23" s="268">
        <v>7</v>
      </c>
      <c r="P23" s="268">
        <v>7</v>
      </c>
      <c r="Q23" s="243">
        <f t="shared" si="1"/>
        <v>7.3636363636363633</v>
      </c>
      <c r="R23" s="268"/>
      <c r="S23" s="268"/>
      <c r="T23" s="268"/>
      <c r="U23" s="243"/>
      <c r="V23" s="407"/>
      <c r="W23" s="252"/>
      <c r="X23" s="408"/>
      <c r="Y23" s="261" t="s">
        <v>194</v>
      </c>
      <c r="Z23" s="560"/>
      <c r="AA23" s="357">
        <f t="shared" si="0"/>
        <v>7.3636363636363633</v>
      </c>
    </row>
    <row r="24" spans="1:27" s="256" customFormat="1" ht="18" customHeight="1" x14ac:dyDescent="0.2">
      <c r="A24" s="353">
        <v>14</v>
      </c>
      <c r="B24" s="245"/>
      <c r="C24" s="246">
        <v>2022</v>
      </c>
      <c r="D24" s="315" t="s">
        <v>1632</v>
      </c>
      <c r="E24" s="316" t="s">
        <v>167</v>
      </c>
      <c r="F24" s="268">
        <v>8</v>
      </c>
      <c r="G24" s="268">
        <v>8.8000000000000007</v>
      </c>
      <c r="H24" s="268">
        <v>8</v>
      </c>
      <c r="I24" s="268">
        <v>8</v>
      </c>
      <c r="J24" s="268">
        <v>8</v>
      </c>
      <c r="K24" s="268">
        <v>8</v>
      </c>
      <c r="L24" s="268">
        <v>8</v>
      </c>
      <c r="M24" s="268">
        <v>8</v>
      </c>
      <c r="N24" s="268">
        <v>8</v>
      </c>
      <c r="O24" s="268">
        <v>8</v>
      </c>
      <c r="P24" s="268">
        <v>8</v>
      </c>
      <c r="Q24" s="243">
        <f t="shared" si="1"/>
        <v>8.0727272727272723</v>
      </c>
      <c r="R24" s="268"/>
      <c r="S24" s="268"/>
      <c r="T24" s="268"/>
      <c r="U24" s="243"/>
      <c r="V24" s="407"/>
      <c r="W24" s="252"/>
      <c r="X24" s="408"/>
      <c r="Y24" s="263" t="s">
        <v>216</v>
      </c>
      <c r="Z24" s="560"/>
      <c r="AA24" s="613">
        <f t="shared" si="0"/>
        <v>8.0727272727272723</v>
      </c>
    </row>
    <row r="25" spans="1:27" s="256" customFormat="1" ht="18" customHeight="1" x14ac:dyDescent="0.2">
      <c r="A25" s="353">
        <v>15</v>
      </c>
      <c r="B25" s="245"/>
      <c r="C25" s="246">
        <v>2022</v>
      </c>
      <c r="D25" s="315" t="s">
        <v>1633</v>
      </c>
      <c r="E25" s="316" t="s">
        <v>724</v>
      </c>
      <c r="F25" s="268">
        <v>8</v>
      </c>
      <c r="G25" s="268">
        <v>7.2</v>
      </c>
      <c r="H25" s="268">
        <v>8</v>
      </c>
      <c r="I25" s="268">
        <v>7</v>
      </c>
      <c r="J25" s="268">
        <v>8</v>
      </c>
      <c r="K25" s="268">
        <v>8</v>
      </c>
      <c r="L25" s="268">
        <v>7.5</v>
      </c>
      <c r="M25" s="268">
        <v>7.5</v>
      </c>
      <c r="N25" s="268">
        <v>7.5</v>
      </c>
      <c r="O25" s="268">
        <v>7</v>
      </c>
      <c r="P25" s="268">
        <v>7</v>
      </c>
      <c r="Q25" s="243">
        <f t="shared" si="1"/>
        <v>7.5181818181818185</v>
      </c>
      <c r="R25" s="268"/>
      <c r="S25" s="268"/>
      <c r="T25" s="268"/>
      <c r="U25" s="243"/>
      <c r="V25" s="407"/>
      <c r="W25" s="252"/>
      <c r="X25" s="408"/>
      <c r="Y25" s="263" t="s">
        <v>174</v>
      </c>
      <c r="Z25" s="560"/>
      <c r="AA25" s="357">
        <f t="shared" si="0"/>
        <v>7.5181818181818185</v>
      </c>
    </row>
    <row r="26" spans="1:27" s="256" customFormat="1" ht="18" customHeight="1" x14ac:dyDescent="0.2">
      <c r="A26" s="353">
        <v>16</v>
      </c>
      <c r="B26" s="245"/>
      <c r="C26" s="246">
        <v>2022</v>
      </c>
      <c r="D26" s="315" t="s">
        <v>1634</v>
      </c>
      <c r="E26" s="316" t="s">
        <v>1635</v>
      </c>
      <c r="F26" s="268">
        <v>8</v>
      </c>
      <c r="G26" s="268">
        <v>7</v>
      </c>
      <c r="H26" s="268">
        <v>8</v>
      </c>
      <c r="I26" s="268">
        <v>8</v>
      </c>
      <c r="J26" s="268">
        <v>7.5</v>
      </c>
      <c r="K26" s="268">
        <v>8</v>
      </c>
      <c r="L26" s="268">
        <v>6</v>
      </c>
      <c r="M26" s="268">
        <v>7</v>
      </c>
      <c r="N26" s="268">
        <v>6</v>
      </c>
      <c r="O26" s="268">
        <v>8</v>
      </c>
      <c r="P26" s="268">
        <v>6.5</v>
      </c>
      <c r="Q26" s="243">
        <f t="shared" si="1"/>
        <v>7.2727272727272725</v>
      </c>
      <c r="R26" s="268"/>
      <c r="S26" s="268"/>
      <c r="T26" s="268"/>
      <c r="U26" s="243"/>
      <c r="V26" s="407"/>
      <c r="W26" s="252"/>
      <c r="X26" s="408"/>
      <c r="Y26" s="263" t="s">
        <v>174</v>
      </c>
      <c r="Z26" s="560"/>
      <c r="AA26" s="357">
        <f t="shared" si="0"/>
        <v>7.2727272727272725</v>
      </c>
    </row>
    <row r="27" spans="1:27" s="256" customFormat="1" ht="18" customHeight="1" x14ac:dyDescent="0.2">
      <c r="A27" s="353">
        <v>17</v>
      </c>
      <c r="B27" s="245"/>
      <c r="C27" s="246">
        <v>2022</v>
      </c>
      <c r="D27" s="315" t="s">
        <v>1636</v>
      </c>
      <c r="E27" s="316" t="s">
        <v>1637</v>
      </c>
      <c r="F27" s="268">
        <v>8</v>
      </c>
      <c r="G27" s="268">
        <v>7</v>
      </c>
      <c r="H27" s="268">
        <v>8</v>
      </c>
      <c r="I27" s="268">
        <v>6</v>
      </c>
      <c r="J27" s="268">
        <v>8</v>
      </c>
      <c r="K27" s="268">
        <v>10</v>
      </c>
      <c r="L27" s="268">
        <v>8</v>
      </c>
      <c r="M27" s="268">
        <v>7.5</v>
      </c>
      <c r="N27" s="268">
        <v>7.5</v>
      </c>
      <c r="O27" s="268">
        <v>7</v>
      </c>
      <c r="P27" s="268">
        <v>7</v>
      </c>
      <c r="Q27" s="243">
        <f t="shared" si="1"/>
        <v>7.6363636363636367</v>
      </c>
      <c r="R27" s="268"/>
      <c r="S27" s="268"/>
      <c r="T27" s="268"/>
      <c r="U27" s="243"/>
      <c r="V27" s="407"/>
      <c r="W27" s="252"/>
      <c r="X27" s="408"/>
      <c r="Y27" s="263" t="s">
        <v>216</v>
      </c>
      <c r="Z27" s="560"/>
      <c r="AA27" s="357">
        <f t="shared" si="0"/>
        <v>7.6363636363636367</v>
      </c>
    </row>
    <row r="28" spans="1:27" s="256" customFormat="1" ht="18" customHeight="1" x14ac:dyDescent="0.2">
      <c r="A28" s="353">
        <v>18</v>
      </c>
      <c r="B28" s="245"/>
      <c r="C28" s="246">
        <v>2022</v>
      </c>
      <c r="D28" s="315" t="s">
        <v>148</v>
      </c>
      <c r="E28" s="316" t="s">
        <v>960</v>
      </c>
      <c r="F28" s="268">
        <v>8</v>
      </c>
      <c r="G28" s="268">
        <v>6.6</v>
      </c>
      <c r="H28" s="268">
        <v>7.5</v>
      </c>
      <c r="I28" s="268">
        <v>7</v>
      </c>
      <c r="J28" s="268">
        <v>7.5</v>
      </c>
      <c r="K28" s="268">
        <v>10</v>
      </c>
      <c r="L28" s="268">
        <v>7</v>
      </c>
      <c r="M28" s="268">
        <v>7</v>
      </c>
      <c r="N28" s="268">
        <v>7.5</v>
      </c>
      <c r="O28" s="268">
        <v>7</v>
      </c>
      <c r="P28" s="268">
        <v>7</v>
      </c>
      <c r="Q28" s="243">
        <f t="shared" si="1"/>
        <v>7.463636363636363</v>
      </c>
      <c r="R28" s="268"/>
      <c r="S28" s="268"/>
      <c r="T28" s="268"/>
      <c r="U28" s="243"/>
      <c r="V28" s="407"/>
      <c r="W28" s="252"/>
      <c r="X28" s="408"/>
      <c r="Y28" s="263" t="s">
        <v>216</v>
      </c>
      <c r="Z28" s="560"/>
      <c r="AA28" s="357">
        <f t="shared" si="0"/>
        <v>7.463636363636363</v>
      </c>
    </row>
    <row r="29" spans="1:27" s="256" customFormat="1" ht="18" customHeight="1" x14ac:dyDescent="0.2">
      <c r="A29" s="353">
        <v>19</v>
      </c>
      <c r="B29" s="245"/>
      <c r="C29" s="246">
        <v>2022</v>
      </c>
      <c r="D29" s="315" t="s">
        <v>1638</v>
      </c>
      <c r="E29" s="316" t="s">
        <v>1033</v>
      </c>
      <c r="F29" s="268">
        <v>7</v>
      </c>
      <c r="G29" s="268">
        <v>7.2</v>
      </c>
      <c r="H29" s="268">
        <v>8</v>
      </c>
      <c r="I29" s="268">
        <v>7</v>
      </c>
      <c r="J29" s="268">
        <v>7</v>
      </c>
      <c r="K29" s="268">
        <v>9</v>
      </c>
      <c r="L29" s="268">
        <v>7</v>
      </c>
      <c r="M29" s="268">
        <v>7.5</v>
      </c>
      <c r="N29" s="268">
        <v>5</v>
      </c>
      <c r="O29" s="268">
        <v>7</v>
      </c>
      <c r="P29" s="268">
        <v>6.5</v>
      </c>
      <c r="Q29" s="243">
        <f t="shared" si="1"/>
        <v>7.1090909090909093</v>
      </c>
      <c r="R29" s="268"/>
      <c r="S29" s="268"/>
      <c r="T29" s="268"/>
      <c r="U29" s="243"/>
      <c r="V29" s="407"/>
      <c r="W29" s="252"/>
      <c r="X29" s="408"/>
      <c r="Y29" s="263" t="s">
        <v>241</v>
      </c>
      <c r="Z29" s="560"/>
      <c r="AA29" s="357">
        <f t="shared" si="0"/>
        <v>7.1090909090909093</v>
      </c>
    </row>
    <row r="30" spans="1:27" s="256" customFormat="1" ht="18" customHeight="1" x14ac:dyDescent="0.2">
      <c r="A30" s="353">
        <v>20</v>
      </c>
      <c r="B30" s="245"/>
      <c r="C30" s="246">
        <v>2022</v>
      </c>
      <c r="D30" s="315" t="s">
        <v>1639</v>
      </c>
      <c r="E30" s="316" t="s">
        <v>1218</v>
      </c>
      <c r="F30" s="268">
        <v>7</v>
      </c>
      <c r="G30" s="268">
        <v>7</v>
      </c>
      <c r="H30" s="268">
        <v>8</v>
      </c>
      <c r="I30" s="268">
        <v>7</v>
      </c>
      <c r="J30" s="268">
        <v>8</v>
      </c>
      <c r="K30" s="268">
        <v>10</v>
      </c>
      <c r="L30" s="268">
        <v>7.5</v>
      </c>
      <c r="M30" s="268">
        <v>7</v>
      </c>
      <c r="N30" s="268">
        <v>7</v>
      </c>
      <c r="O30" s="268">
        <v>6.5</v>
      </c>
      <c r="P30" s="268">
        <v>6</v>
      </c>
      <c r="Q30" s="243">
        <f t="shared" si="1"/>
        <v>7.3636363636363633</v>
      </c>
      <c r="R30" s="268"/>
      <c r="S30" s="268"/>
      <c r="T30" s="268"/>
      <c r="U30" s="243"/>
      <c r="V30" s="407"/>
      <c r="W30" s="252"/>
      <c r="X30" s="408"/>
      <c r="Y30" s="263" t="s">
        <v>12</v>
      </c>
      <c r="Z30" s="560"/>
      <c r="AA30" s="357">
        <f t="shared" si="0"/>
        <v>7.3636363636363633</v>
      </c>
    </row>
    <row r="31" spans="1:27" s="256" customFormat="1" ht="18" customHeight="1" x14ac:dyDescent="0.2">
      <c r="A31" s="353">
        <v>21</v>
      </c>
      <c r="B31" s="245"/>
      <c r="C31" s="246">
        <v>2022</v>
      </c>
      <c r="D31" s="315" t="s">
        <v>1640</v>
      </c>
      <c r="E31" s="316" t="s">
        <v>1641</v>
      </c>
      <c r="F31" s="268">
        <v>8</v>
      </c>
      <c r="G31" s="268">
        <v>6.5</v>
      </c>
      <c r="H31" s="457">
        <v>7</v>
      </c>
      <c r="I31" s="268">
        <v>7</v>
      </c>
      <c r="J31" s="268">
        <v>8</v>
      </c>
      <c r="K31" s="268">
        <v>10</v>
      </c>
      <c r="L31" s="268">
        <v>8</v>
      </c>
      <c r="M31" s="268">
        <v>7.5</v>
      </c>
      <c r="N31" s="268">
        <v>7</v>
      </c>
      <c r="O31" s="268">
        <v>7</v>
      </c>
      <c r="P31" s="268">
        <v>7</v>
      </c>
      <c r="Q31" s="243">
        <f t="shared" si="1"/>
        <v>7.5454545454545459</v>
      </c>
      <c r="R31" s="268"/>
      <c r="S31" s="268"/>
      <c r="T31" s="268"/>
      <c r="U31" s="243"/>
      <c r="V31" s="407"/>
      <c r="W31" s="252"/>
      <c r="X31" s="408"/>
      <c r="Y31" s="263" t="s">
        <v>141</v>
      </c>
      <c r="Z31" s="560"/>
      <c r="AA31" s="357">
        <f t="shared" si="0"/>
        <v>7.5454545454545459</v>
      </c>
    </row>
    <row r="32" spans="1:27" s="256" customFormat="1" ht="18" customHeight="1" x14ac:dyDescent="0.2">
      <c r="A32" s="353">
        <v>22</v>
      </c>
      <c r="B32" s="245"/>
      <c r="C32" s="246">
        <v>2022</v>
      </c>
      <c r="D32" s="315" t="s">
        <v>1642</v>
      </c>
      <c r="E32" s="316" t="s">
        <v>1643</v>
      </c>
      <c r="F32" s="268">
        <v>6</v>
      </c>
      <c r="G32" s="268">
        <v>8.8000000000000007</v>
      </c>
      <c r="H32" s="268">
        <v>7</v>
      </c>
      <c r="I32" s="268">
        <v>7</v>
      </c>
      <c r="J32" s="268">
        <v>7</v>
      </c>
      <c r="K32" s="268">
        <v>8</v>
      </c>
      <c r="L32" s="268">
        <v>7.5</v>
      </c>
      <c r="M32" s="268">
        <v>8</v>
      </c>
      <c r="N32" s="268">
        <v>7</v>
      </c>
      <c r="O32" s="268">
        <v>7.5</v>
      </c>
      <c r="P32" s="268">
        <v>7</v>
      </c>
      <c r="Q32" s="243">
        <f t="shared" si="1"/>
        <v>7.3454545454545448</v>
      </c>
      <c r="R32" s="268"/>
      <c r="S32" s="268"/>
      <c r="T32" s="268"/>
      <c r="U32" s="243"/>
      <c r="V32" s="407"/>
      <c r="W32" s="252"/>
      <c r="X32" s="408"/>
      <c r="Y32" s="263" t="s">
        <v>177</v>
      </c>
      <c r="Z32" s="560"/>
      <c r="AA32" s="357">
        <f t="shared" si="0"/>
        <v>7.3454545454545448</v>
      </c>
    </row>
    <row r="33" spans="1:27" s="256" customFormat="1" ht="18" customHeight="1" x14ac:dyDescent="0.2">
      <c r="A33" s="353">
        <v>23</v>
      </c>
      <c r="B33" s="245"/>
      <c r="C33" s="246">
        <v>2022</v>
      </c>
      <c r="D33" s="315" t="s">
        <v>154</v>
      </c>
      <c r="E33" s="316" t="s">
        <v>1644</v>
      </c>
      <c r="F33" s="268">
        <v>8</v>
      </c>
      <c r="G33" s="268">
        <v>8.1999999999999993</v>
      </c>
      <c r="H33" s="268">
        <v>8</v>
      </c>
      <c r="I33" s="268">
        <v>8</v>
      </c>
      <c r="J33" s="268">
        <v>8</v>
      </c>
      <c r="K33" s="268">
        <v>10</v>
      </c>
      <c r="L33" s="268">
        <v>7.5</v>
      </c>
      <c r="M33" s="268">
        <v>8</v>
      </c>
      <c r="N33" s="268">
        <v>8.5</v>
      </c>
      <c r="O33" s="268">
        <v>8</v>
      </c>
      <c r="P33" s="268">
        <v>8</v>
      </c>
      <c r="Q33" s="243">
        <f>SUM(F33:P33)/11</f>
        <v>8.2000000000000011</v>
      </c>
      <c r="R33" s="268"/>
      <c r="S33" s="268"/>
      <c r="T33" s="268"/>
      <c r="U33" s="243"/>
      <c r="V33" s="407"/>
      <c r="W33" s="252"/>
      <c r="X33" s="408"/>
      <c r="Y33" s="263" t="s">
        <v>186</v>
      </c>
      <c r="Z33" s="560"/>
      <c r="AA33" s="613">
        <f t="shared" si="0"/>
        <v>8.2000000000000011</v>
      </c>
    </row>
    <row r="34" spans="1:27" s="256" customFormat="1" ht="18" customHeight="1" x14ac:dyDescent="0.2">
      <c r="A34" s="353">
        <v>24</v>
      </c>
      <c r="B34" s="245"/>
      <c r="C34" s="246">
        <v>2022</v>
      </c>
      <c r="D34" s="315" t="s">
        <v>1046</v>
      </c>
      <c r="E34" s="316" t="s">
        <v>1645</v>
      </c>
      <c r="F34" s="268">
        <v>7</v>
      </c>
      <c r="G34" s="268">
        <v>7</v>
      </c>
      <c r="H34" s="268">
        <v>6.5</v>
      </c>
      <c r="I34" s="268">
        <v>6</v>
      </c>
      <c r="J34" s="268">
        <v>6</v>
      </c>
      <c r="K34" s="268">
        <v>8</v>
      </c>
      <c r="L34" s="268">
        <v>7</v>
      </c>
      <c r="M34" s="268">
        <v>7</v>
      </c>
      <c r="N34" s="268">
        <v>7</v>
      </c>
      <c r="O34" s="268">
        <v>7</v>
      </c>
      <c r="P34" s="268">
        <v>7</v>
      </c>
      <c r="Q34" s="243">
        <f t="shared" si="1"/>
        <v>6.8636363636363633</v>
      </c>
      <c r="R34" s="268"/>
      <c r="S34" s="268"/>
      <c r="T34" s="268"/>
      <c r="U34" s="243"/>
      <c r="V34" s="407"/>
      <c r="W34" s="252"/>
      <c r="X34" s="408"/>
      <c r="Y34" s="263" t="s">
        <v>226</v>
      </c>
      <c r="Z34" s="560"/>
      <c r="AA34" s="628">
        <f t="shared" si="0"/>
        <v>6.8636363636363633</v>
      </c>
    </row>
    <row r="35" spans="1:27" s="256" customFormat="1" ht="18" customHeight="1" x14ac:dyDescent="0.2">
      <c r="A35" s="353">
        <v>25</v>
      </c>
      <c r="B35" s="245"/>
      <c r="C35" s="246">
        <v>2022</v>
      </c>
      <c r="D35" s="315" t="s">
        <v>1646</v>
      </c>
      <c r="E35" s="316" t="s">
        <v>1373</v>
      </c>
      <c r="F35" s="268">
        <v>7</v>
      </c>
      <c r="G35" s="268">
        <v>7</v>
      </c>
      <c r="H35" s="457">
        <v>7</v>
      </c>
      <c r="I35" s="268">
        <v>7</v>
      </c>
      <c r="J35" s="268">
        <v>8</v>
      </c>
      <c r="K35" s="268">
        <v>8</v>
      </c>
      <c r="L35" s="268">
        <v>7.5</v>
      </c>
      <c r="M35" s="268">
        <v>6.5</v>
      </c>
      <c r="N35" s="268">
        <v>6</v>
      </c>
      <c r="O35" s="268">
        <v>6.5</v>
      </c>
      <c r="P35" s="268">
        <v>7</v>
      </c>
      <c r="Q35" s="243">
        <f t="shared" si="1"/>
        <v>7.0454545454545459</v>
      </c>
      <c r="R35" s="268"/>
      <c r="S35" s="268"/>
      <c r="T35" s="268"/>
      <c r="U35" s="243"/>
      <c r="V35" s="407"/>
      <c r="W35" s="252"/>
      <c r="X35" s="408"/>
      <c r="Y35" s="263" t="s">
        <v>1697</v>
      </c>
      <c r="Z35" s="560"/>
      <c r="AA35" s="357">
        <f t="shared" si="0"/>
        <v>7.0454545454545459</v>
      </c>
    </row>
    <row r="36" spans="1:27" s="256" customFormat="1" ht="18" customHeight="1" x14ac:dyDescent="0.2">
      <c r="A36" s="353">
        <v>26</v>
      </c>
      <c r="B36" s="245"/>
      <c r="C36" s="246">
        <v>2022</v>
      </c>
      <c r="D36" s="315" t="s">
        <v>135</v>
      </c>
      <c r="E36" s="316" t="s">
        <v>1647</v>
      </c>
      <c r="F36" s="268">
        <v>7</v>
      </c>
      <c r="G36" s="268">
        <v>7.8</v>
      </c>
      <c r="H36" s="268">
        <v>6.5</v>
      </c>
      <c r="I36" s="268">
        <v>7</v>
      </c>
      <c r="J36" s="268">
        <v>6.5</v>
      </c>
      <c r="K36" s="268">
        <v>9</v>
      </c>
      <c r="L36" s="268">
        <v>6</v>
      </c>
      <c r="M36" s="268">
        <v>7</v>
      </c>
      <c r="N36" s="268">
        <v>7</v>
      </c>
      <c r="O36" s="268">
        <v>5</v>
      </c>
      <c r="P36" s="268">
        <v>6.5</v>
      </c>
      <c r="Q36" s="243">
        <f t="shared" si="1"/>
        <v>6.8454545454545448</v>
      </c>
      <c r="R36" s="268"/>
      <c r="S36" s="268"/>
      <c r="T36" s="268"/>
      <c r="U36" s="243"/>
      <c r="V36" s="407"/>
      <c r="W36" s="252"/>
      <c r="X36" s="408"/>
      <c r="Y36" s="263" t="s">
        <v>174</v>
      </c>
      <c r="Z36" s="560"/>
      <c r="AA36" s="628">
        <f t="shared" si="0"/>
        <v>6.8454545454545448</v>
      </c>
    </row>
    <row r="37" spans="1:27" s="256" customFormat="1" ht="18" customHeight="1" x14ac:dyDescent="0.2">
      <c r="A37" s="353">
        <v>27</v>
      </c>
      <c r="B37" s="245"/>
      <c r="C37" s="246">
        <v>2022</v>
      </c>
      <c r="D37" s="315" t="s">
        <v>1556</v>
      </c>
      <c r="E37" s="316" t="s">
        <v>1380</v>
      </c>
      <c r="F37" s="268">
        <v>7</v>
      </c>
      <c r="G37" s="268">
        <v>7.5</v>
      </c>
      <c r="H37" s="268">
        <v>8</v>
      </c>
      <c r="I37" s="268">
        <v>6</v>
      </c>
      <c r="J37" s="268">
        <v>8</v>
      </c>
      <c r="K37" s="268">
        <v>10</v>
      </c>
      <c r="L37" s="268">
        <v>7</v>
      </c>
      <c r="M37" s="268">
        <v>7</v>
      </c>
      <c r="N37" s="268">
        <v>7.5</v>
      </c>
      <c r="O37" s="268">
        <v>8</v>
      </c>
      <c r="P37" s="268">
        <v>7</v>
      </c>
      <c r="Q37" s="243">
        <f t="shared" si="1"/>
        <v>7.5454545454545459</v>
      </c>
      <c r="R37" s="268"/>
      <c r="S37" s="268"/>
      <c r="T37" s="268"/>
      <c r="U37" s="243"/>
      <c r="V37" s="407"/>
      <c r="W37" s="252"/>
      <c r="X37" s="408"/>
      <c r="Y37" s="263" t="s">
        <v>18</v>
      </c>
      <c r="Z37" s="560"/>
      <c r="AA37" s="357">
        <f t="shared" si="0"/>
        <v>7.5454545454545459</v>
      </c>
    </row>
    <row r="38" spans="1:27" s="256" customFormat="1" ht="18" customHeight="1" x14ac:dyDescent="0.2">
      <c r="A38" s="353">
        <v>28</v>
      </c>
      <c r="B38" s="245"/>
      <c r="C38" s="246">
        <v>2022</v>
      </c>
      <c r="D38" s="315" t="s">
        <v>1648</v>
      </c>
      <c r="E38" s="316" t="s">
        <v>1649</v>
      </c>
      <c r="F38" s="268">
        <v>6</v>
      </c>
      <c r="G38" s="268">
        <v>7.5</v>
      </c>
      <c r="H38" s="268">
        <v>7</v>
      </c>
      <c r="I38" s="268">
        <v>6</v>
      </c>
      <c r="J38" s="268">
        <v>8</v>
      </c>
      <c r="K38" s="268">
        <v>9</v>
      </c>
      <c r="L38" s="268">
        <v>6</v>
      </c>
      <c r="M38" s="268">
        <v>7</v>
      </c>
      <c r="N38" s="268">
        <v>6</v>
      </c>
      <c r="O38" s="268">
        <v>7.5</v>
      </c>
      <c r="P38" s="268">
        <v>7</v>
      </c>
      <c r="Q38" s="243">
        <f t="shared" si="1"/>
        <v>7</v>
      </c>
      <c r="R38" s="268"/>
      <c r="S38" s="268"/>
      <c r="T38" s="268"/>
      <c r="U38" s="243"/>
      <c r="V38" s="407"/>
      <c r="W38" s="252"/>
      <c r="X38" s="408"/>
      <c r="Y38" s="263" t="s">
        <v>226</v>
      </c>
      <c r="Z38" s="560"/>
      <c r="AA38" s="357">
        <f t="shared" si="0"/>
        <v>7</v>
      </c>
    </row>
    <row r="39" spans="1:27" s="256" customFormat="1" ht="18" customHeight="1" x14ac:dyDescent="0.2">
      <c r="A39" s="353">
        <v>29</v>
      </c>
      <c r="B39" s="245"/>
      <c r="C39" s="246">
        <v>2022</v>
      </c>
      <c r="D39" s="315" t="s">
        <v>1650</v>
      </c>
      <c r="E39" s="316" t="s">
        <v>1651</v>
      </c>
      <c r="F39" s="268">
        <v>7</v>
      </c>
      <c r="G39" s="268">
        <v>7.6</v>
      </c>
      <c r="H39" s="268">
        <v>8</v>
      </c>
      <c r="I39" s="268">
        <v>6</v>
      </c>
      <c r="J39" s="268">
        <v>6.5</v>
      </c>
      <c r="K39" s="268">
        <v>10</v>
      </c>
      <c r="L39" s="268">
        <v>8</v>
      </c>
      <c r="M39" s="268">
        <v>7.5</v>
      </c>
      <c r="N39" s="268">
        <v>7</v>
      </c>
      <c r="O39" s="268">
        <v>8</v>
      </c>
      <c r="P39" s="268">
        <v>6.5</v>
      </c>
      <c r="Q39" s="243">
        <f t="shared" si="1"/>
        <v>7.463636363636363</v>
      </c>
      <c r="R39" s="268"/>
      <c r="S39" s="268"/>
      <c r="T39" s="268"/>
      <c r="U39" s="243"/>
      <c r="V39" s="407"/>
      <c r="W39" s="252"/>
      <c r="X39" s="408"/>
      <c r="Y39" s="263" t="s">
        <v>193</v>
      </c>
      <c r="Z39" s="560"/>
      <c r="AA39" s="357">
        <f t="shared" si="0"/>
        <v>7.463636363636363</v>
      </c>
    </row>
    <row r="40" spans="1:27" s="256" customFormat="1" ht="18" customHeight="1" x14ac:dyDescent="0.2">
      <c r="A40" s="353">
        <v>30</v>
      </c>
      <c r="B40" s="245"/>
      <c r="C40" s="246">
        <v>2022</v>
      </c>
      <c r="D40" s="315" t="s">
        <v>1652</v>
      </c>
      <c r="E40" s="316" t="s">
        <v>152</v>
      </c>
      <c r="F40" s="268">
        <v>7</v>
      </c>
      <c r="G40" s="268">
        <v>7.5</v>
      </c>
      <c r="H40" s="268">
        <v>8</v>
      </c>
      <c r="I40" s="268">
        <v>8</v>
      </c>
      <c r="J40" s="268">
        <v>7</v>
      </c>
      <c r="K40" s="268">
        <v>10</v>
      </c>
      <c r="L40" s="268">
        <v>8</v>
      </c>
      <c r="M40" s="268">
        <v>7.5</v>
      </c>
      <c r="N40" s="268">
        <v>7.5</v>
      </c>
      <c r="O40" s="268">
        <v>8</v>
      </c>
      <c r="P40" s="268">
        <v>7.5</v>
      </c>
      <c r="Q40" s="243">
        <f t="shared" si="1"/>
        <v>7.8181818181818183</v>
      </c>
      <c r="R40" s="268"/>
      <c r="S40" s="268"/>
      <c r="T40" s="268"/>
      <c r="U40" s="243"/>
      <c r="V40" s="407"/>
      <c r="W40" s="252"/>
      <c r="X40" s="408"/>
      <c r="Y40" s="263" t="s">
        <v>194</v>
      </c>
      <c r="Z40" s="560"/>
      <c r="AA40" s="357">
        <f t="shared" si="0"/>
        <v>7.8181818181818183</v>
      </c>
    </row>
    <row r="41" spans="1:27" s="256" customFormat="1" ht="18" customHeight="1" x14ac:dyDescent="0.2">
      <c r="A41" s="353">
        <v>31</v>
      </c>
      <c r="B41" s="245"/>
      <c r="C41" s="246">
        <v>2022</v>
      </c>
      <c r="D41" s="315" t="s">
        <v>1653</v>
      </c>
      <c r="E41" s="316" t="s">
        <v>836</v>
      </c>
      <c r="F41" s="268">
        <v>7</v>
      </c>
      <c r="G41" s="268">
        <v>6.5</v>
      </c>
      <c r="H41" s="268">
        <v>8</v>
      </c>
      <c r="I41" s="268">
        <v>6</v>
      </c>
      <c r="J41" s="268">
        <v>8</v>
      </c>
      <c r="K41" s="268">
        <v>9</v>
      </c>
      <c r="L41" s="268">
        <v>7.5</v>
      </c>
      <c r="M41" s="268">
        <v>6.5</v>
      </c>
      <c r="N41" s="268">
        <v>7</v>
      </c>
      <c r="O41" s="268">
        <v>7</v>
      </c>
      <c r="P41" s="268">
        <v>7</v>
      </c>
      <c r="Q41" s="243">
        <f t="shared" si="1"/>
        <v>7.2272727272727275</v>
      </c>
      <c r="R41" s="268"/>
      <c r="S41" s="268"/>
      <c r="T41" s="268"/>
      <c r="U41" s="243"/>
      <c r="V41" s="407"/>
      <c r="W41" s="252"/>
      <c r="X41" s="408"/>
      <c r="Y41" s="263" t="s">
        <v>171</v>
      </c>
      <c r="Z41" s="560"/>
      <c r="AA41" s="357">
        <f t="shared" si="0"/>
        <v>7.2272727272727275</v>
      </c>
    </row>
    <row r="42" spans="1:27" s="256" customFormat="1" ht="18" customHeight="1" x14ac:dyDescent="0.2">
      <c r="A42" s="353">
        <v>32</v>
      </c>
      <c r="B42" s="245"/>
      <c r="C42" s="246">
        <v>2022</v>
      </c>
      <c r="D42" s="315" t="s">
        <v>1654</v>
      </c>
      <c r="E42" s="316" t="s">
        <v>1655</v>
      </c>
      <c r="F42" s="268">
        <v>7</v>
      </c>
      <c r="G42" s="268">
        <v>6.8</v>
      </c>
      <c r="H42" s="268">
        <v>6.5</v>
      </c>
      <c r="I42" s="268">
        <v>7</v>
      </c>
      <c r="J42" s="268">
        <v>6</v>
      </c>
      <c r="K42" s="268">
        <v>9</v>
      </c>
      <c r="L42" s="268">
        <v>8</v>
      </c>
      <c r="M42" s="268">
        <v>7.5</v>
      </c>
      <c r="N42" s="268">
        <v>7.5</v>
      </c>
      <c r="O42" s="268">
        <v>7</v>
      </c>
      <c r="P42" s="268">
        <v>7</v>
      </c>
      <c r="Q42" s="243">
        <f t="shared" si="1"/>
        <v>7.209090909090909</v>
      </c>
      <c r="R42" s="268"/>
      <c r="S42" s="268"/>
      <c r="T42" s="268"/>
      <c r="U42" s="243"/>
      <c r="V42" s="407"/>
      <c r="W42" s="252"/>
      <c r="X42" s="408"/>
      <c r="Y42" s="263" t="s">
        <v>216</v>
      </c>
      <c r="Z42" s="560"/>
      <c r="AA42" s="357">
        <f t="shared" si="0"/>
        <v>7.209090909090909</v>
      </c>
    </row>
    <row r="43" spans="1:27" s="256" customFormat="1" ht="18" customHeight="1" x14ac:dyDescent="0.2">
      <c r="A43" s="353">
        <v>33</v>
      </c>
      <c r="B43" s="245"/>
      <c r="C43" s="246">
        <v>2022</v>
      </c>
      <c r="D43" s="315" t="s">
        <v>1656</v>
      </c>
      <c r="E43" s="316" t="s">
        <v>1657</v>
      </c>
      <c r="F43" s="268">
        <v>7</v>
      </c>
      <c r="G43" s="268">
        <v>8.6</v>
      </c>
      <c r="H43" s="268">
        <v>8</v>
      </c>
      <c r="I43" s="268">
        <v>8</v>
      </c>
      <c r="J43" s="268">
        <v>8</v>
      </c>
      <c r="K43" s="268">
        <v>8</v>
      </c>
      <c r="L43" s="268">
        <v>6</v>
      </c>
      <c r="M43" s="268">
        <v>7.5</v>
      </c>
      <c r="N43" s="268">
        <v>6.5</v>
      </c>
      <c r="O43" s="268">
        <v>7</v>
      </c>
      <c r="P43" s="268">
        <v>7.5</v>
      </c>
      <c r="Q43" s="243">
        <f t="shared" si="1"/>
        <v>7.463636363636363</v>
      </c>
      <c r="R43" s="268"/>
      <c r="S43" s="268"/>
      <c r="T43" s="268"/>
      <c r="U43" s="243"/>
      <c r="V43" s="407"/>
      <c r="W43" s="252"/>
      <c r="X43" s="408"/>
      <c r="Y43" s="263" t="s">
        <v>194</v>
      </c>
      <c r="Z43" s="560"/>
      <c r="AA43" s="357">
        <f t="shared" si="0"/>
        <v>7.463636363636363</v>
      </c>
    </row>
    <row r="44" spans="1:27" s="256" customFormat="1" ht="18" customHeight="1" x14ac:dyDescent="0.2">
      <c r="A44" s="353">
        <v>34</v>
      </c>
      <c r="B44" s="245"/>
      <c r="C44" s="246">
        <v>2022</v>
      </c>
      <c r="D44" s="315" t="s">
        <v>1658</v>
      </c>
      <c r="E44" s="316" t="s">
        <v>152</v>
      </c>
      <c r="F44" s="268">
        <v>7</v>
      </c>
      <c r="G44" s="268">
        <v>7.5</v>
      </c>
      <c r="H44" s="268">
        <v>7.5</v>
      </c>
      <c r="I44" s="268">
        <v>6</v>
      </c>
      <c r="J44" s="268">
        <v>8</v>
      </c>
      <c r="K44" s="268">
        <v>9</v>
      </c>
      <c r="L44" s="268">
        <v>7.5</v>
      </c>
      <c r="M44" s="268">
        <v>7</v>
      </c>
      <c r="N44" s="268">
        <v>6</v>
      </c>
      <c r="O44" s="268">
        <v>7</v>
      </c>
      <c r="P44" s="268">
        <v>7</v>
      </c>
      <c r="Q44" s="243">
        <f t="shared" si="1"/>
        <v>7.2272727272727275</v>
      </c>
      <c r="R44" s="268"/>
      <c r="S44" s="268"/>
      <c r="T44" s="268"/>
      <c r="U44" s="243"/>
      <c r="V44" s="407"/>
      <c r="W44" s="252"/>
      <c r="X44" s="408"/>
      <c r="Y44" s="263" t="s">
        <v>156</v>
      </c>
      <c r="Z44" s="560"/>
      <c r="AA44" s="357">
        <f t="shared" si="0"/>
        <v>7.2272727272727275</v>
      </c>
    </row>
    <row r="45" spans="1:27" s="256" customFormat="1" ht="18" customHeight="1" x14ac:dyDescent="0.2">
      <c r="A45" s="353">
        <v>35</v>
      </c>
      <c r="B45" s="245"/>
      <c r="C45" s="246">
        <v>2022</v>
      </c>
      <c r="D45" s="315" t="s">
        <v>1659</v>
      </c>
      <c r="E45" s="316" t="s">
        <v>164</v>
      </c>
      <c r="F45" s="268">
        <v>7</v>
      </c>
      <c r="G45" s="268">
        <v>7.5</v>
      </c>
      <c r="H45" s="268">
        <v>8</v>
      </c>
      <c r="I45" s="268">
        <v>5</v>
      </c>
      <c r="J45" s="268">
        <v>8</v>
      </c>
      <c r="K45" s="268">
        <v>10</v>
      </c>
      <c r="L45" s="268">
        <v>7</v>
      </c>
      <c r="M45" s="268">
        <v>7</v>
      </c>
      <c r="N45" s="268">
        <v>7</v>
      </c>
      <c r="O45" s="268">
        <v>7.5</v>
      </c>
      <c r="P45" s="268">
        <v>7</v>
      </c>
      <c r="Q45" s="243">
        <f t="shared" si="1"/>
        <v>7.3636363636363633</v>
      </c>
      <c r="R45" s="268"/>
      <c r="S45" s="268"/>
      <c r="T45" s="268"/>
      <c r="U45" s="243"/>
      <c r="V45" s="407"/>
      <c r="W45" s="252"/>
      <c r="X45" s="408"/>
      <c r="Y45" s="263" t="s">
        <v>194</v>
      </c>
      <c r="Z45" s="560"/>
      <c r="AA45" s="357">
        <f t="shared" si="0"/>
        <v>7.3636363636363633</v>
      </c>
    </row>
    <row r="46" spans="1:27" s="256" customFormat="1" ht="18" customHeight="1" x14ac:dyDescent="0.2">
      <c r="A46" s="353">
        <v>36</v>
      </c>
      <c r="B46" s="245"/>
      <c r="C46" s="246">
        <v>2022</v>
      </c>
      <c r="D46" s="315" t="s">
        <v>1660</v>
      </c>
      <c r="E46" s="316" t="s">
        <v>632</v>
      </c>
      <c r="F46" s="268">
        <v>6</v>
      </c>
      <c r="G46" s="268">
        <v>7.2</v>
      </c>
      <c r="H46" s="268">
        <v>7.5</v>
      </c>
      <c r="I46" s="268">
        <v>7</v>
      </c>
      <c r="J46" s="268">
        <v>8</v>
      </c>
      <c r="K46" s="268">
        <v>10</v>
      </c>
      <c r="L46" s="268">
        <v>8</v>
      </c>
      <c r="M46" s="268">
        <v>7</v>
      </c>
      <c r="N46" s="268">
        <v>7</v>
      </c>
      <c r="O46" s="268">
        <v>7</v>
      </c>
      <c r="P46" s="268">
        <v>7</v>
      </c>
      <c r="Q46" s="243">
        <f t="shared" si="1"/>
        <v>7.4272727272727277</v>
      </c>
      <c r="R46" s="268"/>
      <c r="S46" s="268"/>
      <c r="T46" s="268"/>
      <c r="U46" s="243"/>
      <c r="V46" s="407"/>
      <c r="W46" s="252"/>
      <c r="X46" s="408"/>
      <c r="Y46" s="263" t="s">
        <v>18</v>
      </c>
      <c r="Z46" s="560"/>
      <c r="AA46" s="357">
        <f t="shared" si="0"/>
        <v>7.4272727272727277</v>
      </c>
    </row>
    <row r="47" spans="1:27" s="256" customFormat="1" ht="18" customHeight="1" x14ac:dyDescent="0.2">
      <c r="A47" s="353">
        <v>37</v>
      </c>
      <c r="B47" s="245"/>
      <c r="C47" s="246">
        <v>2022</v>
      </c>
      <c r="D47" s="315" t="s">
        <v>1661</v>
      </c>
      <c r="E47" s="316" t="s">
        <v>1662</v>
      </c>
      <c r="F47" s="268">
        <v>7</v>
      </c>
      <c r="G47" s="268">
        <v>8</v>
      </c>
      <c r="H47" s="268">
        <v>7.5</v>
      </c>
      <c r="I47" s="268">
        <v>7</v>
      </c>
      <c r="J47" s="268">
        <v>7</v>
      </c>
      <c r="K47" s="268">
        <v>10</v>
      </c>
      <c r="L47" s="268">
        <v>7</v>
      </c>
      <c r="M47" s="268">
        <v>7.5</v>
      </c>
      <c r="N47" s="268">
        <v>7</v>
      </c>
      <c r="O47" s="268">
        <v>6.5</v>
      </c>
      <c r="P47" s="268">
        <v>6.5</v>
      </c>
      <c r="Q47" s="243">
        <f t="shared" si="1"/>
        <v>7.3636363636363633</v>
      </c>
      <c r="R47" s="268"/>
      <c r="S47" s="268"/>
      <c r="T47" s="268"/>
      <c r="U47" s="243"/>
      <c r="V47" s="407"/>
      <c r="W47" s="252"/>
      <c r="X47" s="408"/>
      <c r="Y47" s="263" t="s">
        <v>186</v>
      </c>
      <c r="Z47" s="560"/>
      <c r="AA47" s="357">
        <f t="shared" si="0"/>
        <v>7.3636363636363633</v>
      </c>
    </row>
    <row r="48" spans="1:27" s="256" customFormat="1" ht="18" customHeight="1" x14ac:dyDescent="0.2">
      <c r="A48" s="353">
        <v>38</v>
      </c>
      <c r="B48" s="245"/>
      <c r="C48" s="246">
        <v>2022</v>
      </c>
      <c r="D48" s="315" t="s">
        <v>1663</v>
      </c>
      <c r="E48" s="316" t="s">
        <v>850</v>
      </c>
      <c r="F48" s="268">
        <v>6</v>
      </c>
      <c r="G48" s="268">
        <v>7</v>
      </c>
      <c r="H48" s="268">
        <v>8</v>
      </c>
      <c r="I48" s="268">
        <v>7</v>
      </c>
      <c r="J48" s="268">
        <v>8</v>
      </c>
      <c r="K48" s="268">
        <v>10</v>
      </c>
      <c r="L48" s="268">
        <v>6</v>
      </c>
      <c r="M48" s="268">
        <v>6.5</v>
      </c>
      <c r="N48" s="268">
        <v>7.5</v>
      </c>
      <c r="O48" s="268">
        <v>6.5</v>
      </c>
      <c r="P48" s="268">
        <v>6.5</v>
      </c>
      <c r="Q48" s="243">
        <f t="shared" si="1"/>
        <v>7.1818181818181817</v>
      </c>
      <c r="R48" s="268"/>
      <c r="S48" s="268"/>
      <c r="T48" s="268"/>
      <c r="U48" s="243"/>
      <c r="V48" s="407"/>
      <c r="W48" s="252"/>
      <c r="X48" s="408"/>
      <c r="Y48" s="263" t="s">
        <v>194</v>
      </c>
      <c r="Z48" s="560"/>
      <c r="AA48" s="357">
        <f t="shared" si="0"/>
        <v>7.1818181818181817</v>
      </c>
    </row>
    <row r="49" spans="1:27" s="256" customFormat="1" ht="18" customHeight="1" x14ac:dyDescent="0.2">
      <c r="A49" s="353">
        <v>39</v>
      </c>
      <c r="B49" s="245"/>
      <c r="C49" s="246">
        <v>2022</v>
      </c>
      <c r="D49" s="315" t="s">
        <v>1664</v>
      </c>
      <c r="E49" s="316" t="s">
        <v>785</v>
      </c>
      <c r="F49" s="268">
        <v>6</v>
      </c>
      <c r="G49" s="268">
        <v>7.5</v>
      </c>
      <c r="H49" s="268">
        <v>8</v>
      </c>
      <c r="I49" s="268">
        <v>6</v>
      </c>
      <c r="J49" s="268">
        <v>8</v>
      </c>
      <c r="K49" s="268">
        <v>8</v>
      </c>
      <c r="L49" s="268">
        <v>7</v>
      </c>
      <c r="M49" s="268">
        <v>7</v>
      </c>
      <c r="N49" s="268">
        <v>7.5</v>
      </c>
      <c r="O49" s="268">
        <v>7.5</v>
      </c>
      <c r="P49" s="268">
        <v>7</v>
      </c>
      <c r="Q49" s="243">
        <f t="shared" si="1"/>
        <v>7.2272727272727275</v>
      </c>
      <c r="R49" s="268"/>
      <c r="S49" s="268"/>
      <c r="T49" s="268"/>
      <c r="U49" s="243"/>
      <c r="V49" s="407"/>
      <c r="W49" s="252"/>
      <c r="X49" s="408"/>
      <c r="Y49" s="263" t="s">
        <v>194</v>
      </c>
      <c r="Z49" s="560"/>
      <c r="AA49" s="357">
        <f t="shared" si="0"/>
        <v>7.2272727272727275</v>
      </c>
    </row>
    <row r="50" spans="1:27" s="256" customFormat="1" ht="18" customHeight="1" x14ac:dyDescent="0.2">
      <c r="A50" s="353">
        <v>40</v>
      </c>
      <c r="B50" s="245"/>
      <c r="C50" s="246">
        <v>2022</v>
      </c>
      <c r="D50" s="315" t="s">
        <v>1665</v>
      </c>
      <c r="E50" s="316" t="s">
        <v>1666</v>
      </c>
      <c r="F50" s="268">
        <v>7</v>
      </c>
      <c r="G50" s="268">
        <v>8.4</v>
      </c>
      <c r="H50" s="268">
        <v>8</v>
      </c>
      <c r="I50" s="268">
        <v>8</v>
      </c>
      <c r="J50" s="268">
        <v>8</v>
      </c>
      <c r="K50" s="268">
        <v>8</v>
      </c>
      <c r="L50" s="268">
        <v>8</v>
      </c>
      <c r="M50" s="268">
        <v>8</v>
      </c>
      <c r="N50" s="268">
        <v>7.5</v>
      </c>
      <c r="O50" s="268">
        <v>8</v>
      </c>
      <c r="P50" s="268">
        <v>7</v>
      </c>
      <c r="Q50" s="243">
        <f t="shared" si="1"/>
        <v>7.8090909090909095</v>
      </c>
      <c r="R50" s="268"/>
      <c r="S50" s="268"/>
      <c r="T50" s="268"/>
      <c r="U50" s="243"/>
      <c r="V50" s="407"/>
      <c r="W50" s="252"/>
      <c r="X50" s="408"/>
      <c r="Y50" s="263" t="s">
        <v>183</v>
      </c>
      <c r="Z50" s="560"/>
      <c r="AA50" s="357">
        <f t="shared" si="0"/>
        <v>7.8090909090909095</v>
      </c>
    </row>
    <row r="51" spans="1:27" s="256" customFormat="1" ht="18" customHeight="1" x14ac:dyDescent="0.2">
      <c r="A51" s="353">
        <v>41</v>
      </c>
      <c r="B51" s="245"/>
      <c r="C51" s="246">
        <v>2022</v>
      </c>
      <c r="D51" s="315" t="s">
        <v>1667</v>
      </c>
      <c r="E51" s="316" t="s">
        <v>1668</v>
      </c>
      <c r="F51" s="268">
        <v>7</v>
      </c>
      <c r="G51" s="268">
        <v>7.5</v>
      </c>
      <c r="H51" s="268">
        <v>8</v>
      </c>
      <c r="I51" s="268">
        <v>6</v>
      </c>
      <c r="J51" s="268">
        <v>6.5</v>
      </c>
      <c r="K51" s="268">
        <v>9</v>
      </c>
      <c r="L51" s="268">
        <v>7</v>
      </c>
      <c r="M51" s="268">
        <v>7.5</v>
      </c>
      <c r="N51" s="268">
        <v>7.5</v>
      </c>
      <c r="O51" s="268">
        <v>8</v>
      </c>
      <c r="P51" s="268">
        <v>7.5</v>
      </c>
      <c r="Q51" s="243">
        <f t="shared" si="1"/>
        <v>7.4090909090909092</v>
      </c>
      <c r="R51" s="268"/>
      <c r="S51" s="268"/>
      <c r="T51" s="268"/>
      <c r="U51" s="243"/>
      <c r="V51" s="407"/>
      <c r="W51" s="252"/>
      <c r="X51" s="408"/>
      <c r="Y51" s="263" t="s">
        <v>170</v>
      </c>
      <c r="Z51" s="560"/>
      <c r="AA51" s="357">
        <f t="shared" si="0"/>
        <v>7.4090909090909092</v>
      </c>
    </row>
    <row r="52" spans="1:27" s="256" customFormat="1" ht="18" customHeight="1" x14ac:dyDescent="0.2">
      <c r="A52" s="353">
        <v>42</v>
      </c>
      <c r="B52" s="245"/>
      <c r="C52" s="246">
        <v>2022</v>
      </c>
      <c r="D52" s="315" t="s">
        <v>1669</v>
      </c>
      <c r="E52" s="316" t="s">
        <v>220</v>
      </c>
      <c r="F52" s="268">
        <v>8</v>
      </c>
      <c r="G52" s="268">
        <v>7.6</v>
      </c>
      <c r="H52" s="268">
        <v>6.5</v>
      </c>
      <c r="I52" s="268">
        <v>6</v>
      </c>
      <c r="J52" s="268">
        <v>7.5</v>
      </c>
      <c r="K52" s="268">
        <v>10</v>
      </c>
      <c r="L52" s="268">
        <v>7.5</v>
      </c>
      <c r="M52" s="268">
        <v>7.5</v>
      </c>
      <c r="N52" s="268">
        <v>7.5</v>
      </c>
      <c r="O52" s="268">
        <v>7.5</v>
      </c>
      <c r="P52" s="268">
        <v>7</v>
      </c>
      <c r="Q52" s="243">
        <f t="shared" si="1"/>
        <v>7.5090909090909088</v>
      </c>
      <c r="R52" s="268"/>
      <c r="S52" s="268"/>
      <c r="T52" s="268"/>
      <c r="U52" s="243"/>
      <c r="V52" s="407"/>
      <c r="W52" s="252"/>
      <c r="X52" s="408"/>
      <c r="Y52" s="263" t="s">
        <v>218</v>
      </c>
      <c r="Z52" s="560"/>
      <c r="AA52" s="357">
        <f t="shared" si="0"/>
        <v>7.5090909090909088</v>
      </c>
    </row>
    <row r="53" spans="1:27" s="256" customFormat="1" ht="18" customHeight="1" x14ac:dyDescent="0.2">
      <c r="A53" s="353">
        <v>43</v>
      </c>
      <c r="B53" s="245"/>
      <c r="C53" s="246">
        <v>2022</v>
      </c>
      <c r="D53" s="315" t="s">
        <v>1670</v>
      </c>
      <c r="E53" s="316" t="s">
        <v>516</v>
      </c>
      <c r="F53" s="268">
        <v>7</v>
      </c>
      <c r="G53" s="268">
        <v>6.6</v>
      </c>
      <c r="H53" s="268">
        <v>7.5</v>
      </c>
      <c r="I53" s="268">
        <v>6</v>
      </c>
      <c r="J53" s="268">
        <v>7.5</v>
      </c>
      <c r="K53" s="268">
        <v>8</v>
      </c>
      <c r="L53" s="268">
        <v>8</v>
      </c>
      <c r="M53" s="268">
        <v>7</v>
      </c>
      <c r="N53" s="268">
        <v>7</v>
      </c>
      <c r="O53" s="268">
        <v>7</v>
      </c>
      <c r="P53" s="268">
        <v>7</v>
      </c>
      <c r="Q53" s="243">
        <f t="shared" si="1"/>
        <v>7.1454545454545446</v>
      </c>
      <c r="R53" s="268"/>
      <c r="S53" s="268"/>
      <c r="T53" s="268"/>
      <c r="U53" s="243"/>
      <c r="V53" s="407"/>
      <c r="W53" s="252"/>
      <c r="X53" s="408"/>
      <c r="Y53" s="261" t="s">
        <v>178</v>
      </c>
      <c r="Z53" s="560"/>
      <c r="AA53" s="357">
        <f t="shared" si="0"/>
        <v>7.1454545454545446</v>
      </c>
    </row>
    <row r="54" spans="1:27" s="256" customFormat="1" ht="18" customHeight="1" x14ac:dyDescent="0.2">
      <c r="A54" s="353">
        <v>44</v>
      </c>
      <c r="B54" s="245"/>
      <c r="C54" s="246">
        <v>2022</v>
      </c>
      <c r="D54" s="315" t="s">
        <v>1671</v>
      </c>
      <c r="E54" s="316" t="s">
        <v>1483</v>
      </c>
      <c r="F54" s="268">
        <v>8</v>
      </c>
      <c r="G54" s="268">
        <v>7</v>
      </c>
      <c r="H54" s="268">
        <v>8</v>
      </c>
      <c r="I54" s="268">
        <v>6</v>
      </c>
      <c r="J54" s="268">
        <v>8</v>
      </c>
      <c r="K54" s="268">
        <v>8</v>
      </c>
      <c r="L54" s="268">
        <v>7</v>
      </c>
      <c r="M54" s="268">
        <v>7.5</v>
      </c>
      <c r="N54" s="268">
        <v>7.5</v>
      </c>
      <c r="O54" s="268">
        <v>7</v>
      </c>
      <c r="P54" s="268">
        <v>7</v>
      </c>
      <c r="Q54" s="243">
        <f t="shared" si="1"/>
        <v>7.3636363636363633</v>
      </c>
      <c r="R54" s="268"/>
      <c r="S54" s="268"/>
      <c r="T54" s="268"/>
      <c r="U54" s="243"/>
      <c r="V54" s="407"/>
      <c r="W54" s="252"/>
      <c r="X54" s="408"/>
      <c r="Y54" s="263" t="s">
        <v>169</v>
      </c>
      <c r="Z54" s="560"/>
      <c r="AA54" s="357">
        <f t="shared" si="0"/>
        <v>7.3636363636363633</v>
      </c>
    </row>
    <row r="55" spans="1:27" s="256" customFormat="1" ht="18" customHeight="1" x14ac:dyDescent="0.2">
      <c r="A55" s="353">
        <v>45</v>
      </c>
      <c r="B55" s="245"/>
      <c r="C55" s="246">
        <v>2022</v>
      </c>
      <c r="D55" s="409" t="s">
        <v>1672</v>
      </c>
      <c r="E55" s="316" t="s">
        <v>607</v>
      </c>
      <c r="F55" s="268">
        <v>6</v>
      </c>
      <c r="G55" s="268">
        <v>7</v>
      </c>
      <c r="H55" s="268">
        <v>8</v>
      </c>
      <c r="I55" s="268">
        <v>8</v>
      </c>
      <c r="J55" s="268">
        <v>6.5</v>
      </c>
      <c r="K55" s="268">
        <v>8</v>
      </c>
      <c r="L55" s="268">
        <v>6</v>
      </c>
      <c r="M55" s="268">
        <v>7.5</v>
      </c>
      <c r="N55" s="268">
        <v>5</v>
      </c>
      <c r="O55" s="268">
        <v>7</v>
      </c>
      <c r="P55" s="268">
        <v>6</v>
      </c>
      <c r="Q55" s="243">
        <f t="shared" si="1"/>
        <v>6.8181818181818183</v>
      </c>
      <c r="R55" s="268"/>
      <c r="S55" s="268"/>
      <c r="T55" s="268"/>
      <c r="U55" s="243"/>
      <c r="V55" s="407"/>
      <c r="W55" s="252"/>
      <c r="X55" s="408"/>
      <c r="Y55" s="263" t="s">
        <v>177</v>
      </c>
      <c r="Z55" s="560"/>
      <c r="AA55" s="628">
        <f t="shared" si="0"/>
        <v>6.8181818181818183</v>
      </c>
    </row>
    <row r="56" spans="1:27" s="256" customFormat="1" ht="18" customHeight="1" x14ac:dyDescent="0.2">
      <c r="A56" s="353">
        <v>46</v>
      </c>
      <c r="B56" s="245"/>
      <c r="C56" s="246">
        <v>2022</v>
      </c>
      <c r="D56" s="315" t="s">
        <v>1673</v>
      </c>
      <c r="E56" s="316" t="s">
        <v>210</v>
      </c>
      <c r="F56" s="268">
        <v>7</v>
      </c>
      <c r="G56" s="268">
        <v>7.4</v>
      </c>
      <c r="H56" s="268">
        <v>8</v>
      </c>
      <c r="I56" s="268">
        <v>7</v>
      </c>
      <c r="J56" s="268">
        <v>6.5</v>
      </c>
      <c r="K56" s="268">
        <v>9</v>
      </c>
      <c r="L56" s="268">
        <v>6</v>
      </c>
      <c r="M56" s="268">
        <v>7.5</v>
      </c>
      <c r="N56" s="268">
        <v>7.5</v>
      </c>
      <c r="O56" s="268">
        <v>7</v>
      </c>
      <c r="P56" s="268">
        <v>7.5</v>
      </c>
      <c r="Q56" s="243">
        <f t="shared" si="1"/>
        <v>7.3090909090909095</v>
      </c>
      <c r="R56" s="268"/>
      <c r="S56" s="268"/>
      <c r="T56" s="268"/>
      <c r="U56" s="243"/>
      <c r="V56" s="407"/>
      <c r="W56" s="252"/>
      <c r="X56" s="408"/>
      <c r="Y56" s="263" t="s">
        <v>216</v>
      </c>
      <c r="Z56" s="560"/>
      <c r="AA56" s="357">
        <f t="shared" si="0"/>
        <v>7.3090909090909095</v>
      </c>
    </row>
    <row r="57" spans="1:27" s="256" customFormat="1" ht="18" customHeight="1" x14ac:dyDescent="0.2">
      <c r="A57" s="353">
        <v>47</v>
      </c>
      <c r="B57" s="245"/>
      <c r="C57" s="246">
        <v>2022</v>
      </c>
      <c r="D57" s="315" t="s">
        <v>1674</v>
      </c>
      <c r="E57" s="316" t="s">
        <v>211</v>
      </c>
      <c r="F57" s="268">
        <v>6</v>
      </c>
      <c r="G57" s="268">
        <v>7</v>
      </c>
      <c r="H57" s="268">
        <v>8</v>
      </c>
      <c r="I57" s="268">
        <v>7</v>
      </c>
      <c r="J57" s="268">
        <v>6</v>
      </c>
      <c r="K57" s="268">
        <v>8</v>
      </c>
      <c r="L57" s="268">
        <v>7.5</v>
      </c>
      <c r="M57" s="268">
        <v>7</v>
      </c>
      <c r="N57" s="268">
        <v>7.5</v>
      </c>
      <c r="O57" s="268">
        <v>7.5</v>
      </c>
      <c r="P57" s="268">
        <v>7.5</v>
      </c>
      <c r="Q57" s="243">
        <f t="shared" si="1"/>
        <v>7.1818181818181817</v>
      </c>
      <c r="R57" s="268"/>
      <c r="S57" s="268"/>
      <c r="T57" s="268"/>
      <c r="U57" s="243"/>
      <c r="V57" s="407"/>
      <c r="W57" s="252"/>
      <c r="X57" s="408"/>
      <c r="Y57" s="263" t="s">
        <v>194</v>
      </c>
      <c r="Z57" s="560"/>
      <c r="AA57" s="357">
        <f t="shared" si="0"/>
        <v>7.1818181818181817</v>
      </c>
    </row>
    <row r="58" spans="1:27" s="256" customFormat="1" ht="18" customHeight="1" x14ac:dyDescent="0.2">
      <c r="A58" s="353">
        <v>48</v>
      </c>
      <c r="B58" s="245"/>
      <c r="C58" s="246">
        <v>2022</v>
      </c>
      <c r="D58" s="315" t="s">
        <v>1675</v>
      </c>
      <c r="E58" s="316" t="s">
        <v>1676</v>
      </c>
      <c r="F58" s="268">
        <v>8</v>
      </c>
      <c r="G58" s="268">
        <v>7.5</v>
      </c>
      <c r="H58" s="268">
        <v>8</v>
      </c>
      <c r="I58" s="268">
        <v>7</v>
      </c>
      <c r="J58" s="268">
        <v>8</v>
      </c>
      <c r="K58" s="268">
        <v>8</v>
      </c>
      <c r="L58" s="268">
        <v>7.5</v>
      </c>
      <c r="M58" s="268">
        <v>7.5</v>
      </c>
      <c r="N58" s="268">
        <v>8</v>
      </c>
      <c r="O58" s="268">
        <v>7.5</v>
      </c>
      <c r="P58" s="268">
        <v>7.5</v>
      </c>
      <c r="Q58" s="243">
        <f t="shared" si="1"/>
        <v>7.6818181818181817</v>
      </c>
      <c r="R58" s="268"/>
      <c r="S58" s="268"/>
      <c r="T58" s="268"/>
      <c r="U58" s="243"/>
      <c r="V58" s="407"/>
      <c r="W58" s="252"/>
      <c r="X58" s="408"/>
      <c r="Y58" s="261" t="s">
        <v>181</v>
      </c>
      <c r="Z58" s="560"/>
      <c r="AA58" s="357">
        <f t="shared" si="0"/>
        <v>7.6818181818181817</v>
      </c>
    </row>
    <row r="59" spans="1:27" s="256" customFormat="1" ht="18" customHeight="1" x14ac:dyDescent="0.2">
      <c r="A59" s="353">
        <v>49</v>
      </c>
      <c r="B59" s="245"/>
      <c r="C59" s="246">
        <v>2022</v>
      </c>
      <c r="D59" s="315" t="s">
        <v>1677</v>
      </c>
      <c r="E59" s="316" t="s">
        <v>1678</v>
      </c>
      <c r="F59" s="268">
        <v>8</v>
      </c>
      <c r="G59" s="268">
        <v>7.8</v>
      </c>
      <c r="H59" s="268">
        <v>7</v>
      </c>
      <c r="I59" s="268">
        <v>8</v>
      </c>
      <c r="J59" s="268">
        <v>7</v>
      </c>
      <c r="K59" s="268">
        <v>10</v>
      </c>
      <c r="L59" s="268">
        <v>7.5</v>
      </c>
      <c r="M59" s="268">
        <v>7</v>
      </c>
      <c r="N59" s="268">
        <v>7</v>
      </c>
      <c r="O59" s="268">
        <v>7</v>
      </c>
      <c r="P59" s="268">
        <v>6.5</v>
      </c>
      <c r="Q59" s="243">
        <f t="shared" si="1"/>
        <v>7.5272727272727273</v>
      </c>
      <c r="R59" s="268"/>
      <c r="S59" s="268"/>
      <c r="T59" s="268"/>
      <c r="U59" s="243"/>
      <c r="V59" s="407"/>
      <c r="W59" s="252"/>
      <c r="X59" s="408"/>
      <c r="Y59" s="263" t="s">
        <v>12</v>
      </c>
      <c r="Z59" s="560"/>
      <c r="AA59" s="357">
        <f t="shared" si="0"/>
        <v>7.5272727272727273</v>
      </c>
    </row>
    <row r="60" spans="1:27" s="256" customFormat="1" ht="18" customHeight="1" x14ac:dyDescent="0.2">
      <c r="A60" s="353">
        <v>50</v>
      </c>
      <c r="B60" s="245"/>
      <c r="C60" s="246">
        <v>2022</v>
      </c>
      <c r="D60" s="315" t="s">
        <v>1679</v>
      </c>
      <c r="E60" s="316" t="s">
        <v>963</v>
      </c>
      <c r="F60" s="268">
        <v>7</v>
      </c>
      <c r="G60" s="268">
        <v>8.8000000000000007</v>
      </c>
      <c r="H60" s="268">
        <v>7.5</v>
      </c>
      <c r="I60" s="268">
        <v>7</v>
      </c>
      <c r="J60" s="268">
        <v>7</v>
      </c>
      <c r="K60" s="268">
        <v>10</v>
      </c>
      <c r="L60" s="268">
        <v>7</v>
      </c>
      <c r="M60" s="268">
        <v>7.5</v>
      </c>
      <c r="N60" s="268">
        <v>6.5</v>
      </c>
      <c r="O60" s="268">
        <v>6.5</v>
      </c>
      <c r="P60" s="268">
        <v>7</v>
      </c>
      <c r="Q60" s="243">
        <f t="shared" si="1"/>
        <v>7.4363636363636365</v>
      </c>
      <c r="R60" s="268"/>
      <c r="S60" s="268"/>
      <c r="T60" s="268"/>
      <c r="U60" s="243"/>
      <c r="V60" s="407"/>
      <c r="W60" s="252"/>
      <c r="X60" s="408"/>
      <c r="Y60" s="263" t="s">
        <v>152</v>
      </c>
      <c r="Z60" s="560"/>
      <c r="AA60" s="357">
        <f t="shared" si="0"/>
        <v>7.4363636363636365</v>
      </c>
    </row>
    <row r="61" spans="1:27" s="256" customFormat="1" ht="18" customHeight="1" x14ac:dyDescent="0.2">
      <c r="A61" s="353">
        <v>51</v>
      </c>
      <c r="B61" s="245"/>
      <c r="C61" s="246">
        <v>2022</v>
      </c>
      <c r="D61" s="315" t="s">
        <v>1680</v>
      </c>
      <c r="E61" s="316" t="s">
        <v>152</v>
      </c>
      <c r="F61" s="268">
        <v>7</v>
      </c>
      <c r="G61" s="268">
        <v>7.2</v>
      </c>
      <c r="H61" s="268">
        <v>7</v>
      </c>
      <c r="I61" s="268">
        <v>7</v>
      </c>
      <c r="J61" s="268">
        <v>6.5</v>
      </c>
      <c r="K61" s="268">
        <v>9</v>
      </c>
      <c r="L61" s="268">
        <v>7</v>
      </c>
      <c r="M61" s="268">
        <v>7.5</v>
      </c>
      <c r="N61" s="268">
        <v>7</v>
      </c>
      <c r="O61" s="268">
        <v>7</v>
      </c>
      <c r="P61" s="268">
        <v>7</v>
      </c>
      <c r="Q61" s="243">
        <f t="shared" si="1"/>
        <v>7.2</v>
      </c>
      <c r="R61" s="268"/>
      <c r="S61" s="268"/>
      <c r="T61" s="268"/>
      <c r="U61" s="243"/>
      <c r="V61" s="407"/>
      <c r="W61" s="252"/>
      <c r="X61" s="408"/>
      <c r="Y61" s="263" t="s">
        <v>1605</v>
      </c>
      <c r="Z61" s="560"/>
      <c r="AA61" s="357">
        <f t="shared" si="0"/>
        <v>7.2</v>
      </c>
    </row>
    <row r="62" spans="1:27" s="256" customFormat="1" ht="18" customHeight="1" x14ac:dyDescent="0.2">
      <c r="A62" s="353">
        <v>52</v>
      </c>
      <c r="B62" s="245"/>
      <c r="C62" s="246">
        <v>2022</v>
      </c>
      <c r="D62" s="315" t="s">
        <v>149</v>
      </c>
      <c r="E62" s="316" t="s">
        <v>1681</v>
      </c>
      <c r="F62" s="268">
        <v>7</v>
      </c>
      <c r="G62" s="268">
        <v>7</v>
      </c>
      <c r="H62" s="268">
        <v>8</v>
      </c>
      <c r="I62" s="268">
        <v>7</v>
      </c>
      <c r="J62" s="268">
        <v>8</v>
      </c>
      <c r="K62" s="268">
        <v>10</v>
      </c>
      <c r="L62" s="268">
        <v>8</v>
      </c>
      <c r="M62" s="268">
        <v>6.5</v>
      </c>
      <c r="N62" s="268">
        <v>6.5</v>
      </c>
      <c r="O62" s="268">
        <v>7</v>
      </c>
      <c r="P62" s="268">
        <v>7</v>
      </c>
      <c r="Q62" s="243">
        <f t="shared" si="1"/>
        <v>7.4545454545454541</v>
      </c>
      <c r="R62" s="268"/>
      <c r="S62" s="268"/>
      <c r="T62" s="268"/>
      <c r="U62" s="243"/>
      <c r="V62" s="407"/>
      <c r="W62" s="252"/>
      <c r="X62" s="408"/>
      <c r="Y62" s="263" t="s">
        <v>883</v>
      </c>
      <c r="Z62" s="560"/>
      <c r="AA62" s="357">
        <f t="shared" si="0"/>
        <v>7.4545454545454541</v>
      </c>
    </row>
    <row r="63" spans="1:27" s="256" customFormat="1" ht="18" customHeight="1" x14ac:dyDescent="0.2">
      <c r="A63" s="353">
        <v>53</v>
      </c>
      <c r="B63" s="245"/>
      <c r="C63" s="246">
        <v>2022</v>
      </c>
      <c r="D63" s="315" t="s">
        <v>1682</v>
      </c>
      <c r="E63" s="316" t="s">
        <v>1683</v>
      </c>
      <c r="F63" s="268">
        <v>7</v>
      </c>
      <c r="G63" s="268">
        <v>7.5</v>
      </c>
      <c r="H63" s="268">
        <v>8</v>
      </c>
      <c r="I63" s="268">
        <v>7</v>
      </c>
      <c r="J63" s="268">
        <v>8</v>
      </c>
      <c r="K63" s="268">
        <v>8</v>
      </c>
      <c r="L63" s="268">
        <v>6</v>
      </c>
      <c r="M63" s="268">
        <v>7</v>
      </c>
      <c r="N63" s="268">
        <v>7.5</v>
      </c>
      <c r="O63" s="268">
        <v>7</v>
      </c>
      <c r="P63" s="268">
        <v>7</v>
      </c>
      <c r="Q63" s="243">
        <f t="shared" si="1"/>
        <v>7.2727272727272725</v>
      </c>
      <c r="R63" s="268"/>
      <c r="S63" s="268"/>
      <c r="T63" s="268"/>
      <c r="U63" s="243"/>
      <c r="V63" s="407"/>
      <c r="W63" s="252"/>
      <c r="X63" s="408"/>
      <c r="Y63" s="261" t="s">
        <v>194</v>
      </c>
      <c r="Z63" s="560"/>
      <c r="AA63" s="357">
        <f t="shared" si="0"/>
        <v>7.2727272727272725</v>
      </c>
    </row>
    <row r="64" spans="1:27" s="256" customFormat="1" ht="18" customHeight="1" x14ac:dyDescent="0.2">
      <c r="A64" s="353">
        <v>54</v>
      </c>
      <c r="B64" s="245"/>
      <c r="C64" s="246">
        <v>2022</v>
      </c>
      <c r="D64" s="315" t="s">
        <v>1684</v>
      </c>
      <c r="E64" s="316" t="s">
        <v>152</v>
      </c>
      <c r="F64" s="268">
        <v>7</v>
      </c>
      <c r="G64" s="268">
        <v>7</v>
      </c>
      <c r="H64" s="268">
        <v>7.5</v>
      </c>
      <c r="I64" s="268">
        <v>7</v>
      </c>
      <c r="J64" s="268">
        <v>8</v>
      </c>
      <c r="K64" s="268">
        <v>8</v>
      </c>
      <c r="L64" s="268">
        <v>7</v>
      </c>
      <c r="M64" s="268">
        <v>7</v>
      </c>
      <c r="N64" s="268">
        <v>5</v>
      </c>
      <c r="O64" s="268">
        <v>6.5</v>
      </c>
      <c r="P64" s="268">
        <v>7</v>
      </c>
      <c r="Q64" s="243">
        <f t="shared" si="1"/>
        <v>7</v>
      </c>
      <c r="R64" s="268"/>
      <c r="S64" s="268"/>
      <c r="T64" s="268"/>
      <c r="U64" s="243"/>
      <c r="V64" s="407"/>
      <c r="W64" s="252"/>
      <c r="X64" s="408"/>
      <c r="Y64" s="263" t="s">
        <v>216</v>
      </c>
      <c r="Z64" s="560"/>
      <c r="AA64" s="357">
        <f t="shared" si="0"/>
        <v>7</v>
      </c>
    </row>
    <row r="65" spans="1:27" s="256" customFormat="1" ht="18" customHeight="1" x14ac:dyDescent="0.2">
      <c r="A65" s="353">
        <v>55</v>
      </c>
      <c r="B65" s="245"/>
      <c r="C65" s="246">
        <v>2022</v>
      </c>
      <c r="D65" s="315" t="s">
        <v>1685</v>
      </c>
      <c r="E65" s="316" t="s">
        <v>1354</v>
      </c>
      <c r="F65" s="268">
        <v>7</v>
      </c>
      <c r="G65" s="268">
        <v>7.5</v>
      </c>
      <c r="H65" s="268">
        <v>8</v>
      </c>
      <c r="I65" s="268">
        <v>7</v>
      </c>
      <c r="J65" s="268">
        <v>8</v>
      </c>
      <c r="K65" s="268">
        <v>9</v>
      </c>
      <c r="L65" s="268">
        <v>6</v>
      </c>
      <c r="M65" s="268">
        <v>7</v>
      </c>
      <c r="N65" s="268">
        <v>7</v>
      </c>
      <c r="O65" s="268">
        <v>7</v>
      </c>
      <c r="P65" s="268">
        <v>7</v>
      </c>
      <c r="Q65" s="243">
        <f t="shared" si="1"/>
        <v>7.3181818181818183</v>
      </c>
      <c r="R65" s="268"/>
      <c r="S65" s="268"/>
      <c r="T65" s="268"/>
      <c r="U65" s="243"/>
      <c r="V65" s="407"/>
      <c r="W65" s="252"/>
      <c r="X65" s="408"/>
      <c r="Y65" s="263" t="s">
        <v>186</v>
      </c>
      <c r="Z65" s="560"/>
      <c r="AA65" s="357">
        <f t="shared" si="0"/>
        <v>7.3181818181818183</v>
      </c>
    </row>
    <row r="66" spans="1:27" s="256" customFormat="1" ht="18" customHeight="1" x14ac:dyDescent="0.2">
      <c r="A66" s="353">
        <v>56</v>
      </c>
      <c r="B66" s="245"/>
      <c r="C66" s="246">
        <v>2022</v>
      </c>
      <c r="D66" s="315" t="s">
        <v>1686</v>
      </c>
      <c r="E66" s="316" t="s">
        <v>255</v>
      </c>
      <c r="F66" s="268">
        <v>7</v>
      </c>
      <c r="G66" s="268">
        <v>7.5</v>
      </c>
      <c r="H66" s="268">
        <v>7.5</v>
      </c>
      <c r="I66" s="268">
        <v>7</v>
      </c>
      <c r="J66" s="268">
        <v>8</v>
      </c>
      <c r="K66" s="268">
        <v>8</v>
      </c>
      <c r="L66" s="268">
        <v>7</v>
      </c>
      <c r="M66" s="268">
        <v>7.5</v>
      </c>
      <c r="N66" s="268">
        <v>7</v>
      </c>
      <c r="O66" s="268">
        <v>7</v>
      </c>
      <c r="P66" s="268">
        <v>6.5</v>
      </c>
      <c r="Q66" s="243">
        <f t="shared" si="1"/>
        <v>7.2727272727272725</v>
      </c>
      <c r="R66" s="268"/>
      <c r="S66" s="268"/>
      <c r="T66" s="268"/>
      <c r="U66" s="243"/>
      <c r="V66" s="407"/>
      <c r="W66" s="252"/>
      <c r="X66" s="408"/>
      <c r="Y66" s="263" t="s">
        <v>194</v>
      </c>
      <c r="Z66" s="560"/>
      <c r="AA66" s="357">
        <f t="shared" si="0"/>
        <v>7.2727272727272725</v>
      </c>
    </row>
    <row r="67" spans="1:27" s="256" customFormat="1" ht="18" customHeight="1" x14ac:dyDescent="0.2">
      <c r="A67" s="353">
        <v>57</v>
      </c>
      <c r="B67" s="245"/>
      <c r="C67" s="246">
        <v>2022</v>
      </c>
      <c r="D67" s="315" t="s">
        <v>1687</v>
      </c>
      <c r="E67" s="316" t="s">
        <v>1688</v>
      </c>
      <c r="F67" s="268">
        <v>7</v>
      </c>
      <c r="G67" s="268">
        <v>8.4</v>
      </c>
      <c r="H67" s="268">
        <v>8</v>
      </c>
      <c r="I67" s="268">
        <v>8</v>
      </c>
      <c r="J67" s="268">
        <v>8</v>
      </c>
      <c r="K67" s="268">
        <v>10</v>
      </c>
      <c r="L67" s="268">
        <v>7.5</v>
      </c>
      <c r="M67" s="268">
        <v>7.5</v>
      </c>
      <c r="N67" s="268">
        <v>7.5</v>
      </c>
      <c r="O67" s="268">
        <v>7.5</v>
      </c>
      <c r="P67" s="268">
        <v>8</v>
      </c>
      <c r="Q67" s="243">
        <f t="shared" si="1"/>
        <v>7.9454545454545462</v>
      </c>
      <c r="R67" s="268"/>
      <c r="S67" s="268"/>
      <c r="T67" s="268"/>
      <c r="U67" s="243"/>
      <c r="V67" s="407"/>
      <c r="W67" s="252"/>
      <c r="X67" s="408"/>
      <c r="Y67" s="263" t="s">
        <v>182</v>
      </c>
      <c r="Z67" s="560"/>
      <c r="AA67" s="357">
        <f t="shared" si="0"/>
        <v>7.9454545454545462</v>
      </c>
    </row>
    <row r="68" spans="1:27" s="256" customFormat="1" ht="18" customHeight="1" x14ac:dyDescent="0.2">
      <c r="A68" s="353">
        <v>58</v>
      </c>
      <c r="B68" s="245"/>
      <c r="C68" s="246">
        <v>2022</v>
      </c>
      <c r="D68" s="315" t="s">
        <v>1188</v>
      </c>
      <c r="E68" s="316" t="s">
        <v>1689</v>
      </c>
      <c r="F68" s="268">
        <v>7</v>
      </c>
      <c r="G68" s="268">
        <v>7</v>
      </c>
      <c r="H68" s="268">
        <v>8</v>
      </c>
      <c r="I68" s="268">
        <v>7</v>
      </c>
      <c r="J68" s="268">
        <v>8</v>
      </c>
      <c r="K68" s="268">
        <v>8</v>
      </c>
      <c r="L68" s="268">
        <v>7.5</v>
      </c>
      <c r="M68" s="268">
        <v>7</v>
      </c>
      <c r="N68" s="268">
        <v>7</v>
      </c>
      <c r="O68" s="268">
        <v>8</v>
      </c>
      <c r="P68" s="268">
        <v>7.5</v>
      </c>
      <c r="Q68" s="243">
        <f t="shared" si="1"/>
        <v>7.4545454545454541</v>
      </c>
      <c r="R68" s="268"/>
      <c r="S68" s="268"/>
      <c r="T68" s="268"/>
      <c r="U68" s="243"/>
      <c r="V68" s="407"/>
      <c r="W68" s="252"/>
      <c r="X68" s="408"/>
      <c r="Y68" s="261" t="s">
        <v>181</v>
      </c>
      <c r="Z68" s="560"/>
      <c r="AA68" s="357">
        <f t="shared" si="0"/>
        <v>7.4545454545454541</v>
      </c>
    </row>
    <row r="69" spans="1:27" s="256" customFormat="1" ht="18" customHeight="1" x14ac:dyDescent="0.2">
      <c r="A69" s="353">
        <v>59</v>
      </c>
      <c r="B69" s="245"/>
      <c r="C69" s="246">
        <v>2022</v>
      </c>
      <c r="D69" s="315" t="s">
        <v>1690</v>
      </c>
      <c r="E69" s="316" t="s">
        <v>150</v>
      </c>
      <c r="F69" s="268">
        <v>7</v>
      </c>
      <c r="G69" s="268">
        <v>7.8</v>
      </c>
      <c r="H69" s="268">
        <v>6</v>
      </c>
      <c r="I69" s="268">
        <v>7</v>
      </c>
      <c r="J69" s="268">
        <v>8</v>
      </c>
      <c r="K69" s="268">
        <v>9</v>
      </c>
      <c r="L69" s="268">
        <v>7.5</v>
      </c>
      <c r="M69" s="268">
        <v>7</v>
      </c>
      <c r="N69" s="268">
        <v>7.5</v>
      </c>
      <c r="O69" s="268">
        <v>6</v>
      </c>
      <c r="P69" s="268">
        <v>7</v>
      </c>
      <c r="Q69" s="243">
        <f t="shared" si="1"/>
        <v>7.254545454545454</v>
      </c>
      <c r="R69" s="268"/>
      <c r="S69" s="268"/>
      <c r="T69" s="268"/>
      <c r="U69" s="243"/>
      <c r="V69" s="407"/>
      <c r="W69" s="252"/>
      <c r="X69" s="408"/>
      <c r="Y69" s="263" t="s">
        <v>216</v>
      </c>
      <c r="Z69" s="560"/>
      <c r="AA69" s="357">
        <f t="shared" si="0"/>
        <v>7.254545454545454</v>
      </c>
    </row>
    <row r="70" spans="1:27" s="256" customFormat="1" ht="18" customHeight="1" x14ac:dyDescent="0.2">
      <c r="A70" s="353">
        <v>60</v>
      </c>
      <c r="B70" s="245"/>
      <c r="C70" s="246">
        <v>2022</v>
      </c>
      <c r="D70" s="315" t="s">
        <v>1691</v>
      </c>
      <c r="E70" s="316" t="s">
        <v>1692</v>
      </c>
      <c r="F70" s="268">
        <v>6</v>
      </c>
      <c r="G70" s="268">
        <v>7</v>
      </c>
      <c r="H70" s="268">
        <v>8</v>
      </c>
      <c r="I70" s="268">
        <v>7</v>
      </c>
      <c r="J70" s="268">
        <v>7.5</v>
      </c>
      <c r="K70" s="268">
        <v>8</v>
      </c>
      <c r="L70" s="268">
        <v>7</v>
      </c>
      <c r="M70" s="268">
        <v>6.5</v>
      </c>
      <c r="N70" s="268">
        <v>5</v>
      </c>
      <c r="O70" s="268">
        <v>5</v>
      </c>
      <c r="P70" s="268">
        <v>7</v>
      </c>
      <c r="Q70" s="243">
        <f t="shared" si="1"/>
        <v>6.7272727272727275</v>
      </c>
      <c r="R70" s="268"/>
      <c r="S70" s="268"/>
      <c r="T70" s="268"/>
      <c r="U70" s="243"/>
      <c r="V70" s="407"/>
      <c r="W70" s="252"/>
      <c r="X70" s="408"/>
      <c r="Y70" s="263" t="s">
        <v>240</v>
      </c>
      <c r="Z70" s="560"/>
      <c r="AA70" s="628">
        <f t="shared" si="0"/>
        <v>6.7272727272727275</v>
      </c>
    </row>
    <row r="71" spans="1:27" s="256" customFormat="1" ht="18" customHeight="1" x14ac:dyDescent="0.2">
      <c r="A71" s="353">
        <v>61</v>
      </c>
      <c r="B71" s="245"/>
      <c r="C71" s="246">
        <v>2022</v>
      </c>
      <c r="D71" s="315" t="s">
        <v>1693</v>
      </c>
      <c r="E71" s="316" t="s">
        <v>1694</v>
      </c>
      <c r="F71" s="268">
        <v>7</v>
      </c>
      <c r="G71" s="268">
        <v>7.5</v>
      </c>
      <c r="H71" s="268">
        <v>8</v>
      </c>
      <c r="I71" s="268">
        <v>6</v>
      </c>
      <c r="J71" s="268">
        <v>8</v>
      </c>
      <c r="K71" s="268">
        <v>10</v>
      </c>
      <c r="L71" s="268">
        <v>8</v>
      </c>
      <c r="M71" s="268">
        <v>7</v>
      </c>
      <c r="N71" s="268">
        <v>7</v>
      </c>
      <c r="O71" s="268">
        <v>7.5</v>
      </c>
      <c r="P71" s="268">
        <v>7</v>
      </c>
      <c r="Q71" s="243">
        <f t="shared" si="1"/>
        <v>7.5454545454545459</v>
      </c>
      <c r="R71" s="268"/>
      <c r="S71" s="268"/>
      <c r="T71" s="268"/>
      <c r="U71" s="243"/>
      <c r="V71" s="407"/>
      <c r="W71" s="252"/>
      <c r="X71" s="408"/>
      <c r="Y71" s="263" t="s">
        <v>186</v>
      </c>
      <c r="Z71" s="560"/>
      <c r="AA71" s="357">
        <f t="shared" si="0"/>
        <v>7.5454545454545459</v>
      </c>
    </row>
    <row r="72" spans="1:27" s="256" customFormat="1" ht="18" customHeight="1" x14ac:dyDescent="0.2">
      <c r="A72" s="353">
        <v>62</v>
      </c>
      <c r="B72" s="245"/>
      <c r="C72" s="246">
        <v>2022</v>
      </c>
      <c r="D72" s="269" t="s">
        <v>1695</v>
      </c>
      <c r="E72" s="294" t="s">
        <v>632</v>
      </c>
      <c r="F72" s="242">
        <v>6</v>
      </c>
      <c r="G72" s="242">
        <v>6.5</v>
      </c>
      <c r="H72" s="268">
        <v>8</v>
      </c>
      <c r="I72" s="242">
        <v>6</v>
      </c>
      <c r="J72" s="242">
        <v>7.5</v>
      </c>
      <c r="K72" s="242">
        <v>9</v>
      </c>
      <c r="L72" s="268">
        <v>8</v>
      </c>
      <c r="M72" s="242">
        <v>7.5</v>
      </c>
      <c r="N72" s="242">
        <v>7</v>
      </c>
      <c r="O72" s="242">
        <v>7</v>
      </c>
      <c r="P72" s="242">
        <v>7.5</v>
      </c>
      <c r="Q72" s="243">
        <f t="shared" si="1"/>
        <v>7.2727272727272725</v>
      </c>
      <c r="R72" s="242"/>
      <c r="S72" s="242"/>
      <c r="T72" s="242"/>
      <c r="U72" s="277">
        <f>SUM(R72:T72)/3</f>
        <v>0</v>
      </c>
      <c r="V72" s="410">
        <f>SUM(Q72+U72)/2</f>
        <v>3.6363636363636362</v>
      </c>
      <c r="W72" s="252"/>
      <c r="X72" s="411"/>
      <c r="Y72" s="263" t="s">
        <v>194</v>
      </c>
      <c r="Z72" s="560"/>
      <c r="AA72" s="357">
        <f t="shared" si="0"/>
        <v>7.2727272727272725</v>
      </c>
    </row>
    <row r="73" spans="1:27" s="256" customFormat="1" ht="18" customHeight="1" x14ac:dyDescent="0.2">
      <c r="A73" s="353">
        <v>63</v>
      </c>
      <c r="B73" s="245"/>
      <c r="C73" s="246">
        <v>2022</v>
      </c>
      <c r="D73" s="269" t="s">
        <v>1696</v>
      </c>
      <c r="E73" s="292" t="s">
        <v>1314</v>
      </c>
      <c r="F73" s="308">
        <v>7</v>
      </c>
      <c r="G73" s="242">
        <v>8</v>
      </c>
      <c r="H73" s="268">
        <v>6</v>
      </c>
      <c r="I73" s="242">
        <v>7</v>
      </c>
      <c r="J73" s="242">
        <v>6</v>
      </c>
      <c r="K73" s="242">
        <v>9</v>
      </c>
      <c r="L73" s="268">
        <v>6</v>
      </c>
      <c r="M73" s="242">
        <v>6.5</v>
      </c>
      <c r="N73" s="242">
        <v>6.5</v>
      </c>
      <c r="O73" s="242">
        <v>6</v>
      </c>
      <c r="P73" s="242">
        <v>7</v>
      </c>
      <c r="Q73" s="243">
        <f t="shared" si="1"/>
        <v>6.8181818181818183</v>
      </c>
      <c r="R73" s="242"/>
      <c r="S73" s="242"/>
      <c r="T73" s="242"/>
      <c r="U73" s="277">
        <f>SUM(R73:T73)/3</f>
        <v>0</v>
      </c>
      <c r="V73" s="410">
        <f>SUM(Q73+U73)/2</f>
        <v>3.4090909090909092</v>
      </c>
      <c r="W73" s="252"/>
      <c r="X73" s="358"/>
      <c r="Y73" s="261" t="s">
        <v>240</v>
      </c>
      <c r="Z73" s="560"/>
      <c r="AA73" s="628">
        <f t="shared" si="0"/>
        <v>6.8181818181818183</v>
      </c>
    </row>
    <row r="74" spans="1:27" s="256" customFormat="1" ht="18" customHeight="1" thickBot="1" x14ac:dyDescent="0.25">
      <c r="A74" s="551"/>
      <c r="B74" s="585"/>
      <c r="C74" s="593"/>
      <c r="D74" s="552"/>
      <c r="E74" s="365"/>
      <c r="F74" s="589"/>
      <c r="G74" s="553"/>
      <c r="H74" s="553"/>
      <c r="I74" s="553"/>
      <c r="J74" s="553"/>
      <c r="K74" s="553"/>
      <c r="L74" s="553"/>
      <c r="M74" s="594"/>
      <c r="N74" s="553"/>
      <c r="O74" s="553"/>
      <c r="P74" s="553"/>
      <c r="Q74" s="554"/>
      <c r="R74" s="553"/>
      <c r="S74" s="553"/>
      <c r="T74" s="553"/>
      <c r="U74" s="554"/>
      <c r="V74" s="554"/>
      <c r="W74" s="595"/>
      <c r="X74" s="591"/>
      <c r="Y74" s="555"/>
      <c r="Z74" s="560"/>
    </row>
    <row r="75" spans="1:27" s="368" customFormat="1" ht="19.5" thickTop="1" x14ac:dyDescent="0.3">
      <c r="A75" s="369"/>
      <c r="B75" s="369"/>
      <c r="C75" s="369"/>
      <c r="E75" s="369"/>
      <c r="F75" s="369"/>
      <c r="G75" s="369"/>
      <c r="H75" s="369"/>
      <c r="I75" s="369"/>
      <c r="J75" s="369"/>
      <c r="K75" s="369"/>
      <c r="L75" s="369"/>
      <c r="M75" s="369"/>
      <c r="N75" s="369"/>
      <c r="O75" s="369"/>
      <c r="P75" s="369"/>
      <c r="Q75" s="370"/>
      <c r="R75" s="371"/>
      <c r="S75" s="371"/>
      <c r="T75" s="371"/>
      <c r="U75" s="369"/>
      <c r="V75" s="369"/>
      <c r="W75" s="369"/>
      <c r="X75" s="372"/>
      <c r="Y75" s="369"/>
    </row>
    <row r="76" spans="1:27" s="368" customFormat="1" x14ac:dyDescent="0.3">
      <c r="A76" s="369"/>
      <c r="B76" s="369"/>
      <c r="C76" s="369"/>
      <c r="E76" s="369"/>
      <c r="F76" s="369"/>
      <c r="G76" s="369"/>
      <c r="H76" s="369" t="s">
        <v>94</v>
      </c>
      <c r="I76" s="369"/>
      <c r="J76" s="369"/>
      <c r="K76" s="369"/>
      <c r="L76" s="369"/>
      <c r="M76" s="369"/>
      <c r="N76" s="369"/>
      <c r="O76" s="369"/>
      <c r="P76" s="369"/>
      <c r="Q76" s="1065"/>
      <c r="R76" s="1065"/>
      <c r="S76" s="1065"/>
      <c r="T76" s="1065"/>
      <c r="U76" s="1065"/>
      <c r="V76" s="1065"/>
      <c r="W76" s="1065"/>
      <c r="X76" s="1065"/>
      <c r="Y76" s="1065"/>
    </row>
    <row r="77" spans="1:27" s="368" customFormat="1" x14ac:dyDescent="0.3">
      <c r="A77" s="369"/>
      <c r="B77" s="369"/>
      <c r="C77" s="369"/>
      <c r="E77" s="369"/>
      <c r="F77" s="369"/>
      <c r="G77" s="369"/>
      <c r="H77" s="369"/>
      <c r="I77" s="369"/>
      <c r="J77" s="369"/>
      <c r="K77" s="369"/>
      <c r="L77" s="369"/>
      <c r="M77" s="369"/>
      <c r="N77" s="369"/>
      <c r="O77" s="369"/>
      <c r="P77" s="369"/>
      <c r="Q77" s="1065"/>
      <c r="R77" s="1065"/>
      <c r="S77" s="1065"/>
      <c r="T77" s="371"/>
      <c r="U77" s="369"/>
      <c r="V77" s="369"/>
      <c r="W77" s="369"/>
      <c r="X77" s="372"/>
      <c r="Y77" s="369"/>
    </row>
    <row r="78" spans="1:27" s="368" customFormat="1" x14ac:dyDescent="0.3">
      <c r="A78" s="369"/>
      <c r="B78" s="369"/>
      <c r="C78" s="369"/>
      <c r="E78" s="369"/>
      <c r="F78" s="369"/>
      <c r="G78" s="369"/>
      <c r="H78" s="369"/>
      <c r="I78" s="369"/>
      <c r="J78" s="369"/>
      <c r="K78" s="369"/>
      <c r="L78" s="369"/>
      <c r="M78" s="369"/>
      <c r="N78" s="369"/>
      <c r="O78" s="369"/>
      <c r="P78" s="369"/>
      <c r="Q78" s="373"/>
      <c r="R78" s="374"/>
      <c r="S78" s="374"/>
      <c r="T78" s="371"/>
      <c r="U78" s="369"/>
      <c r="V78" s="369"/>
      <c r="W78" s="369"/>
      <c r="X78" s="372"/>
      <c r="Y78" s="369"/>
    </row>
    <row r="79" spans="1:27" s="368" customFormat="1" x14ac:dyDescent="0.3">
      <c r="A79" s="369"/>
      <c r="B79" s="369"/>
      <c r="C79" s="369"/>
      <c r="E79" s="369"/>
      <c r="F79" s="369"/>
      <c r="G79" s="369"/>
      <c r="H79" s="369"/>
      <c r="I79" s="369"/>
      <c r="J79" s="369"/>
      <c r="K79" s="369"/>
      <c r="L79" s="369"/>
      <c r="M79" s="369"/>
      <c r="N79" s="369"/>
      <c r="O79" s="369"/>
      <c r="P79" s="369"/>
      <c r="Q79" s="373"/>
      <c r="R79" s="374"/>
      <c r="S79" s="374"/>
      <c r="T79" s="371"/>
      <c r="U79" s="369"/>
      <c r="V79" s="369"/>
      <c r="W79" s="369"/>
      <c r="X79" s="372"/>
      <c r="Y79" s="369"/>
    </row>
    <row r="80" spans="1:27" s="368" customFormat="1" x14ac:dyDescent="0.3">
      <c r="A80" s="369"/>
      <c r="B80" s="369"/>
      <c r="C80" s="369"/>
      <c r="E80" s="369"/>
      <c r="F80" s="369"/>
      <c r="G80" s="369"/>
      <c r="H80" s="369"/>
      <c r="I80" s="369"/>
      <c r="J80" s="369"/>
      <c r="K80" s="369"/>
      <c r="L80" s="369"/>
      <c r="M80" s="369"/>
      <c r="N80" s="369"/>
      <c r="O80" s="369"/>
      <c r="P80" s="369"/>
      <c r="Q80" s="1066"/>
      <c r="R80" s="1066"/>
      <c r="S80" s="1066"/>
      <c r="T80" s="371"/>
      <c r="U80" s="369"/>
      <c r="V80" s="369"/>
      <c r="W80" s="369"/>
      <c r="X80" s="372"/>
      <c r="Y80" s="369"/>
    </row>
    <row r="81" spans="1:25" s="368" customFormat="1" ht="18" x14ac:dyDescent="0.25">
      <c r="A81" s="369"/>
      <c r="B81" s="369"/>
      <c r="C81" s="369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1064"/>
      <c r="R81" s="1064"/>
      <c r="S81" s="1064"/>
      <c r="T81" s="1064"/>
      <c r="U81" s="1064"/>
      <c r="V81" s="1064"/>
      <c r="W81" s="1064"/>
      <c r="X81" s="1064"/>
      <c r="Y81" s="1064"/>
    </row>
    <row r="82" spans="1:25" s="368" customFormat="1" x14ac:dyDescent="0.3">
      <c r="A82" s="369"/>
      <c r="B82" s="369"/>
      <c r="C82" s="369"/>
      <c r="E82" s="369"/>
      <c r="F82" s="369"/>
      <c r="G82" s="369"/>
      <c r="H82" s="369"/>
      <c r="I82" s="369"/>
      <c r="J82" s="369"/>
      <c r="K82" s="369"/>
      <c r="L82" s="369"/>
      <c r="M82" s="369"/>
      <c r="N82" s="369"/>
      <c r="O82" s="369"/>
      <c r="P82" s="369"/>
      <c r="Q82" s="370"/>
      <c r="R82" s="371"/>
      <c r="S82" s="371"/>
      <c r="T82" s="371"/>
      <c r="U82" s="369"/>
      <c r="V82" s="369"/>
      <c r="W82" s="369"/>
      <c r="X82" s="372"/>
      <c r="Y82" s="369"/>
    </row>
    <row r="83" spans="1:25" x14ac:dyDescent="0.3">
      <c r="A83" s="236"/>
      <c r="B83" s="236"/>
      <c r="C83" s="236"/>
      <c r="D83" s="3"/>
      <c r="E83" s="236"/>
      <c r="F83" s="236"/>
      <c r="G83" s="236"/>
      <c r="H83" s="236"/>
      <c r="I83" s="236"/>
      <c r="J83" s="236"/>
      <c r="K83" s="236"/>
      <c r="L83" s="236"/>
      <c r="M83" s="236"/>
      <c r="N83" s="236"/>
      <c r="O83" s="236"/>
      <c r="P83" s="236"/>
      <c r="R83" s="20"/>
      <c r="S83" s="20"/>
      <c r="T83" s="20"/>
      <c r="U83" s="236"/>
      <c r="V83" s="236"/>
      <c r="W83" s="236"/>
      <c r="X83" s="14"/>
      <c r="Y83" s="236"/>
    </row>
    <row r="84" spans="1:25" x14ac:dyDescent="0.3">
      <c r="A84" s="236"/>
      <c r="B84" s="236"/>
      <c r="C84" s="236"/>
      <c r="D84" s="3"/>
      <c r="E84" s="236"/>
      <c r="F84" s="236"/>
      <c r="G84" s="236"/>
      <c r="H84" s="236"/>
      <c r="I84" s="236"/>
      <c r="J84" s="236"/>
      <c r="K84" s="236"/>
      <c r="L84" s="236"/>
      <c r="M84" s="236"/>
      <c r="N84" s="236"/>
      <c r="O84" s="236"/>
      <c r="P84" s="236"/>
      <c r="R84" s="20"/>
      <c r="S84" s="20"/>
      <c r="T84" s="20"/>
      <c r="U84" s="236"/>
      <c r="V84" s="236"/>
      <c r="W84" s="236"/>
      <c r="X84" s="14"/>
      <c r="Y84" s="236"/>
    </row>
    <row r="85" spans="1:25" x14ac:dyDescent="0.3">
      <c r="A85" s="236"/>
      <c r="B85" s="236"/>
      <c r="C85" s="236"/>
      <c r="D85" s="3"/>
      <c r="E85" s="236"/>
      <c r="F85" s="236"/>
      <c r="G85" s="236"/>
      <c r="H85" s="236"/>
      <c r="I85" s="236"/>
      <c r="J85" s="236"/>
      <c r="K85" s="236"/>
      <c r="L85" s="236"/>
      <c r="M85" s="236"/>
      <c r="N85" s="236"/>
      <c r="O85" s="236"/>
      <c r="P85" s="236"/>
      <c r="R85" s="20"/>
      <c r="S85" s="20"/>
      <c r="T85" s="20"/>
      <c r="U85" s="236"/>
      <c r="V85" s="236"/>
      <c r="W85" s="236"/>
      <c r="X85" s="14"/>
      <c r="Y85" s="236"/>
    </row>
    <row r="86" spans="1:25" x14ac:dyDescent="0.3">
      <c r="A86" s="236"/>
      <c r="B86" s="236"/>
      <c r="C86" s="236"/>
      <c r="D86" s="3"/>
      <c r="E86" s="236"/>
      <c r="F86" s="236"/>
      <c r="G86" s="236"/>
      <c r="H86" s="236"/>
      <c r="I86" s="236"/>
      <c r="J86" s="236"/>
      <c r="K86" s="236"/>
      <c r="L86" s="236"/>
      <c r="M86" s="236"/>
      <c r="N86" s="236"/>
      <c r="O86" s="236"/>
      <c r="P86" s="236"/>
      <c r="R86" s="20"/>
      <c r="S86" s="20"/>
      <c r="T86" s="20"/>
      <c r="U86" s="236"/>
      <c r="V86" s="236"/>
      <c r="W86" s="236"/>
      <c r="X86" s="14"/>
      <c r="Y86" s="236"/>
    </row>
  </sheetData>
  <autoFilter ref="Q9:Z74">
    <filterColumn colId="1" showButton="0"/>
    <filterColumn colId="2" showButton="0"/>
    <filterColumn colId="3" showButton="0"/>
  </autoFilter>
  <mergeCells count="19">
    <mergeCell ref="E3:Y3"/>
    <mergeCell ref="E4:Y4"/>
    <mergeCell ref="E5:Y5"/>
    <mergeCell ref="E6:AI6"/>
    <mergeCell ref="A9:A10"/>
    <mergeCell ref="B9:C10"/>
    <mergeCell ref="D9:D10"/>
    <mergeCell ref="E9:E10"/>
    <mergeCell ref="F9:P9"/>
    <mergeCell ref="Q9:Q10"/>
    <mergeCell ref="Q77:S77"/>
    <mergeCell ref="Q80:S80"/>
    <mergeCell ref="Q81:Y81"/>
    <mergeCell ref="R9:U9"/>
    <mergeCell ref="V9:V10"/>
    <mergeCell ref="W9:W10"/>
    <mergeCell ref="X9:X10"/>
    <mergeCell ref="Y9:Y10"/>
    <mergeCell ref="Q76:Y76"/>
  </mergeCells>
  <printOptions horizontalCentered="1"/>
  <pageMargins left="0.74" right="0.16" top="0.27" bottom="0.31" header="0.23" footer="0.27"/>
  <pageSetup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L53"/>
  <sheetViews>
    <sheetView topLeftCell="A5" zoomScale="110" zoomScaleNormal="110" workbookViewId="0">
      <selection activeCell="K17" sqref="K17"/>
    </sheetView>
  </sheetViews>
  <sheetFormatPr defaultRowHeight="18.75" x14ac:dyDescent="0.3"/>
  <cols>
    <col min="1" max="1" width="3.8984375" style="1" customWidth="1"/>
    <col min="2" max="3" width="4.3984375" style="1" customWidth="1"/>
    <col min="4" max="4" width="14.19921875" customWidth="1"/>
    <col min="5" max="5" width="7.8984375" style="1" customWidth="1"/>
    <col min="6" max="13" width="2.59765625" style="1" customWidth="1"/>
    <col min="14" max="14" width="2.59765625" style="237" customWidth="1"/>
    <col min="15" max="20" width="2.59765625" style="1" customWidth="1"/>
    <col min="21" max="21" width="3.796875" style="5" customWidth="1"/>
    <col min="22" max="24" width="2.19921875" style="22" hidden="1" customWidth="1"/>
    <col min="25" max="26" width="3.3984375" style="1" hidden="1" customWidth="1"/>
    <col min="27" max="27" width="4" style="1" customWidth="1"/>
    <col min="28" max="28" width="4.3984375" style="15" hidden="1" customWidth="1"/>
    <col min="29" max="29" width="23.796875" style="1" customWidth="1"/>
    <col min="30" max="30" width="9.296875" customWidth="1"/>
    <col min="31" max="31" width="6.69921875" customWidth="1"/>
  </cols>
  <sheetData>
    <row r="1" spans="1:38" s="368" customFormat="1" ht="15" customHeight="1" x14ac:dyDescent="0.3">
      <c r="A1" s="369"/>
      <c r="B1" s="369"/>
      <c r="C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70"/>
      <c r="V1" s="371"/>
      <c r="W1" s="371"/>
      <c r="X1" s="371"/>
      <c r="Y1" s="369"/>
      <c r="Z1" s="369"/>
      <c r="AA1" s="369"/>
      <c r="AB1" s="372"/>
      <c r="AC1" s="369"/>
    </row>
    <row r="2" spans="1:38" s="351" customFormat="1" ht="17.25" x14ac:dyDescent="0.3">
      <c r="B2" s="577"/>
      <c r="C2" s="577"/>
      <c r="D2" s="577"/>
      <c r="E2" s="1065" t="s">
        <v>30</v>
      </c>
      <c r="F2" s="1065"/>
      <c r="G2" s="1065"/>
      <c r="H2" s="1065"/>
      <c r="I2" s="1065"/>
      <c r="J2" s="1065"/>
      <c r="K2" s="1065"/>
      <c r="L2" s="1065"/>
      <c r="M2" s="1065"/>
      <c r="N2" s="1065"/>
      <c r="O2" s="1065"/>
      <c r="P2" s="1065"/>
      <c r="Q2" s="1065"/>
      <c r="R2" s="1065"/>
      <c r="S2" s="1065"/>
      <c r="T2" s="1065"/>
      <c r="U2" s="1065"/>
      <c r="V2" s="1065"/>
      <c r="W2" s="1065"/>
      <c r="X2" s="1065"/>
      <c r="Y2" s="1065"/>
      <c r="Z2" s="1065"/>
      <c r="AA2" s="1065"/>
      <c r="AB2" s="1065"/>
      <c r="AC2" s="1065"/>
    </row>
    <row r="3" spans="1:38" s="351" customFormat="1" ht="15.75" x14ac:dyDescent="0.25">
      <c r="B3" s="578"/>
      <c r="C3" s="578"/>
      <c r="D3" s="578"/>
      <c r="E3" s="1064" t="s">
        <v>485</v>
      </c>
      <c r="F3" s="1064"/>
      <c r="G3" s="1064"/>
      <c r="H3" s="1064"/>
      <c r="I3" s="1064"/>
      <c r="J3" s="1064"/>
      <c r="K3" s="1064"/>
      <c r="L3" s="1064"/>
      <c r="M3" s="1064"/>
      <c r="N3" s="1064"/>
      <c r="O3" s="1064"/>
      <c r="P3" s="1064"/>
      <c r="Q3" s="1064"/>
      <c r="R3" s="1064"/>
      <c r="S3" s="1064"/>
      <c r="T3" s="1064"/>
      <c r="U3" s="1064"/>
      <c r="V3" s="1064"/>
      <c r="W3" s="1064"/>
      <c r="X3" s="1064"/>
      <c r="Y3" s="1064"/>
      <c r="Z3" s="1064"/>
      <c r="AA3" s="1064"/>
      <c r="AB3" s="1064"/>
      <c r="AC3" s="1064"/>
    </row>
    <row r="4" spans="1:38" s="351" customFormat="1" ht="15.75" hidden="1" x14ac:dyDescent="0.25">
      <c r="B4" s="579"/>
      <c r="C4" s="579"/>
      <c r="D4" s="579"/>
      <c r="E4" s="1302" t="s">
        <v>28</v>
      </c>
      <c r="F4" s="1302"/>
      <c r="G4" s="1302"/>
      <c r="H4" s="1302"/>
      <c r="I4" s="1302"/>
      <c r="J4" s="1302"/>
      <c r="K4" s="1302"/>
      <c r="L4" s="1302"/>
      <c r="M4" s="1302"/>
      <c r="N4" s="1302"/>
      <c r="O4" s="1302"/>
      <c r="P4" s="1302"/>
      <c r="Q4" s="1302"/>
      <c r="R4" s="1302"/>
      <c r="S4" s="1302"/>
      <c r="T4" s="1302"/>
      <c r="U4" s="1302"/>
      <c r="V4" s="1302"/>
      <c r="W4" s="1302"/>
      <c r="X4" s="1302"/>
      <c r="Y4" s="1302"/>
      <c r="Z4" s="1302"/>
      <c r="AA4" s="1302"/>
      <c r="AB4" s="1302"/>
      <c r="AC4" s="1302"/>
      <c r="AD4" s="579"/>
    </row>
    <row r="5" spans="1:38" s="351" customFormat="1" ht="15.75" customHeight="1" x14ac:dyDescent="0.25">
      <c r="B5" s="578"/>
      <c r="C5" s="578"/>
      <c r="D5" s="578"/>
      <c r="E5" s="1303" t="s">
        <v>486</v>
      </c>
      <c r="F5" s="1303"/>
      <c r="G5" s="1303"/>
      <c r="H5" s="1303"/>
      <c r="I5" s="1303"/>
      <c r="J5" s="1303"/>
      <c r="K5" s="1303"/>
      <c r="L5" s="1303"/>
      <c r="M5" s="1303"/>
      <c r="N5" s="1303"/>
      <c r="O5" s="1303"/>
      <c r="P5" s="1303"/>
      <c r="Q5" s="1303"/>
      <c r="R5" s="1303"/>
      <c r="S5" s="1303"/>
      <c r="T5" s="1303"/>
      <c r="U5" s="1303"/>
      <c r="V5" s="1303"/>
      <c r="W5" s="1303"/>
      <c r="X5" s="1303"/>
      <c r="Y5" s="1303"/>
      <c r="Z5" s="1303"/>
      <c r="AA5" s="1303"/>
      <c r="AB5" s="1303"/>
      <c r="AC5" s="1303"/>
      <c r="AD5" s="1303"/>
      <c r="AE5" s="1303"/>
      <c r="AF5" s="1303"/>
      <c r="AG5" s="1303"/>
      <c r="AH5" s="1303"/>
      <c r="AI5" s="1303"/>
      <c r="AJ5" s="1303"/>
      <c r="AK5" s="1303"/>
      <c r="AL5" s="1303"/>
    </row>
    <row r="6" spans="1:38" s="351" customFormat="1" ht="7.5" customHeight="1" x14ac:dyDescent="0.25">
      <c r="A6" s="667"/>
      <c r="B6" s="667"/>
      <c r="C6" s="667"/>
      <c r="D6" s="667"/>
      <c r="E6" s="667"/>
      <c r="F6" s="667"/>
      <c r="G6" s="667"/>
      <c r="H6" s="667"/>
      <c r="I6" s="667"/>
      <c r="J6" s="667"/>
      <c r="K6" s="667"/>
      <c r="L6" s="667"/>
      <c r="M6" s="667"/>
      <c r="N6" s="667"/>
      <c r="O6" s="667"/>
      <c r="P6" s="667"/>
      <c r="Q6" s="667"/>
      <c r="R6" s="667"/>
      <c r="S6" s="667"/>
      <c r="T6" s="667"/>
      <c r="U6" s="667"/>
      <c r="V6" s="581"/>
      <c r="W6" s="581"/>
      <c r="X6" s="581"/>
      <c r="Y6" s="667"/>
      <c r="Z6" s="667"/>
      <c r="AA6" s="667"/>
      <c r="AB6" s="667"/>
      <c r="AC6" s="667"/>
    </row>
    <row r="7" spans="1:38" s="368" customFormat="1" thickBot="1" x14ac:dyDescent="0.3">
      <c r="A7" s="596"/>
      <c r="B7" s="596"/>
      <c r="C7" s="596"/>
      <c r="D7" s="596"/>
      <c r="E7" s="597"/>
      <c r="F7" s="597"/>
      <c r="G7" s="597"/>
      <c r="H7" s="597"/>
      <c r="I7" s="597"/>
      <c r="J7" s="597"/>
      <c r="K7" s="597"/>
      <c r="L7" s="597"/>
      <c r="M7" s="597"/>
      <c r="N7" s="597"/>
      <c r="O7" s="597"/>
      <c r="P7" s="597"/>
      <c r="Q7" s="597"/>
      <c r="R7" s="597"/>
      <c r="S7" s="597"/>
      <c r="T7" s="597"/>
      <c r="U7" s="597"/>
      <c r="V7" s="598"/>
      <c r="W7" s="598"/>
      <c r="X7" s="598"/>
      <c r="Y7" s="596"/>
      <c r="Z7" s="596"/>
      <c r="AA7" s="596"/>
      <c r="AB7" s="596"/>
      <c r="AC7" s="596"/>
    </row>
    <row r="8" spans="1:38" s="351" customFormat="1" ht="18" customHeight="1" thickTop="1" x14ac:dyDescent="0.25">
      <c r="A8" s="1268" t="s">
        <v>91</v>
      </c>
      <c r="B8" s="1270" t="s">
        <v>106</v>
      </c>
      <c r="C8" s="1271"/>
      <c r="D8" s="1274" t="s">
        <v>92</v>
      </c>
      <c r="E8" s="1304" t="s">
        <v>93</v>
      </c>
      <c r="F8" s="1261" t="s">
        <v>2081</v>
      </c>
      <c r="G8" s="1262"/>
      <c r="H8" s="1262"/>
      <c r="I8" s="1262"/>
      <c r="J8" s="1262"/>
      <c r="K8" s="1262"/>
      <c r="L8" s="1262"/>
      <c r="M8" s="1262"/>
      <c r="N8" s="1262"/>
      <c r="O8" s="1262"/>
      <c r="P8" s="1262"/>
      <c r="Q8" s="1262"/>
      <c r="R8" s="1262"/>
      <c r="S8" s="670"/>
      <c r="T8" s="671"/>
      <c r="U8" s="1277" t="s">
        <v>102</v>
      </c>
      <c r="V8" s="1261" t="s">
        <v>104</v>
      </c>
      <c r="W8" s="1262"/>
      <c r="X8" s="1262"/>
      <c r="Y8" s="1263"/>
      <c r="Z8" s="1264" t="s">
        <v>99</v>
      </c>
      <c r="AA8" s="1264" t="s">
        <v>100</v>
      </c>
      <c r="AB8" s="1050" t="s">
        <v>103</v>
      </c>
      <c r="AC8" s="1266" t="s">
        <v>90</v>
      </c>
      <c r="AD8" s="599"/>
    </row>
    <row r="9" spans="1:38" s="351" customFormat="1" ht="161.25" customHeight="1" x14ac:dyDescent="0.2">
      <c r="A9" s="1269"/>
      <c r="B9" s="1272"/>
      <c r="C9" s="1273"/>
      <c r="D9" s="1275"/>
      <c r="E9" s="1297"/>
      <c r="F9" s="323" t="s">
        <v>488</v>
      </c>
      <c r="G9" s="323" t="s">
        <v>489</v>
      </c>
      <c r="H9" s="413" t="s">
        <v>490</v>
      </c>
      <c r="I9" s="413" t="s">
        <v>122</v>
      </c>
      <c r="J9" s="413" t="s">
        <v>491</v>
      </c>
      <c r="K9" s="413" t="s">
        <v>492</v>
      </c>
      <c r="L9" s="413" t="s">
        <v>458</v>
      </c>
      <c r="M9" s="463" t="s">
        <v>330</v>
      </c>
      <c r="N9" s="413" t="s">
        <v>133</v>
      </c>
      <c r="O9" s="414" t="s">
        <v>493</v>
      </c>
      <c r="P9" s="415" t="s">
        <v>96</v>
      </c>
      <c r="Q9" s="415" t="s">
        <v>494</v>
      </c>
      <c r="R9" s="415" t="s">
        <v>162</v>
      </c>
      <c r="S9" s="414" t="s">
        <v>2079</v>
      </c>
      <c r="T9" s="413" t="s">
        <v>459</v>
      </c>
      <c r="U9" s="1292"/>
      <c r="V9" s="323" t="s">
        <v>108</v>
      </c>
      <c r="W9" s="323" t="s">
        <v>97</v>
      </c>
      <c r="X9" s="323" t="s">
        <v>96</v>
      </c>
      <c r="Y9" s="324" t="s">
        <v>98</v>
      </c>
      <c r="Z9" s="1265"/>
      <c r="AA9" s="1265"/>
      <c r="AB9" s="1051"/>
      <c r="AC9" s="1267"/>
      <c r="AD9" s="557" t="s">
        <v>94</v>
      </c>
    </row>
    <row r="10" spans="1:38" s="256" customFormat="1" ht="16.5" customHeight="1" x14ac:dyDescent="0.3">
      <c r="A10" s="285">
        <v>1</v>
      </c>
      <c r="B10" s="245" t="s">
        <v>396</v>
      </c>
      <c r="C10" s="246">
        <v>2022</v>
      </c>
      <c r="D10" s="416" t="s">
        <v>1781</v>
      </c>
      <c r="E10" s="296" t="s">
        <v>579</v>
      </c>
      <c r="F10" s="268">
        <v>6.5</v>
      </c>
      <c r="G10" s="268">
        <v>8</v>
      </c>
      <c r="H10" s="268">
        <v>8</v>
      </c>
      <c r="I10" s="268">
        <v>7</v>
      </c>
      <c r="J10" s="268">
        <v>7</v>
      </c>
      <c r="K10" s="268">
        <v>6.5</v>
      </c>
      <c r="L10" s="268">
        <v>6</v>
      </c>
      <c r="M10" s="268">
        <v>8.6</v>
      </c>
      <c r="N10" s="268">
        <v>7</v>
      </c>
      <c r="O10" s="354">
        <v>7</v>
      </c>
      <c r="P10" s="268">
        <v>7.5</v>
      </c>
      <c r="Q10" s="268">
        <v>7</v>
      </c>
      <c r="R10" s="268">
        <v>8</v>
      </c>
      <c r="S10" s="377">
        <v>7</v>
      </c>
      <c r="T10" s="377">
        <v>7</v>
      </c>
      <c r="U10" s="243">
        <f>SUM(F10:T10)/15</f>
        <v>7.2066666666666661</v>
      </c>
      <c r="V10" s="268"/>
      <c r="W10" s="268"/>
      <c r="X10" s="268"/>
      <c r="Y10" s="243">
        <f t="shared" ref="Y10:Y20" si="0">SUM(V10:X10)/3</f>
        <v>0</v>
      </c>
      <c r="Z10" s="243">
        <f t="shared" ref="Z10:Z20" si="1">SUM(U10+Y10)/2</f>
        <v>3.6033333333333331</v>
      </c>
      <c r="AA10" s="257"/>
      <c r="AB10" s="271"/>
      <c r="AC10" s="259" t="s">
        <v>269</v>
      </c>
      <c r="AD10" s="545"/>
      <c r="AE10" s="357">
        <f t="shared" ref="AE10:AE40" si="2">AVERAGE(F10:T10)</f>
        <v>7.2066666666666661</v>
      </c>
    </row>
    <row r="11" spans="1:38" s="256" customFormat="1" ht="16.5" customHeight="1" x14ac:dyDescent="0.2">
      <c r="A11" s="287">
        <v>2</v>
      </c>
      <c r="B11" s="245" t="s">
        <v>397</v>
      </c>
      <c r="C11" s="246">
        <v>2022</v>
      </c>
      <c r="D11" s="417" t="s">
        <v>1698</v>
      </c>
      <c r="E11" s="303" t="s">
        <v>973</v>
      </c>
      <c r="F11" s="242">
        <v>7</v>
      </c>
      <c r="G11" s="242">
        <v>8</v>
      </c>
      <c r="H11" s="242">
        <v>6</v>
      </c>
      <c r="I11" s="242">
        <v>7</v>
      </c>
      <c r="J11" s="242">
        <v>7.5</v>
      </c>
      <c r="K11" s="242">
        <v>7</v>
      </c>
      <c r="L11" s="242">
        <v>7</v>
      </c>
      <c r="M11" s="242">
        <v>7.5</v>
      </c>
      <c r="N11" s="242">
        <v>7</v>
      </c>
      <c r="O11" s="308">
        <v>7</v>
      </c>
      <c r="P11" s="242">
        <v>7</v>
      </c>
      <c r="Q11" s="622">
        <v>7</v>
      </c>
      <c r="R11" s="242">
        <v>7</v>
      </c>
      <c r="S11" s="242">
        <v>7</v>
      </c>
      <c r="T11" s="242">
        <v>7</v>
      </c>
      <c r="U11" s="243">
        <f>SUM(F11:T11)/15</f>
        <v>7.0666666666666664</v>
      </c>
      <c r="V11" s="242"/>
      <c r="W11" s="242"/>
      <c r="X11" s="242"/>
      <c r="Y11" s="277">
        <f t="shared" si="0"/>
        <v>0</v>
      </c>
      <c r="Z11" s="277">
        <f t="shared" si="1"/>
        <v>3.5333333333333332</v>
      </c>
      <c r="AA11" s="252"/>
      <c r="AB11" s="358"/>
      <c r="AC11" s="263" t="s">
        <v>196</v>
      </c>
      <c r="AD11" s="545"/>
      <c r="AE11" s="357">
        <f t="shared" si="2"/>
        <v>7.0666666666666664</v>
      </c>
    </row>
    <row r="12" spans="1:38" s="256" customFormat="1" ht="16.5" customHeight="1" x14ac:dyDescent="0.2">
      <c r="A12" s="287">
        <v>3</v>
      </c>
      <c r="B12" s="245" t="s">
        <v>398</v>
      </c>
      <c r="C12" s="246">
        <v>2022</v>
      </c>
      <c r="D12" s="418" t="s">
        <v>1699</v>
      </c>
      <c r="E12" s="302" t="s">
        <v>975</v>
      </c>
      <c r="F12" s="242">
        <v>7</v>
      </c>
      <c r="G12" s="242">
        <v>7</v>
      </c>
      <c r="H12" s="242">
        <v>6</v>
      </c>
      <c r="I12" s="242">
        <v>7.5</v>
      </c>
      <c r="J12" s="242">
        <v>7.5</v>
      </c>
      <c r="K12" s="242">
        <v>6.5</v>
      </c>
      <c r="L12" s="242">
        <v>7</v>
      </c>
      <c r="M12" s="242">
        <v>7</v>
      </c>
      <c r="N12" s="242">
        <v>7</v>
      </c>
      <c r="O12" s="308">
        <v>7</v>
      </c>
      <c r="P12" s="242">
        <v>7</v>
      </c>
      <c r="Q12" s="242">
        <v>7.5</v>
      </c>
      <c r="R12" s="242">
        <v>7.5</v>
      </c>
      <c r="S12" s="242">
        <v>8</v>
      </c>
      <c r="T12" s="242">
        <v>7</v>
      </c>
      <c r="U12" s="243">
        <f t="shared" ref="U12:U40" si="3">SUM(F12:T12)/15</f>
        <v>7.1</v>
      </c>
      <c r="V12" s="242"/>
      <c r="W12" s="242"/>
      <c r="X12" s="242"/>
      <c r="Y12" s="277">
        <f t="shared" si="0"/>
        <v>0</v>
      </c>
      <c r="Z12" s="277">
        <f t="shared" si="1"/>
        <v>3.55</v>
      </c>
      <c r="AA12" s="252"/>
      <c r="AB12" s="273"/>
      <c r="AC12" s="263" t="s">
        <v>18</v>
      </c>
      <c r="AD12" s="545"/>
      <c r="AE12" s="357">
        <f t="shared" si="2"/>
        <v>7.1</v>
      </c>
    </row>
    <row r="13" spans="1:38" s="256" customFormat="1" ht="16.5" customHeight="1" x14ac:dyDescent="0.2">
      <c r="A13" s="287">
        <v>4</v>
      </c>
      <c r="B13" s="245" t="s">
        <v>399</v>
      </c>
      <c r="C13" s="246">
        <v>2022</v>
      </c>
      <c r="D13" s="419" t="s">
        <v>1700</v>
      </c>
      <c r="E13" s="292" t="s">
        <v>1701</v>
      </c>
      <c r="F13" s="242">
        <v>7.5</v>
      </c>
      <c r="G13" s="242">
        <v>8</v>
      </c>
      <c r="H13" s="242">
        <v>7.5</v>
      </c>
      <c r="I13" s="242">
        <v>7.5</v>
      </c>
      <c r="J13" s="242">
        <v>7.5</v>
      </c>
      <c r="K13" s="242">
        <v>8</v>
      </c>
      <c r="L13" s="242">
        <v>7</v>
      </c>
      <c r="M13" s="242">
        <v>7</v>
      </c>
      <c r="N13" s="242">
        <v>7</v>
      </c>
      <c r="O13" s="308">
        <v>7</v>
      </c>
      <c r="P13" s="242">
        <v>7.5</v>
      </c>
      <c r="Q13" s="242">
        <v>7.5</v>
      </c>
      <c r="R13" s="242">
        <v>7.5</v>
      </c>
      <c r="S13" s="242">
        <v>7</v>
      </c>
      <c r="T13" s="242">
        <v>7</v>
      </c>
      <c r="U13" s="243">
        <f t="shared" si="3"/>
        <v>7.3666666666666663</v>
      </c>
      <c r="V13" s="242"/>
      <c r="W13" s="242"/>
      <c r="X13" s="242"/>
      <c r="Y13" s="277">
        <f t="shared" si="0"/>
        <v>0</v>
      </c>
      <c r="Z13" s="277">
        <f t="shared" si="1"/>
        <v>3.6833333333333331</v>
      </c>
      <c r="AA13" s="252"/>
      <c r="AB13" s="273"/>
      <c r="AC13" s="263" t="s">
        <v>207</v>
      </c>
      <c r="AD13" s="545"/>
      <c r="AE13" s="357">
        <f t="shared" si="2"/>
        <v>7.3666666666666663</v>
      </c>
    </row>
    <row r="14" spans="1:38" s="256" customFormat="1" ht="16.5" customHeight="1" x14ac:dyDescent="0.2">
      <c r="A14" s="287">
        <v>5</v>
      </c>
      <c r="B14" s="245" t="s">
        <v>400</v>
      </c>
      <c r="C14" s="246">
        <v>2022</v>
      </c>
      <c r="D14" s="417" t="s">
        <v>1702</v>
      </c>
      <c r="E14" s="303" t="s">
        <v>1703</v>
      </c>
      <c r="F14" s="242">
        <v>8</v>
      </c>
      <c r="G14" s="242">
        <v>8</v>
      </c>
      <c r="H14" s="242">
        <v>8.5</v>
      </c>
      <c r="I14" s="242">
        <v>7.5</v>
      </c>
      <c r="J14" s="242">
        <v>7</v>
      </c>
      <c r="K14" s="242">
        <v>8</v>
      </c>
      <c r="L14" s="242">
        <v>8</v>
      </c>
      <c r="M14" s="242">
        <v>6.6</v>
      </c>
      <c r="N14" s="242">
        <v>8</v>
      </c>
      <c r="O14" s="308">
        <v>8</v>
      </c>
      <c r="P14" s="242">
        <v>6.5</v>
      </c>
      <c r="Q14" s="242">
        <v>8</v>
      </c>
      <c r="R14" s="242">
        <v>7</v>
      </c>
      <c r="S14" s="242">
        <v>7</v>
      </c>
      <c r="T14" s="242">
        <v>7</v>
      </c>
      <c r="U14" s="243">
        <f t="shared" si="3"/>
        <v>7.54</v>
      </c>
      <c r="V14" s="242"/>
      <c r="W14" s="242"/>
      <c r="X14" s="242"/>
      <c r="Y14" s="277">
        <f t="shared" si="0"/>
        <v>0</v>
      </c>
      <c r="Z14" s="277">
        <f t="shared" si="1"/>
        <v>3.77</v>
      </c>
      <c r="AA14" s="252"/>
      <c r="AB14" s="273"/>
      <c r="AC14" s="300" t="s">
        <v>170</v>
      </c>
      <c r="AD14" s="545"/>
      <c r="AE14" s="357">
        <f t="shared" si="2"/>
        <v>7.54</v>
      </c>
    </row>
    <row r="15" spans="1:38" s="256" customFormat="1" ht="16.5" customHeight="1" x14ac:dyDescent="0.2">
      <c r="A15" s="287">
        <v>6</v>
      </c>
      <c r="B15" s="245" t="s">
        <v>401</v>
      </c>
      <c r="C15" s="246">
        <v>2022</v>
      </c>
      <c r="D15" s="417" t="s">
        <v>157</v>
      </c>
      <c r="E15" s="303" t="s">
        <v>1515</v>
      </c>
      <c r="F15" s="242">
        <v>8</v>
      </c>
      <c r="G15" s="242">
        <v>7</v>
      </c>
      <c r="H15" s="242">
        <v>7.5</v>
      </c>
      <c r="I15" s="242">
        <v>8.5</v>
      </c>
      <c r="J15" s="242">
        <v>7</v>
      </c>
      <c r="K15" s="242">
        <v>8.5</v>
      </c>
      <c r="L15" s="242">
        <v>7.5</v>
      </c>
      <c r="M15" s="242">
        <v>8.8000000000000007</v>
      </c>
      <c r="N15" s="242">
        <v>8</v>
      </c>
      <c r="O15" s="308">
        <v>8.5</v>
      </c>
      <c r="P15" s="242">
        <v>8</v>
      </c>
      <c r="Q15" s="242">
        <v>7.5</v>
      </c>
      <c r="R15" s="242">
        <v>7.5</v>
      </c>
      <c r="S15" s="242">
        <v>8</v>
      </c>
      <c r="T15" s="242">
        <v>7.5</v>
      </c>
      <c r="U15" s="243">
        <f t="shared" si="3"/>
        <v>7.8533333333333335</v>
      </c>
      <c r="V15" s="242"/>
      <c r="W15" s="242"/>
      <c r="X15" s="242"/>
      <c r="Y15" s="277">
        <f t="shared" si="0"/>
        <v>0</v>
      </c>
      <c r="Z15" s="277">
        <f t="shared" si="1"/>
        <v>3.9266666666666667</v>
      </c>
      <c r="AA15" s="252"/>
      <c r="AB15" s="273"/>
      <c r="AC15" s="263" t="s">
        <v>217</v>
      </c>
      <c r="AD15" s="545"/>
      <c r="AE15" s="357">
        <f t="shared" si="2"/>
        <v>7.8533333333333335</v>
      </c>
    </row>
    <row r="16" spans="1:38" s="256" customFormat="1" ht="16.5" customHeight="1" x14ac:dyDescent="0.2">
      <c r="A16" s="287">
        <v>7</v>
      </c>
      <c r="B16" s="245" t="s">
        <v>402</v>
      </c>
      <c r="C16" s="246">
        <v>2022</v>
      </c>
      <c r="D16" s="417" t="s">
        <v>245</v>
      </c>
      <c r="E16" s="303" t="s">
        <v>570</v>
      </c>
      <c r="F16" s="242">
        <v>7</v>
      </c>
      <c r="G16" s="242">
        <v>8</v>
      </c>
      <c r="H16" s="242">
        <v>7.5</v>
      </c>
      <c r="I16" s="242">
        <v>8</v>
      </c>
      <c r="J16" s="242">
        <v>7</v>
      </c>
      <c r="K16" s="242">
        <v>8.5</v>
      </c>
      <c r="L16" s="242">
        <v>7.5</v>
      </c>
      <c r="M16" s="242">
        <v>7.5</v>
      </c>
      <c r="N16" s="242">
        <v>7</v>
      </c>
      <c r="O16" s="308">
        <v>8</v>
      </c>
      <c r="P16" s="242">
        <v>7.5</v>
      </c>
      <c r="Q16" s="242">
        <v>8.5</v>
      </c>
      <c r="R16" s="242">
        <v>7.5</v>
      </c>
      <c r="S16" s="242">
        <v>7</v>
      </c>
      <c r="T16" s="242">
        <v>7.5</v>
      </c>
      <c r="U16" s="243">
        <f t="shared" si="3"/>
        <v>7.6</v>
      </c>
      <c r="V16" s="242"/>
      <c r="W16" s="242"/>
      <c r="X16" s="242"/>
      <c r="Y16" s="277">
        <f t="shared" si="0"/>
        <v>0</v>
      </c>
      <c r="Z16" s="277">
        <f t="shared" si="1"/>
        <v>3.8</v>
      </c>
      <c r="AA16" s="252"/>
      <c r="AB16" s="273"/>
      <c r="AC16" s="300" t="s">
        <v>186</v>
      </c>
      <c r="AD16" s="545"/>
      <c r="AE16" s="357">
        <f t="shared" si="2"/>
        <v>7.6</v>
      </c>
    </row>
    <row r="17" spans="1:31" s="256" customFormat="1" ht="16.5" customHeight="1" x14ac:dyDescent="0.2">
      <c r="A17" s="287">
        <v>8</v>
      </c>
      <c r="B17" s="245" t="s">
        <v>403</v>
      </c>
      <c r="C17" s="246">
        <v>2022</v>
      </c>
      <c r="D17" s="417" t="s">
        <v>1704</v>
      </c>
      <c r="E17" s="303" t="s">
        <v>1705</v>
      </c>
      <c r="F17" s="242">
        <v>7</v>
      </c>
      <c r="G17" s="242">
        <v>8</v>
      </c>
      <c r="H17" s="242">
        <v>7</v>
      </c>
      <c r="I17" s="242">
        <v>8</v>
      </c>
      <c r="J17" s="242">
        <v>6.5</v>
      </c>
      <c r="K17" s="242">
        <v>7</v>
      </c>
      <c r="L17" s="242">
        <v>6</v>
      </c>
      <c r="M17" s="242">
        <v>6.4</v>
      </c>
      <c r="N17" s="242">
        <v>7</v>
      </c>
      <c r="O17" s="354">
        <v>7</v>
      </c>
      <c r="P17" s="242">
        <v>7</v>
      </c>
      <c r="Q17" s="242">
        <v>7</v>
      </c>
      <c r="R17" s="242">
        <v>7.5</v>
      </c>
      <c r="S17" s="242">
        <v>7</v>
      </c>
      <c r="T17" s="242">
        <v>7</v>
      </c>
      <c r="U17" s="243">
        <f t="shared" si="3"/>
        <v>7.0266666666666673</v>
      </c>
      <c r="V17" s="242"/>
      <c r="W17" s="242"/>
      <c r="X17" s="242"/>
      <c r="Y17" s="277">
        <f t="shared" si="0"/>
        <v>0</v>
      </c>
      <c r="Z17" s="277">
        <f t="shared" si="1"/>
        <v>3.5133333333333336</v>
      </c>
      <c r="AA17" s="252"/>
      <c r="AB17" s="273"/>
      <c r="AC17" s="305" t="s">
        <v>170</v>
      </c>
      <c r="AD17" s="545"/>
      <c r="AE17" s="357">
        <f t="shared" si="2"/>
        <v>7.0266666666666673</v>
      </c>
    </row>
    <row r="18" spans="1:31" s="256" customFormat="1" ht="16.5" customHeight="1" x14ac:dyDescent="0.2">
      <c r="A18" s="287">
        <v>9</v>
      </c>
      <c r="B18" s="245" t="s">
        <v>404</v>
      </c>
      <c r="C18" s="246">
        <v>2022</v>
      </c>
      <c r="D18" s="417" t="s">
        <v>1706</v>
      </c>
      <c r="E18" s="303" t="s">
        <v>507</v>
      </c>
      <c r="F18" s="242">
        <v>7</v>
      </c>
      <c r="G18" s="242">
        <v>8</v>
      </c>
      <c r="H18" s="242">
        <v>7.5</v>
      </c>
      <c r="I18" s="242">
        <v>8.5</v>
      </c>
      <c r="J18" s="242">
        <v>7</v>
      </c>
      <c r="K18" s="242">
        <v>7.5</v>
      </c>
      <c r="L18" s="242">
        <v>7.5</v>
      </c>
      <c r="M18" s="242">
        <v>7.9</v>
      </c>
      <c r="N18" s="242">
        <v>7</v>
      </c>
      <c r="O18" s="308">
        <v>7.5</v>
      </c>
      <c r="P18" s="242">
        <v>7</v>
      </c>
      <c r="Q18" s="242">
        <v>8</v>
      </c>
      <c r="R18" s="242">
        <v>7.5</v>
      </c>
      <c r="S18" s="242">
        <v>7.5</v>
      </c>
      <c r="T18" s="242">
        <v>8</v>
      </c>
      <c r="U18" s="243">
        <f t="shared" si="3"/>
        <v>7.5600000000000005</v>
      </c>
      <c r="V18" s="242"/>
      <c r="W18" s="242"/>
      <c r="X18" s="242"/>
      <c r="Y18" s="277">
        <f t="shared" si="0"/>
        <v>0</v>
      </c>
      <c r="Z18" s="277">
        <f t="shared" si="1"/>
        <v>3.7800000000000002</v>
      </c>
      <c r="AA18" s="252"/>
      <c r="AB18" s="358"/>
      <c r="AC18" s="263" t="s">
        <v>186</v>
      </c>
      <c r="AD18" s="545"/>
      <c r="AE18" s="357">
        <f t="shared" si="2"/>
        <v>7.5600000000000005</v>
      </c>
    </row>
    <row r="19" spans="1:31" s="256" customFormat="1" ht="16.5" customHeight="1" x14ac:dyDescent="0.2">
      <c r="A19" s="287">
        <v>10</v>
      </c>
      <c r="B19" s="245" t="s">
        <v>405</v>
      </c>
      <c r="C19" s="246">
        <v>2022</v>
      </c>
      <c r="D19" s="418" t="s">
        <v>1707</v>
      </c>
      <c r="E19" s="302" t="s">
        <v>1373</v>
      </c>
      <c r="F19" s="242">
        <v>7</v>
      </c>
      <c r="G19" s="242">
        <v>7</v>
      </c>
      <c r="H19" s="242">
        <v>6</v>
      </c>
      <c r="I19" s="242">
        <v>7</v>
      </c>
      <c r="J19" s="242">
        <v>7</v>
      </c>
      <c r="K19" s="242">
        <v>7.5</v>
      </c>
      <c r="L19" s="242">
        <v>6.5</v>
      </c>
      <c r="M19" s="242">
        <v>7</v>
      </c>
      <c r="N19" s="242">
        <v>8</v>
      </c>
      <c r="O19" s="308">
        <v>7</v>
      </c>
      <c r="P19" s="242">
        <v>6.5</v>
      </c>
      <c r="Q19" s="242">
        <v>6.5</v>
      </c>
      <c r="R19" s="242">
        <v>7</v>
      </c>
      <c r="S19" s="242">
        <v>7</v>
      </c>
      <c r="T19" s="242">
        <v>7</v>
      </c>
      <c r="U19" s="659">
        <f t="shared" si="3"/>
        <v>6.9333333333333336</v>
      </c>
      <c r="V19" s="242"/>
      <c r="W19" s="242"/>
      <c r="X19" s="242"/>
      <c r="Y19" s="277">
        <f t="shared" si="0"/>
        <v>0</v>
      </c>
      <c r="Z19" s="277">
        <f t="shared" si="1"/>
        <v>3.4666666666666668</v>
      </c>
      <c r="AA19" s="252"/>
      <c r="AB19" s="273"/>
      <c r="AC19" s="263" t="s">
        <v>179</v>
      </c>
      <c r="AD19" s="545"/>
      <c r="AE19" s="357">
        <f t="shared" si="2"/>
        <v>6.9333333333333336</v>
      </c>
    </row>
    <row r="20" spans="1:31" s="256" customFormat="1" ht="16.5" customHeight="1" x14ac:dyDescent="0.2">
      <c r="A20" s="287">
        <v>11</v>
      </c>
      <c r="B20" s="245" t="s">
        <v>406</v>
      </c>
      <c r="C20" s="246">
        <v>2022</v>
      </c>
      <c r="D20" s="419" t="s">
        <v>227</v>
      </c>
      <c r="E20" s="292" t="s">
        <v>152</v>
      </c>
      <c r="F20" s="242">
        <v>7</v>
      </c>
      <c r="G20" s="242">
        <v>8</v>
      </c>
      <c r="H20" s="242">
        <v>7.5</v>
      </c>
      <c r="I20" s="242">
        <v>7.5</v>
      </c>
      <c r="J20" s="242">
        <v>8</v>
      </c>
      <c r="K20" s="242">
        <v>8</v>
      </c>
      <c r="L20" s="242">
        <v>7</v>
      </c>
      <c r="M20" s="242">
        <v>7.5</v>
      </c>
      <c r="N20" s="242">
        <v>7</v>
      </c>
      <c r="O20" s="308">
        <v>7</v>
      </c>
      <c r="P20" s="242">
        <v>7</v>
      </c>
      <c r="Q20" s="242">
        <v>8</v>
      </c>
      <c r="R20" s="242">
        <v>8</v>
      </c>
      <c r="S20" s="242">
        <v>8</v>
      </c>
      <c r="T20" s="242">
        <v>7.5</v>
      </c>
      <c r="U20" s="243">
        <f t="shared" si="3"/>
        <v>7.5333333333333332</v>
      </c>
      <c r="V20" s="242"/>
      <c r="W20" s="242"/>
      <c r="X20" s="242"/>
      <c r="Y20" s="277">
        <f t="shared" si="0"/>
        <v>0</v>
      </c>
      <c r="Z20" s="277">
        <f t="shared" si="1"/>
        <v>3.7666666666666666</v>
      </c>
      <c r="AA20" s="252"/>
      <c r="AB20" s="273"/>
      <c r="AC20" s="263" t="s">
        <v>216</v>
      </c>
      <c r="AD20" s="545"/>
      <c r="AE20" s="357">
        <f t="shared" si="2"/>
        <v>7.5333333333333332</v>
      </c>
    </row>
    <row r="21" spans="1:31" s="256" customFormat="1" ht="16.5" customHeight="1" x14ac:dyDescent="0.2">
      <c r="A21" s="287">
        <v>12</v>
      </c>
      <c r="B21" s="245" t="s">
        <v>407</v>
      </c>
      <c r="C21" s="246">
        <v>2022</v>
      </c>
      <c r="D21" s="412" t="s">
        <v>1708</v>
      </c>
      <c r="E21" s="303" t="s">
        <v>577</v>
      </c>
      <c r="F21" s="242">
        <v>7</v>
      </c>
      <c r="G21" s="242">
        <v>8</v>
      </c>
      <c r="H21" s="242">
        <v>6</v>
      </c>
      <c r="I21" s="242">
        <v>7.5</v>
      </c>
      <c r="J21" s="242">
        <v>7</v>
      </c>
      <c r="K21" s="242">
        <v>7</v>
      </c>
      <c r="L21" s="242">
        <v>7</v>
      </c>
      <c r="M21" s="242">
        <v>7.5</v>
      </c>
      <c r="N21" s="242">
        <v>7</v>
      </c>
      <c r="O21" s="308">
        <v>7</v>
      </c>
      <c r="P21" s="242">
        <v>7</v>
      </c>
      <c r="Q21" s="242">
        <v>7.5</v>
      </c>
      <c r="R21" s="242">
        <v>7</v>
      </c>
      <c r="S21" s="242">
        <v>7.5</v>
      </c>
      <c r="T21" s="242">
        <v>7</v>
      </c>
      <c r="U21" s="243">
        <f t="shared" si="3"/>
        <v>7.1333333333333337</v>
      </c>
      <c r="V21" s="242"/>
      <c r="W21" s="242"/>
      <c r="X21" s="242"/>
      <c r="Y21" s="277"/>
      <c r="Z21" s="277"/>
      <c r="AA21" s="252"/>
      <c r="AB21" s="273"/>
      <c r="AC21" s="263" t="s">
        <v>226</v>
      </c>
      <c r="AD21" s="545"/>
      <c r="AE21" s="357">
        <f t="shared" si="2"/>
        <v>7.1333333333333337</v>
      </c>
    </row>
    <row r="22" spans="1:31" s="256" customFormat="1" ht="16.5" customHeight="1" x14ac:dyDescent="0.2">
      <c r="A22" s="287">
        <v>13</v>
      </c>
      <c r="B22" s="245" t="s">
        <v>408</v>
      </c>
      <c r="C22" s="246">
        <v>2022</v>
      </c>
      <c r="D22" s="412" t="s">
        <v>1709</v>
      </c>
      <c r="E22" s="303" t="s">
        <v>1710</v>
      </c>
      <c r="F22" s="242">
        <v>7</v>
      </c>
      <c r="G22" s="242">
        <v>7</v>
      </c>
      <c r="H22" s="242">
        <v>7.5</v>
      </c>
      <c r="I22" s="242">
        <v>7.5</v>
      </c>
      <c r="J22" s="242">
        <v>6</v>
      </c>
      <c r="K22" s="242">
        <v>7.5</v>
      </c>
      <c r="L22" s="242">
        <v>7.5</v>
      </c>
      <c r="M22" s="242">
        <v>7.5</v>
      </c>
      <c r="N22" s="242">
        <v>7</v>
      </c>
      <c r="O22" s="308">
        <v>7.5</v>
      </c>
      <c r="P22" s="242">
        <v>7</v>
      </c>
      <c r="Q22" s="242">
        <v>7</v>
      </c>
      <c r="R22" s="242">
        <v>8</v>
      </c>
      <c r="S22" s="242">
        <v>7</v>
      </c>
      <c r="T22" s="242">
        <v>7</v>
      </c>
      <c r="U22" s="243">
        <f t="shared" si="3"/>
        <v>7.2</v>
      </c>
      <c r="V22" s="242"/>
      <c r="W22" s="242"/>
      <c r="X22" s="242"/>
      <c r="Y22" s="277"/>
      <c r="Z22" s="277"/>
      <c r="AA22" s="252"/>
      <c r="AB22" s="273"/>
      <c r="AC22" s="263" t="s">
        <v>882</v>
      </c>
      <c r="AD22" s="545"/>
      <c r="AE22" s="357">
        <f t="shared" si="2"/>
        <v>7.2</v>
      </c>
    </row>
    <row r="23" spans="1:31" s="256" customFormat="1" ht="16.5" customHeight="1" x14ac:dyDescent="0.2">
      <c r="A23" s="287">
        <v>14</v>
      </c>
      <c r="B23" s="245" t="s">
        <v>409</v>
      </c>
      <c r="C23" s="246">
        <v>2022</v>
      </c>
      <c r="D23" s="412" t="s">
        <v>1711</v>
      </c>
      <c r="E23" s="303" t="s">
        <v>1016</v>
      </c>
      <c r="F23" s="242">
        <v>7</v>
      </c>
      <c r="G23" s="242">
        <v>7</v>
      </c>
      <c r="H23" s="242">
        <v>7</v>
      </c>
      <c r="I23" s="242">
        <v>7</v>
      </c>
      <c r="J23" s="242">
        <v>7</v>
      </c>
      <c r="K23" s="242">
        <v>7</v>
      </c>
      <c r="L23" s="242">
        <v>6.5</v>
      </c>
      <c r="M23" s="242">
        <v>7</v>
      </c>
      <c r="N23" s="242">
        <v>7</v>
      </c>
      <c r="O23" s="308">
        <v>7</v>
      </c>
      <c r="P23" s="242">
        <v>7</v>
      </c>
      <c r="Q23" s="242">
        <v>7.5</v>
      </c>
      <c r="R23" s="242">
        <v>7.5</v>
      </c>
      <c r="S23" s="242">
        <v>7</v>
      </c>
      <c r="T23" s="242">
        <v>7</v>
      </c>
      <c r="U23" s="243">
        <f t="shared" si="3"/>
        <v>7.0333333333333332</v>
      </c>
      <c r="V23" s="242"/>
      <c r="W23" s="242"/>
      <c r="X23" s="242"/>
      <c r="Y23" s="277"/>
      <c r="Z23" s="277"/>
      <c r="AA23" s="252"/>
      <c r="AB23" s="273"/>
      <c r="AC23" s="263" t="s">
        <v>171</v>
      </c>
      <c r="AD23" s="545"/>
      <c r="AE23" s="357">
        <f t="shared" si="2"/>
        <v>7.0333333333333332</v>
      </c>
    </row>
    <row r="24" spans="1:31" s="256" customFormat="1" ht="16.5" customHeight="1" x14ac:dyDescent="0.2">
      <c r="A24" s="287">
        <v>15</v>
      </c>
      <c r="B24" s="245" t="s">
        <v>410</v>
      </c>
      <c r="C24" s="246">
        <v>2022</v>
      </c>
      <c r="D24" s="412" t="s">
        <v>1712</v>
      </c>
      <c r="E24" s="303" t="s">
        <v>1529</v>
      </c>
      <c r="F24" s="242">
        <v>6</v>
      </c>
      <c r="G24" s="242">
        <v>8</v>
      </c>
      <c r="H24" s="242">
        <v>7</v>
      </c>
      <c r="I24" s="242">
        <v>6.5</v>
      </c>
      <c r="J24" s="242">
        <v>7</v>
      </c>
      <c r="K24" s="242">
        <v>7</v>
      </c>
      <c r="L24" s="242">
        <v>6.5</v>
      </c>
      <c r="M24" s="242">
        <v>7</v>
      </c>
      <c r="N24" s="242">
        <v>7</v>
      </c>
      <c r="O24" s="308">
        <v>6.5</v>
      </c>
      <c r="P24" s="242">
        <v>7</v>
      </c>
      <c r="Q24" s="242">
        <v>7</v>
      </c>
      <c r="R24" s="242">
        <v>7</v>
      </c>
      <c r="S24" s="242">
        <v>7</v>
      </c>
      <c r="T24" s="242">
        <v>6.5</v>
      </c>
      <c r="U24" s="659">
        <f t="shared" si="3"/>
        <v>6.8666666666666663</v>
      </c>
      <c r="V24" s="242"/>
      <c r="W24" s="242"/>
      <c r="X24" s="242"/>
      <c r="Y24" s="277"/>
      <c r="Z24" s="277"/>
      <c r="AA24" s="252"/>
      <c r="AB24" s="273"/>
      <c r="AC24" s="263" t="s">
        <v>182</v>
      </c>
      <c r="AD24" s="545"/>
      <c r="AE24" s="357">
        <f t="shared" si="2"/>
        <v>6.8666666666666663</v>
      </c>
    </row>
    <row r="25" spans="1:31" s="256" customFormat="1" ht="16.5" customHeight="1" x14ac:dyDescent="0.2">
      <c r="A25" s="287">
        <v>16</v>
      </c>
      <c r="B25" s="245" t="s">
        <v>411</v>
      </c>
      <c r="C25" s="246">
        <v>2022</v>
      </c>
      <c r="D25" s="412" t="s">
        <v>1713</v>
      </c>
      <c r="E25" s="303" t="s">
        <v>1322</v>
      </c>
      <c r="F25" s="242">
        <v>6</v>
      </c>
      <c r="G25" s="242">
        <v>8</v>
      </c>
      <c r="H25" s="242">
        <v>7</v>
      </c>
      <c r="I25" s="242">
        <v>6.5</v>
      </c>
      <c r="J25" s="242">
        <v>7</v>
      </c>
      <c r="K25" s="242">
        <v>6.5</v>
      </c>
      <c r="L25" s="242">
        <v>7</v>
      </c>
      <c r="M25" s="242">
        <v>7</v>
      </c>
      <c r="N25" s="242">
        <v>7</v>
      </c>
      <c r="O25" s="308">
        <v>6.5</v>
      </c>
      <c r="P25" s="242">
        <v>6.5</v>
      </c>
      <c r="Q25" s="622">
        <v>7</v>
      </c>
      <c r="R25" s="242">
        <v>7</v>
      </c>
      <c r="S25" s="242">
        <v>7</v>
      </c>
      <c r="T25" s="242">
        <v>6.5</v>
      </c>
      <c r="U25" s="659">
        <f t="shared" si="3"/>
        <v>6.833333333333333</v>
      </c>
      <c r="V25" s="242"/>
      <c r="W25" s="242"/>
      <c r="X25" s="242"/>
      <c r="Y25" s="277"/>
      <c r="Z25" s="277"/>
      <c r="AA25" s="252"/>
      <c r="AB25" s="273"/>
      <c r="AC25" s="263" t="s">
        <v>282</v>
      </c>
      <c r="AD25" s="545"/>
      <c r="AE25" s="357">
        <f t="shared" si="2"/>
        <v>6.833333333333333</v>
      </c>
    </row>
    <row r="26" spans="1:31" s="256" customFormat="1" ht="16.5" customHeight="1" x14ac:dyDescent="0.2">
      <c r="A26" s="287">
        <v>17</v>
      </c>
      <c r="B26" s="245" t="s">
        <v>412</v>
      </c>
      <c r="C26" s="246">
        <v>2022</v>
      </c>
      <c r="D26" s="412" t="s">
        <v>1714</v>
      </c>
      <c r="E26" s="303" t="s">
        <v>1540</v>
      </c>
      <c r="F26" s="242">
        <v>7</v>
      </c>
      <c r="G26" s="242">
        <v>8</v>
      </c>
      <c r="H26" s="242">
        <v>8</v>
      </c>
      <c r="I26" s="242">
        <v>8</v>
      </c>
      <c r="J26" s="242">
        <v>6</v>
      </c>
      <c r="K26" s="242">
        <v>6</v>
      </c>
      <c r="L26" s="242">
        <v>7</v>
      </c>
      <c r="M26" s="242">
        <v>7</v>
      </c>
      <c r="N26" s="242">
        <v>7</v>
      </c>
      <c r="O26" s="308">
        <v>7</v>
      </c>
      <c r="P26" s="242">
        <v>7</v>
      </c>
      <c r="Q26" s="242">
        <v>7</v>
      </c>
      <c r="R26" s="242">
        <v>7</v>
      </c>
      <c r="S26" s="242">
        <v>7</v>
      </c>
      <c r="T26" s="242">
        <v>7</v>
      </c>
      <c r="U26" s="243">
        <f t="shared" si="3"/>
        <v>7.0666666666666664</v>
      </c>
      <c r="V26" s="242"/>
      <c r="W26" s="242"/>
      <c r="X26" s="242"/>
      <c r="Y26" s="277"/>
      <c r="Z26" s="277"/>
      <c r="AA26" s="252"/>
      <c r="AB26" s="273"/>
      <c r="AC26" s="263" t="s">
        <v>174</v>
      </c>
      <c r="AD26" s="545"/>
      <c r="AE26" s="357">
        <f t="shared" si="2"/>
        <v>7.0666666666666664</v>
      </c>
    </row>
    <row r="27" spans="1:31" s="256" customFormat="1" ht="16.5" customHeight="1" x14ac:dyDescent="0.2">
      <c r="A27" s="287">
        <v>18</v>
      </c>
      <c r="B27" s="245" t="s">
        <v>413</v>
      </c>
      <c r="C27" s="246">
        <v>2022</v>
      </c>
      <c r="D27" s="412" t="s">
        <v>1715</v>
      </c>
      <c r="E27" s="303" t="s">
        <v>1716</v>
      </c>
      <c r="F27" s="242">
        <v>7</v>
      </c>
      <c r="G27" s="242">
        <v>7</v>
      </c>
      <c r="H27" s="242">
        <v>7</v>
      </c>
      <c r="I27" s="242">
        <v>7.5</v>
      </c>
      <c r="J27" s="242">
        <v>7</v>
      </c>
      <c r="K27" s="242">
        <v>8</v>
      </c>
      <c r="L27" s="242">
        <v>7.5</v>
      </c>
      <c r="M27" s="242">
        <v>6.6</v>
      </c>
      <c r="N27" s="242">
        <v>7</v>
      </c>
      <c r="O27" s="308">
        <v>7</v>
      </c>
      <c r="P27" s="242">
        <v>7</v>
      </c>
      <c r="Q27" s="622">
        <v>7.5</v>
      </c>
      <c r="R27" s="242">
        <v>7</v>
      </c>
      <c r="S27" s="242">
        <v>7</v>
      </c>
      <c r="T27" s="242">
        <v>7</v>
      </c>
      <c r="U27" s="243">
        <f t="shared" si="3"/>
        <v>7.14</v>
      </c>
      <c r="V27" s="242"/>
      <c r="W27" s="242"/>
      <c r="X27" s="242"/>
      <c r="Y27" s="277"/>
      <c r="Z27" s="277"/>
      <c r="AA27" s="252"/>
      <c r="AB27" s="273"/>
      <c r="AC27" s="263" t="s">
        <v>282</v>
      </c>
      <c r="AD27" s="545"/>
      <c r="AE27" s="357">
        <f t="shared" si="2"/>
        <v>7.14</v>
      </c>
    </row>
    <row r="28" spans="1:31" s="256" customFormat="1" ht="16.5" customHeight="1" x14ac:dyDescent="0.2">
      <c r="A28" s="287">
        <v>19</v>
      </c>
      <c r="B28" s="245" t="s">
        <v>414</v>
      </c>
      <c r="C28" s="246">
        <v>2022</v>
      </c>
      <c r="D28" s="412" t="s">
        <v>1717</v>
      </c>
      <c r="E28" s="303" t="s">
        <v>1718</v>
      </c>
      <c r="F28" s="242">
        <v>7.5</v>
      </c>
      <c r="G28" s="242">
        <v>7</v>
      </c>
      <c r="H28" s="242">
        <v>7.5</v>
      </c>
      <c r="I28" s="242">
        <v>7.5</v>
      </c>
      <c r="J28" s="242">
        <v>8</v>
      </c>
      <c r="K28" s="242">
        <v>7.5</v>
      </c>
      <c r="L28" s="242">
        <v>7.5</v>
      </c>
      <c r="M28" s="242">
        <v>7</v>
      </c>
      <c r="N28" s="242">
        <v>6</v>
      </c>
      <c r="O28" s="308">
        <v>7.5</v>
      </c>
      <c r="P28" s="242">
        <v>7.5</v>
      </c>
      <c r="Q28" s="242">
        <v>7.5</v>
      </c>
      <c r="R28" s="242">
        <v>7</v>
      </c>
      <c r="S28" s="242">
        <v>7.5</v>
      </c>
      <c r="T28" s="242">
        <v>7</v>
      </c>
      <c r="U28" s="243">
        <f t="shared" si="3"/>
        <v>7.3</v>
      </c>
      <c r="V28" s="242"/>
      <c r="W28" s="242"/>
      <c r="X28" s="242"/>
      <c r="Y28" s="277"/>
      <c r="Z28" s="277"/>
      <c r="AA28" s="252"/>
      <c r="AB28" s="273"/>
      <c r="AC28" s="263" t="s">
        <v>1279</v>
      </c>
      <c r="AD28" s="545"/>
      <c r="AE28" s="357">
        <f t="shared" si="2"/>
        <v>7.3</v>
      </c>
    </row>
    <row r="29" spans="1:31" s="256" customFormat="1" ht="16.5" customHeight="1" x14ac:dyDescent="0.2">
      <c r="A29" s="287">
        <v>20</v>
      </c>
      <c r="B29" s="245" t="s">
        <v>415</v>
      </c>
      <c r="C29" s="246">
        <v>2022</v>
      </c>
      <c r="D29" s="412" t="s">
        <v>1719</v>
      </c>
      <c r="E29" s="303" t="s">
        <v>978</v>
      </c>
      <c r="F29" s="242">
        <v>7</v>
      </c>
      <c r="G29" s="242">
        <v>8</v>
      </c>
      <c r="H29" s="242">
        <v>8.5</v>
      </c>
      <c r="I29" s="609">
        <v>7</v>
      </c>
      <c r="J29" s="458">
        <v>8</v>
      </c>
      <c r="K29" s="458">
        <v>7.5</v>
      </c>
      <c r="L29" s="242">
        <v>8</v>
      </c>
      <c r="M29" s="242">
        <v>8.6</v>
      </c>
      <c r="N29" s="242">
        <v>8</v>
      </c>
      <c r="O29" s="308">
        <v>8</v>
      </c>
      <c r="P29" s="242">
        <v>8</v>
      </c>
      <c r="Q29" s="242">
        <v>8</v>
      </c>
      <c r="R29" s="242">
        <v>8</v>
      </c>
      <c r="S29" s="242">
        <v>8</v>
      </c>
      <c r="T29" s="242">
        <v>7</v>
      </c>
      <c r="U29" s="243">
        <f t="shared" si="3"/>
        <v>7.84</v>
      </c>
      <c r="V29" s="242"/>
      <c r="W29" s="242"/>
      <c r="X29" s="242"/>
      <c r="Y29" s="277"/>
      <c r="Z29" s="277"/>
      <c r="AA29" s="252"/>
      <c r="AB29" s="273"/>
      <c r="AC29" s="263" t="s">
        <v>216</v>
      </c>
      <c r="AD29" s="545"/>
      <c r="AE29" s="357">
        <f t="shared" si="2"/>
        <v>7.84</v>
      </c>
    </row>
    <row r="30" spans="1:31" s="256" customFormat="1" ht="16.5" customHeight="1" x14ac:dyDescent="0.2">
      <c r="A30" s="287">
        <v>21</v>
      </c>
      <c r="B30" s="245" t="s">
        <v>416</v>
      </c>
      <c r="C30" s="246">
        <v>2022</v>
      </c>
      <c r="D30" s="412" t="s">
        <v>1720</v>
      </c>
      <c r="E30" s="303" t="s">
        <v>152</v>
      </c>
      <c r="F30" s="242">
        <v>6.5</v>
      </c>
      <c r="G30" s="242">
        <v>8</v>
      </c>
      <c r="H30" s="242">
        <v>7</v>
      </c>
      <c r="I30" s="242">
        <v>7</v>
      </c>
      <c r="J30" s="242">
        <v>6</v>
      </c>
      <c r="K30" s="242">
        <v>6.5</v>
      </c>
      <c r="L30" s="242">
        <v>6</v>
      </c>
      <c r="M30" s="242">
        <v>7.5</v>
      </c>
      <c r="N30" s="242">
        <v>6</v>
      </c>
      <c r="O30" s="308">
        <v>6.5</v>
      </c>
      <c r="P30" s="242">
        <v>7</v>
      </c>
      <c r="Q30" s="242">
        <v>7</v>
      </c>
      <c r="R30" s="242">
        <v>7.5</v>
      </c>
      <c r="S30" s="242">
        <v>7.5</v>
      </c>
      <c r="T30" s="242">
        <v>6.5</v>
      </c>
      <c r="U30" s="659">
        <f t="shared" si="3"/>
        <v>6.833333333333333</v>
      </c>
      <c r="V30" s="242"/>
      <c r="W30" s="242"/>
      <c r="X30" s="242"/>
      <c r="Y30" s="277"/>
      <c r="Z30" s="277"/>
      <c r="AA30" s="252"/>
      <c r="AB30" s="273"/>
      <c r="AC30" s="263" t="s">
        <v>184</v>
      </c>
      <c r="AD30" s="545"/>
      <c r="AE30" s="357">
        <f t="shared" si="2"/>
        <v>6.833333333333333</v>
      </c>
    </row>
    <row r="31" spans="1:31" s="256" customFormat="1" ht="16.5" customHeight="1" x14ac:dyDescent="0.2">
      <c r="A31" s="287">
        <v>22</v>
      </c>
      <c r="B31" s="245" t="s">
        <v>417</v>
      </c>
      <c r="C31" s="246">
        <v>2022</v>
      </c>
      <c r="D31" s="412" t="s">
        <v>1721</v>
      </c>
      <c r="E31" s="303" t="s">
        <v>1454</v>
      </c>
      <c r="F31" s="242">
        <v>7</v>
      </c>
      <c r="G31" s="242">
        <v>7</v>
      </c>
      <c r="H31" s="242">
        <v>7</v>
      </c>
      <c r="I31" s="242">
        <v>6.5</v>
      </c>
      <c r="J31" s="242">
        <v>6</v>
      </c>
      <c r="K31" s="242">
        <v>7</v>
      </c>
      <c r="L31" s="242">
        <v>7</v>
      </c>
      <c r="M31" s="242">
        <v>7.5</v>
      </c>
      <c r="N31" s="242">
        <v>7</v>
      </c>
      <c r="O31" s="308">
        <v>6.5</v>
      </c>
      <c r="P31" s="242">
        <v>6.5</v>
      </c>
      <c r="Q31" s="242">
        <v>7.5</v>
      </c>
      <c r="R31" s="242">
        <v>8</v>
      </c>
      <c r="S31" s="242">
        <v>7.5</v>
      </c>
      <c r="T31" s="242">
        <v>7</v>
      </c>
      <c r="U31" s="243">
        <f t="shared" si="3"/>
        <v>7</v>
      </c>
      <c r="V31" s="242"/>
      <c r="W31" s="242"/>
      <c r="X31" s="242"/>
      <c r="Y31" s="277"/>
      <c r="Z31" s="277"/>
      <c r="AA31" s="252"/>
      <c r="AB31" s="273"/>
      <c r="AC31" s="263" t="s">
        <v>194</v>
      </c>
      <c r="AD31" s="545"/>
      <c r="AE31" s="357">
        <f t="shared" si="2"/>
        <v>7</v>
      </c>
    </row>
    <row r="32" spans="1:31" s="256" customFormat="1" ht="16.5" customHeight="1" x14ac:dyDescent="0.2">
      <c r="A32" s="287">
        <v>23</v>
      </c>
      <c r="B32" s="245" t="s">
        <v>418</v>
      </c>
      <c r="C32" s="246">
        <v>2022</v>
      </c>
      <c r="D32" s="412" t="s">
        <v>1722</v>
      </c>
      <c r="E32" s="303" t="s">
        <v>1723</v>
      </c>
      <c r="F32" s="242">
        <v>7</v>
      </c>
      <c r="G32" s="242">
        <v>7</v>
      </c>
      <c r="H32" s="242">
        <v>7</v>
      </c>
      <c r="I32" s="242">
        <v>7</v>
      </c>
      <c r="J32" s="242">
        <v>6</v>
      </c>
      <c r="K32" s="242">
        <v>7</v>
      </c>
      <c r="L32" s="242">
        <v>7</v>
      </c>
      <c r="M32" s="242">
        <v>7.5</v>
      </c>
      <c r="N32" s="242">
        <v>8</v>
      </c>
      <c r="O32" s="308">
        <v>7</v>
      </c>
      <c r="P32" s="242">
        <v>7</v>
      </c>
      <c r="Q32" s="242">
        <v>7</v>
      </c>
      <c r="R32" s="242">
        <v>7</v>
      </c>
      <c r="S32" s="242">
        <v>7</v>
      </c>
      <c r="T32" s="242">
        <v>6.5</v>
      </c>
      <c r="U32" s="243">
        <f t="shared" si="3"/>
        <v>7</v>
      </c>
      <c r="V32" s="242"/>
      <c r="W32" s="242"/>
      <c r="X32" s="242"/>
      <c r="Y32" s="277"/>
      <c r="Z32" s="277"/>
      <c r="AA32" s="252"/>
      <c r="AB32" s="273"/>
      <c r="AC32" s="263" t="s">
        <v>666</v>
      </c>
      <c r="AD32" s="545"/>
      <c r="AE32" s="357">
        <f t="shared" si="2"/>
        <v>7</v>
      </c>
    </row>
    <row r="33" spans="1:31" s="256" customFormat="1" ht="16.5" customHeight="1" x14ac:dyDescent="0.2">
      <c r="A33" s="287">
        <v>24</v>
      </c>
      <c r="B33" s="245" t="s">
        <v>419</v>
      </c>
      <c r="C33" s="246">
        <v>2022</v>
      </c>
      <c r="D33" s="417" t="s">
        <v>1724</v>
      </c>
      <c r="E33" s="303" t="s">
        <v>1121</v>
      </c>
      <c r="F33" s="242">
        <v>7</v>
      </c>
      <c r="G33" s="242">
        <v>8</v>
      </c>
      <c r="H33" s="242">
        <v>7</v>
      </c>
      <c r="I33" s="242">
        <v>7.5</v>
      </c>
      <c r="J33" s="242">
        <v>7</v>
      </c>
      <c r="K33" s="242">
        <v>7.5</v>
      </c>
      <c r="L33" s="242">
        <v>7</v>
      </c>
      <c r="M33" s="242">
        <v>6.5</v>
      </c>
      <c r="N33" s="242">
        <v>6</v>
      </c>
      <c r="O33" s="308">
        <v>7</v>
      </c>
      <c r="P33" s="242">
        <v>6.5</v>
      </c>
      <c r="Q33" s="242">
        <v>7</v>
      </c>
      <c r="R33" s="242">
        <v>7</v>
      </c>
      <c r="S33" s="242">
        <v>7</v>
      </c>
      <c r="T33" s="242">
        <v>7</v>
      </c>
      <c r="U33" s="243">
        <f t="shared" si="3"/>
        <v>7</v>
      </c>
      <c r="V33" s="242"/>
      <c r="W33" s="242"/>
      <c r="X33" s="242"/>
      <c r="Y33" s="277">
        <f>SUM(V33:X33)/3</f>
        <v>0</v>
      </c>
      <c r="Z33" s="277">
        <f>SUM(U33+Y33)/2</f>
        <v>3.5</v>
      </c>
      <c r="AA33" s="252"/>
      <c r="AB33" s="273"/>
      <c r="AC33" s="263" t="s">
        <v>12</v>
      </c>
      <c r="AD33" s="545"/>
      <c r="AE33" s="357">
        <f t="shared" si="2"/>
        <v>7</v>
      </c>
    </row>
    <row r="34" spans="1:31" s="256" customFormat="1" ht="16.5" customHeight="1" x14ac:dyDescent="0.2">
      <c r="A34" s="287">
        <v>25</v>
      </c>
      <c r="B34" s="245" t="s">
        <v>420</v>
      </c>
      <c r="C34" s="246">
        <v>2022</v>
      </c>
      <c r="D34" s="417" t="s">
        <v>1725</v>
      </c>
      <c r="E34" s="303" t="s">
        <v>778</v>
      </c>
      <c r="F34" s="242">
        <v>7</v>
      </c>
      <c r="G34" s="242">
        <v>7</v>
      </c>
      <c r="H34" s="242">
        <v>7</v>
      </c>
      <c r="I34" s="242">
        <v>7</v>
      </c>
      <c r="J34" s="242">
        <v>7</v>
      </c>
      <c r="K34" s="242">
        <v>7</v>
      </c>
      <c r="L34" s="242">
        <v>7</v>
      </c>
      <c r="M34" s="242">
        <v>7.5</v>
      </c>
      <c r="N34" s="242">
        <v>8</v>
      </c>
      <c r="O34" s="308">
        <v>7</v>
      </c>
      <c r="P34" s="242">
        <v>7</v>
      </c>
      <c r="Q34" s="242">
        <v>7</v>
      </c>
      <c r="R34" s="242">
        <v>7.5</v>
      </c>
      <c r="S34" s="242">
        <v>7</v>
      </c>
      <c r="T34" s="242">
        <v>7</v>
      </c>
      <c r="U34" s="243">
        <f t="shared" si="3"/>
        <v>7.1333333333333337</v>
      </c>
      <c r="V34" s="242"/>
      <c r="W34" s="242"/>
      <c r="X34" s="242"/>
      <c r="Y34" s="277"/>
      <c r="Z34" s="277"/>
      <c r="AA34" s="252"/>
      <c r="AB34" s="273"/>
      <c r="AC34" s="300" t="s">
        <v>201</v>
      </c>
      <c r="AD34" s="545"/>
      <c r="AE34" s="357">
        <f t="shared" si="2"/>
        <v>7.1333333333333337</v>
      </c>
    </row>
    <row r="35" spans="1:31" s="256" customFormat="1" ht="16.5" customHeight="1" x14ac:dyDescent="0.2">
      <c r="A35" s="287">
        <v>26</v>
      </c>
      <c r="B35" s="245" t="s">
        <v>421</v>
      </c>
      <c r="C35" s="246">
        <v>2022</v>
      </c>
      <c r="D35" s="417" t="s">
        <v>151</v>
      </c>
      <c r="E35" s="303" t="s">
        <v>796</v>
      </c>
      <c r="F35" s="242">
        <v>7</v>
      </c>
      <c r="G35" s="242">
        <v>8</v>
      </c>
      <c r="H35" s="242">
        <v>6.5</v>
      </c>
      <c r="I35" s="242">
        <v>7</v>
      </c>
      <c r="J35" s="242">
        <v>8</v>
      </c>
      <c r="K35" s="242">
        <v>7</v>
      </c>
      <c r="L35" s="242">
        <v>7.5</v>
      </c>
      <c r="M35" s="242">
        <v>7</v>
      </c>
      <c r="N35" s="242">
        <v>7</v>
      </c>
      <c r="O35" s="308">
        <v>7.5</v>
      </c>
      <c r="P35" s="242">
        <v>7.5</v>
      </c>
      <c r="Q35" s="242">
        <v>6.5</v>
      </c>
      <c r="R35" s="242">
        <v>7</v>
      </c>
      <c r="S35" s="242">
        <v>7.5</v>
      </c>
      <c r="T35" s="242">
        <v>6.5</v>
      </c>
      <c r="U35" s="243">
        <f t="shared" si="3"/>
        <v>7.166666666666667</v>
      </c>
      <c r="V35" s="242"/>
      <c r="W35" s="242"/>
      <c r="X35" s="242"/>
      <c r="Y35" s="277"/>
      <c r="Z35" s="277"/>
      <c r="AA35" s="252"/>
      <c r="AB35" s="273"/>
      <c r="AC35" s="263" t="s">
        <v>18</v>
      </c>
      <c r="AD35" s="545"/>
      <c r="AE35" s="357">
        <f t="shared" si="2"/>
        <v>7.166666666666667</v>
      </c>
    </row>
    <row r="36" spans="1:31" s="256" customFormat="1" ht="16.5" customHeight="1" x14ac:dyDescent="0.2">
      <c r="A36" s="287">
        <v>27</v>
      </c>
      <c r="B36" s="245" t="s">
        <v>422</v>
      </c>
      <c r="C36" s="246">
        <v>2022</v>
      </c>
      <c r="D36" s="417" t="s">
        <v>1726</v>
      </c>
      <c r="E36" s="303" t="s">
        <v>1727</v>
      </c>
      <c r="F36" s="242">
        <v>7</v>
      </c>
      <c r="G36" s="242">
        <v>8</v>
      </c>
      <c r="H36" s="242">
        <v>7.5</v>
      </c>
      <c r="I36" s="242">
        <v>6.5</v>
      </c>
      <c r="J36" s="242">
        <v>7.5</v>
      </c>
      <c r="K36" s="242">
        <v>7</v>
      </c>
      <c r="L36" s="242">
        <v>7</v>
      </c>
      <c r="M36" s="242">
        <v>7.5</v>
      </c>
      <c r="N36" s="242">
        <v>7</v>
      </c>
      <c r="O36" s="308">
        <v>7.5</v>
      </c>
      <c r="P36" s="242">
        <v>7</v>
      </c>
      <c r="Q36" s="242">
        <v>6.5</v>
      </c>
      <c r="R36" s="242">
        <v>7.5</v>
      </c>
      <c r="S36" s="242">
        <v>7</v>
      </c>
      <c r="T36" s="242">
        <v>7</v>
      </c>
      <c r="U36" s="243">
        <f t="shared" si="3"/>
        <v>7.166666666666667</v>
      </c>
      <c r="V36" s="242"/>
      <c r="W36" s="242"/>
      <c r="X36" s="242"/>
      <c r="Y36" s="277"/>
      <c r="Z36" s="277"/>
      <c r="AA36" s="252"/>
      <c r="AB36" s="273"/>
      <c r="AC36" s="300" t="s">
        <v>12</v>
      </c>
      <c r="AD36" s="545"/>
      <c r="AE36" s="357">
        <f t="shared" si="2"/>
        <v>7.166666666666667</v>
      </c>
    </row>
    <row r="37" spans="1:31" s="256" customFormat="1" ht="16.5" customHeight="1" x14ac:dyDescent="0.2">
      <c r="A37" s="287">
        <v>28</v>
      </c>
      <c r="B37" s="245" t="s">
        <v>423</v>
      </c>
      <c r="C37" s="246">
        <v>2022</v>
      </c>
      <c r="D37" s="417" t="s">
        <v>1728</v>
      </c>
      <c r="E37" s="303" t="s">
        <v>272</v>
      </c>
      <c r="F37" s="242">
        <v>6</v>
      </c>
      <c r="G37" s="242">
        <v>8</v>
      </c>
      <c r="H37" s="242">
        <v>7</v>
      </c>
      <c r="I37" s="242">
        <v>7</v>
      </c>
      <c r="J37" s="242">
        <v>7</v>
      </c>
      <c r="K37" s="242">
        <v>7</v>
      </c>
      <c r="L37" s="242">
        <v>7</v>
      </c>
      <c r="M37" s="242">
        <v>7</v>
      </c>
      <c r="N37" s="242">
        <v>7</v>
      </c>
      <c r="O37" s="308">
        <v>7</v>
      </c>
      <c r="P37" s="242">
        <v>7</v>
      </c>
      <c r="Q37" s="242">
        <v>6.5</v>
      </c>
      <c r="R37" s="242">
        <v>7.5</v>
      </c>
      <c r="S37" s="242">
        <v>7</v>
      </c>
      <c r="T37" s="242">
        <v>7</v>
      </c>
      <c r="U37" s="243">
        <f t="shared" si="3"/>
        <v>7</v>
      </c>
      <c r="V37" s="242"/>
      <c r="W37" s="242"/>
      <c r="X37" s="242"/>
      <c r="Y37" s="277"/>
      <c r="Z37" s="277"/>
      <c r="AA37" s="252"/>
      <c r="AB37" s="273"/>
      <c r="AC37" s="305" t="s">
        <v>196</v>
      </c>
      <c r="AD37" s="545"/>
      <c r="AE37" s="357">
        <f t="shared" si="2"/>
        <v>7</v>
      </c>
    </row>
    <row r="38" spans="1:31" s="256" customFormat="1" ht="16.5" customHeight="1" x14ac:dyDescent="0.2">
      <c r="A38" s="287">
        <v>29</v>
      </c>
      <c r="B38" s="245" t="s">
        <v>424</v>
      </c>
      <c r="C38" s="246">
        <v>2022</v>
      </c>
      <c r="D38" s="417" t="s">
        <v>1729</v>
      </c>
      <c r="E38" s="303" t="s">
        <v>279</v>
      </c>
      <c r="F38" s="242">
        <v>8</v>
      </c>
      <c r="G38" s="242">
        <v>8</v>
      </c>
      <c r="H38" s="242">
        <v>8</v>
      </c>
      <c r="I38" s="242">
        <v>7</v>
      </c>
      <c r="J38" s="242">
        <v>8</v>
      </c>
      <c r="K38" s="242">
        <v>7.5</v>
      </c>
      <c r="L38" s="242">
        <v>7</v>
      </c>
      <c r="M38" s="242">
        <v>7</v>
      </c>
      <c r="N38" s="242">
        <v>8</v>
      </c>
      <c r="O38" s="308">
        <v>7</v>
      </c>
      <c r="P38" s="242">
        <v>7</v>
      </c>
      <c r="Q38" s="242">
        <v>7</v>
      </c>
      <c r="R38" s="242">
        <v>7.5</v>
      </c>
      <c r="S38" s="242">
        <v>7.5</v>
      </c>
      <c r="T38" s="242">
        <v>7</v>
      </c>
      <c r="U38" s="243">
        <f t="shared" si="3"/>
        <v>7.4333333333333336</v>
      </c>
      <c r="V38" s="242"/>
      <c r="W38" s="242"/>
      <c r="X38" s="242"/>
      <c r="Y38" s="277"/>
      <c r="Z38" s="277"/>
      <c r="AA38" s="252"/>
      <c r="AB38" s="273"/>
      <c r="AC38" s="263" t="s">
        <v>141</v>
      </c>
      <c r="AD38" s="545"/>
      <c r="AE38" s="357">
        <f t="shared" si="2"/>
        <v>7.4333333333333336</v>
      </c>
    </row>
    <row r="39" spans="1:31" s="256" customFormat="1" ht="16.5" customHeight="1" x14ac:dyDescent="0.2">
      <c r="A39" s="287">
        <v>30</v>
      </c>
      <c r="B39" s="245" t="s">
        <v>425</v>
      </c>
      <c r="C39" s="246">
        <v>2022</v>
      </c>
      <c r="D39" s="417" t="s">
        <v>1730</v>
      </c>
      <c r="E39" s="303" t="s">
        <v>546</v>
      </c>
      <c r="F39" s="242">
        <v>7</v>
      </c>
      <c r="G39" s="242">
        <v>8.5</v>
      </c>
      <c r="H39" s="242">
        <v>7</v>
      </c>
      <c r="I39" s="242">
        <v>6.5</v>
      </c>
      <c r="J39" s="242">
        <v>7</v>
      </c>
      <c r="K39" s="242">
        <v>7</v>
      </c>
      <c r="L39" s="242">
        <v>7</v>
      </c>
      <c r="M39" s="242">
        <v>7.5</v>
      </c>
      <c r="N39" s="242">
        <v>8</v>
      </c>
      <c r="O39" s="308">
        <v>6.5</v>
      </c>
      <c r="P39" s="242">
        <v>7.5</v>
      </c>
      <c r="Q39" s="242">
        <v>7.5</v>
      </c>
      <c r="R39" s="242">
        <v>7</v>
      </c>
      <c r="S39" s="242">
        <v>7.5</v>
      </c>
      <c r="T39" s="242">
        <v>7</v>
      </c>
      <c r="U39" s="243">
        <f t="shared" si="3"/>
        <v>7.2333333333333334</v>
      </c>
      <c r="V39" s="242"/>
      <c r="W39" s="242"/>
      <c r="X39" s="242"/>
      <c r="Y39" s="277"/>
      <c r="Z39" s="277"/>
      <c r="AA39" s="252"/>
      <c r="AB39" s="273"/>
      <c r="AC39" s="263" t="s">
        <v>172</v>
      </c>
      <c r="AD39" s="545"/>
      <c r="AE39" s="357">
        <f t="shared" si="2"/>
        <v>7.2333333333333334</v>
      </c>
    </row>
    <row r="40" spans="1:31" s="256" customFormat="1" ht="16.5" customHeight="1" x14ac:dyDescent="0.2">
      <c r="A40" s="287">
        <v>31</v>
      </c>
      <c r="B40" s="245" t="s">
        <v>426</v>
      </c>
      <c r="C40" s="246">
        <v>2022</v>
      </c>
      <c r="D40" s="417" t="s">
        <v>1731</v>
      </c>
      <c r="E40" s="303" t="s">
        <v>856</v>
      </c>
      <c r="F40" s="242">
        <v>7</v>
      </c>
      <c r="G40" s="242">
        <v>8</v>
      </c>
      <c r="H40" s="242">
        <v>7</v>
      </c>
      <c r="I40" s="242">
        <v>7.5</v>
      </c>
      <c r="J40" s="242">
        <v>8</v>
      </c>
      <c r="K40" s="242">
        <v>7</v>
      </c>
      <c r="L40" s="242">
        <v>7.5</v>
      </c>
      <c r="M40" s="242">
        <v>6.5</v>
      </c>
      <c r="N40" s="242">
        <v>8</v>
      </c>
      <c r="O40" s="308">
        <v>7</v>
      </c>
      <c r="P40" s="242">
        <v>6.5</v>
      </c>
      <c r="Q40" s="622">
        <v>7</v>
      </c>
      <c r="R40" s="242">
        <v>7.5</v>
      </c>
      <c r="S40" s="242">
        <v>8</v>
      </c>
      <c r="T40" s="242">
        <v>7</v>
      </c>
      <c r="U40" s="243">
        <f t="shared" si="3"/>
        <v>7.3</v>
      </c>
      <c r="V40" s="242"/>
      <c r="W40" s="242"/>
      <c r="X40" s="242"/>
      <c r="Y40" s="277"/>
      <c r="Z40" s="277"/>
      <c r="AA40" s="252"/>
      <c r="AB40" s="273"/>
      <c r="AC40" s="263" t="s">
        <v>883</v>
      </c>
      <c r="AD40" s="545"/>
      <c r="AE40" s="357">
        <f t="shared" si="2"/>
        <v>7.3</v>
      </c>
    </row>
    <row r="41" spans="1:31" s="368" customFormat="1" ht="16.5" customHeight="1" thickBot="1" x14ac:dyDescent="0.3">
      <c r="A41" s="359"/>
      <c r="B41" s="360"/>
      <c r="C41" s="361"/>
      <c r="D41" s="600"/>
      <c r="E41" s="365"/>
      <c r="F41" s="593"/>
      <c r="G41" s="365"/>
      <c r="H41" s="365"/>
      <c r="I41" s="365"/>
      <c r="J41" s="365"/>
      <c r="K41" s="365"/>
      <c r="L41" s="365"/>
      <c r="M41" s="365"/>
      <c r="N41" s="365"/>
      <c r="O41" s="365"/>
      <c r="P41" s="365"/>
      <c r="Q41" s="365"/>
      <c r="R41" s="365"/>
      <c r="S41" s="365"/>
      <c r="T41" s="365"/>
      <c r="U41" s="554"/>
      <c r="V41" s="365"/>
      <c r="W41" s="365"/>
      <c r="X41" s="365"/>
      <c r="Y41" s="365"/>
      <c r="Z41" s="365"/>
      <c r="AA41" s="365"/>
      <c r="AB41" s="591"/>
      <c r="AC41" s="601"/>
      <c r="AD41" s="602"/>
    </row>
    <row r="42" spans="1:31" s="368" customFormat="1" ht="19.5" thickTop="1" x14ac:dyDescent="0.3">
      <c r="A42" s="369"/>
      <c r="B42" s="369"/>
      <c r="C42" s="369"/>
      <c r="E42" s="369"/>
      <c r="F42" s="369"/>
      <c r="G42" s="369"/>
      <c r="H42" s="369"/>
      <c r="I42" s="369"/>
      <c r="J42" s="369"/>
      <c r="K42" s="369"/>
      <c r="L42" s="369"/>
      <c r="M42" s="369"/>
      <c r="N42" s="369"/>
      <c r="O42" s="369"/>
      <c r="P42" s="369"/>
      <c r="Q42" s="369"/>
      <c r="R42" s="369"/>
      <c r="S42" s="369"/>
      <c r="T42" s="369"/>
      <c r="U42" s="370"/>
      <c r="V42" s="371"/>
      <c r="W42" s="371"/>
      <c r="X42" s="371"/>
      <c r="Y42" s="369"/>
      <c r="Z42" s="369"/>
      <c r="AA42" s="369"/>
      <c r="AB42" s="372"/>
      <c r="AC42" s="369"/>
    </row>
    <row r="43" spans="1:31" s="368" customFormat="1" x14ac:dyDescent="0.3">
      <c r="A43" s="369"/>
      <c r="B43" s="369"/>
      <c r="C43" s="369"/>
      <c r="E43" s="369"/>
      <c r="F43" s="369"/>
      <c r="G43" s="369"/>
      <c r="H43" s="369"/>
      <c r="I43" s="369"/>
      <c r="J43" s="369"/>
      <c r="K43" s="369"/>
      <c r="L43" s="369"/>
      <c r="M43" s="369"/>
      <c r="N43" s="369"/>
      <c r="O43" s="369"/>
      <c r="P43" s="369"/>
      <c r="Q43" s="369"/>
      <c r="R43" s="369"/>
      <c r="S43" s="369"/>
      <c r="T43" s="369"/>
      <c r="U43" s="1065"/>
      <c r="V43" s="1065"/>
      <c r="W43" s="1065"/>
      <c r="X43" s="1065"/>
      <c r="Y43" s="1065"/>
      <c r="Z43" s="1065"/>
      <c r="AA43" s="1065"/>
      <c r="AB43" s="1065"/>
      <c r="AC43" s="1065"/>
    </row>
    <row r="44" spans="1:31" s="368" customFormat="1" x14ac:dyDescent="0.3">
      <c r="A44" s="369"/>
      <c r="B44" s="369"/>
      <c r="C44" s="369"/>
      <c r="E44" s="369"/>
      <c r="F44" s="369"/>
      <c r="G44" s="369"/>
      <c r="H44" s="369"/>
      <c r="I44" s="369"/>
      <c r="J44" s="369"/>
      <c r="K44" s="369"/>
      <c r="L44" s="369"/>
      <c r="M44" s="369"/>
      <c r="N44" s="369"/>
      <c r="O44" s="369"/>
      <c r="P44" s="369"/>
      <c r="Q44" s="369"/>
      <c r="R44" s="369"/>
      <c r="S44" s="369"/>
      <c r="T44" s="369"/>
      <c r="U44" s="1065"/>
      <c r="V44" s="1065"/>
      <c r="W44" s="1065"/>
      <c r="X44" s="371"/>
      <c r="Y44" s="369"/>
      <c r="Z44" s="369"/>
      <c r="AA44" s="369"/>
      <c r="AB44" s="372"/>
      <c r="AC44" s="369"/>
    </row>
    <row r="45" spans="1:31" s="368" customFormat="1" x14ac:dyDescent="0.3">
      <c r="A45" s="369"/>
      <c r="B45" s="369"/>
      <c r="C45" s="369"/>
      <c r="E45" s="369"/>
      <c r="F45" s="369"/>
      <c r="G45" s="369"/>
      <c r="H45" s="369"/>
      <c r="I45" s="369"/>
      <c r="J45" s="369"/>
      <c r="K45" s="369"/>
      <c r="L45" s="369"/>
      <c r="M45" s="369"/>
      <c r="N45" s="369"/>
      <c r="O45" s="369"/>
      <c r="P45" s="369"/>
      <c r="Q45" s="369"/>
      <c r="R45" s="369"/>
      <c r="S45" s="369"/>
      <c r="T45" s="369"/>
      <c r="U45" s="373"/>
      <c r="V45" s="374"/>
      <c r="W45" s="374"/>
      <c r="X45" s="371"/>
      <c r="Y45" s="369"/>
      <c r="Z45" s="369"/>
      <c r="AA45" s="369"/>
      <c r="AB45" s="372"/>
      <c r="AC45" s="369"/>
    </row>
    <row r="46" spans="1:31" s="368" customFormat="1" x14ac:dyDescent="0.3">
      <c r="A46" s="369"/>
      <c r="B46" s="369"/>
      <c r="C46" s="369"/>
      <c r="E46" s="369"/>
      <c r="F46" s="369"/>
      <c r="G46" s="369"/>
      <c r="H46" s="369"/>
      <c r="I46" s="369"/>
      <c r="J46" s="369"/>
      <c r="K46" s="369"/>
      <c r="L46" s="369"/>
      <c r="M46" s="369"/>
      <c r="N46" s="369"/>
      <c r="O46" s="369"/>
      <c r="P46" s="369"/>
      <c r="Q46" s="369"/>
      <c r="R46" s="369"/>
      <c r="S46" s="369"/>
      <c r="T46" s="369"/>
      <c r="U46" s="373"/>
      <c r="V46" s="374"/>
      <c r="W46" s="374"/>
      <c r="X46" s="371"/>
      <c r="Y46" s="369"/>
      <c r="Z46" s="369"/>
      <c r="AA46" s="369"/>
      <c r="AB46" s="372"/>
      <c r="AC46" s="369"/>
    </row>
    <row r="47" spans="1:31" s="368" customFormat="1" x14ac:dyDescent="0.3">
      <c r="A47" s="369"/>
      <c r="B47" s="369"/>
      <c r="C47" s="369"/>
      <c r="E47" s="369"/>
      <c r="F47" s="369"/>
      <c r="G47" s="369"/>
      <c r="H47" s="369"/>
      <c r="I47" s="369"/>
      <c r="J47" s="369"/>
      <c r="K47" s="369"/>
      <c r="L47" s="369"/>
      <c r="M47" s="369"/>
      <c r="N47" s="369"/>
      <c r="O47" s="369"/>
      <c r="P47" s="369"/>
      <c r="Q47" s="369"/>
      <c r="R47" s="369"/>
      <c r="S47" s="369"/>
      <c r="T47" s="369"/>
      <c r="U47" s="1066"/>
      <c r="V47" s="1066"/>
      <c r="W47" s="1066"/>
      <c r="X47" s="371"/>
      <c r="Y47" s="369"/>
      <c r="Z47" s="369"/>
      <c r="AA47" s="369"/>
      <c r="AB47" s="372"/>
      <c r="AC47" s="369"/>
    </row>
    <row r="48" spans="1:31" s="368" customFormat="1" ht="18" x14ac:dyDescent="0.25">
      <c r="A48" s="369"/>
      <c r="B48" s="369"/>
      <c r="C48" s="369"/>
      <c r="E48" s="369"/>
      <c r="F48" s="369"/>
      <c r="G48" s="369"/>
      <c r="H48" s="369"/>
      <c r="I48" s="369"/>
      <c r="J48" s="369"/>
      <c r="K48" s="369"/>
      <c r="L48" s="369"/>
      <c r="M48" s="369"/>
      <c r="N48" s="369"/>
      <c r="O48" s="369"/>
      <c r="P48" s="369"/>
      <c r="Q48" s="369"/>
      <c r="R48" s="369"/>
      <c r="S48" s="369"/>
      <c r="T48" s="369"/>
      <c r="U48" s="1064"/>
      <c r="V48" s="1064"/>
      <c r="W48" s="1064"/>
      <c r="X48" s="1064"/>
      <c r="Y48" s="1064"/>
      <c r="Z48" s="1064"/>
      <c r="AA48" s="1064"/>
      <c r="AB48" s="1064"/>
      <c r="AC48" s="1064"/>
    </row>
    <row r="49" spans="1:29" x14ac:dyDescent="0.3">
      <c r="A49" s="236"/>
      <c r="B49" s="236"/>
      <c r="C49" s="236"/>
      <c r="D49" s="3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V49" s="20"/>
      <c r="W49" s="20"/>
      <c r="X49" s="20"/>
      <c r="Y49" s="236"/>
      <c r="Z49" s="236"/>
      <c r="AA49" s="236"/>
      <c r="AB49" s="14"/>
      <c r="AC49" s="236"/>
    </row>
    <row r="50" spans="1:29" x14ac:dyDescent="0.3">
      <c r="A50" s="236"/>
      <c r="B50" s="236"/>
      <c r="C50" s="236"/>
      <c r="D50" s="3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V50" s="20"/>
      <c r="W50" s="20"/>
      <c r="X50" s="20"/>
      <c r="Y50" s="236"/>
      <c r="Z50" s="236"/>
      <c r="AA50" s="236"/>
      <c r="AB50" s="14"/>
      <c r="AC50" s="236"/>
    </row>
    <row r="51" spans="1:29" x14ac:dyDescent="0.3">
      <c r="A51" s="236"/>
      <c r="B51" s="236"/>
      <c r="C51" s="236"/>
      <c r="D51" s="3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V51" s="20"/>
      <c r="W51" s="20"/>
      <c r="X51" s="20"/>
      <c r="Y51" s="236"/>
      <c r="Z51" s="236"/>
      <c r="AA51" s="236"/>
      <c r="AB51" s="14"/>
      <c r="AC51" s="236"/>
    </row>
    <row r="52" spans="1:29" x14ac:dyDescent="0.3">
      <c r="A52" s="236"/>
      <c r="B52" s="236"/>
      <c r="C52" s="236"/>
      <c r="D52" s="3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V52" s="20"/>
      <c r="W52" s="20"/>
      <c r="X52" s="20"/>
      <c r="Y52" s="236"/>
      <c r="Z52" s="236"/>
      <c r="AA52" s="236"/>
      <c r="AB52" s="14"/>
      <c r="AC52" s="236"/>
    </row>
    <row r="53" spans="1:29" x14ac:dyDescent="0.3">
      <c r="A53" s="236"/>
      <c r="B53" s="236"/>
      <c r="C53" s="236"/>
      <c r="D53" s="3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V53" s="20"/>
      <c r="W53" s="20"/>
      <c r="X53" s="20"/>
      <c r="Y53" s="236"/>
      <c r="Z53" s="236"/>
      <c r="AA53" s="236"/>
      <c r="AB53" s="14"/>
      <c r="AC53" s="236"/>
    </row>
  </sheetData>
  <autoFilter ref="U8:AD40">
    <filterColumn colId="1" showButton="0"/>
    <filterColumn colId="2" showButton="0"/>
    <filterColumn colId="3" showButton="0"/>
  </autoFilter>
  <mergeCells count="19">
    <mergeCell ref="E2:AC2"/>
    <mergeCell ref="E3:AC3"/>
    <mergeCell ref="E4:AC4"/>
    <mergeCell ref="E5:AL5"/>
    <mergeCell ref="A8:A9"/>
    <mergeCell ref="B8:C9"/>
    <mergeCell ref="D8:D9"/>
    <mergeCell ref="E8:E9"/>
    <mergeCell ref="F8:R8"/>
    <mergeCell ref="U8:U9"/>
    <mergeCell ref="U44:W44"/>
    <mergeCell ref="U47:W47"/>
    <mergeCell ref="U48:AC48"/>
    <mergeCell ref="V8:Y8"/>
    <mergeCell ref="Z8:Z9"/>
    <mergeCell ref="AA8:AA9"/>
    <mergeCell ref="AB8:AB9"/>
    <mergeCell ref="AC8:AC9"/>
    <mergeCell ref="U43:AC43"/>
  </mergeCells>
  <printOptions horizontalCentered="1"/>
  <pageMargins left="0.71" right="0.16" top="0.27" bottom="0.31" header="0.23" footer="0.27"/>
  <pageSetup scale="98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AJ65"/>
  <sheetViews>
    <sheetView topLeftCell="C6" zoomScale="120" zoomScaleNormal="120" workbookViewId="0">
      <selection activeCell="K17" sqref="K17"/>
    </sheetView>
  </sheetViews>
  <sheetFormatPr defaultRowHeight="18.75" x14ac:dyDescent="0.3"/>
  <cols>
    <col min="1" max="1" width="3.09765625" style="1" customWidth="1"/>
    <col min="2" max="2" width="4.3984375" style="1" customWidth="1"/>
    <col min="3" max="3" width="4.5" style="1" customWidth="1"/>
    <col min="4" max="4" width="15.296875" customWidth="1"/>
    <col min="5" max="5" width="7.5" style="1" customWidth="1"/>
    <col min="6" max="11" width="2.796875" style="1" customWidth="1"/>
    <col min="12" max="12" width="2.796875" style="237" customWidth="1"/>
    <col min="13" max="13" width="2.796875" style="1" customWidth="1"/>
    <col min="14" max="14" width="2.796875" style="237" customWidth="1"/>
    <col min="15" max="17" width="2.796875" style="1" customWidth="1"/>
    <col min="18" max="18" width="4.8984375" style="25" customWidth="1"/>
    <col min="19" max="21" width="2.19921875" style="22" hidden="1" customWidth="1"/>
    <col min="22" max="23" width="3.3984375" style="1" hidden="1" customWidth="1"/>
    <col min="24" max="24" width="4" style="1" customWidth="1"/>
    <col min="25" max="25" width="4.3984375" style="15" hidden="1" customWidth="1"/>
    <col min="26" max="26" width="24.5" style="1" customWidth="1"/>
    <col min="27" max="27" width="4.19921875" customWidth="1"/>
    <col min="28" max="28" width="6.3984375" customWidth="1"/>
  </cols>
  <sheetData>
    <row r="1" spans="1:36" ht="6.75" customHeight="1" x14ac:dyDescent="0.3">
      <c r="R1" s="5"/>
    </row>
    <row r="2" spans="1:36" s="6" customFormat="1" ht="17.25" x14ac:dyDescent="0.3">
      <c r="B2" s="8"/>
      <c r="C2" s="8"/>
      <c r="D2" s="8"/>
      <c r="E2" s="1199" t="s">
        <v>30</v>
      </c>
      <c r="F2" s="1199"/>
      <c r="G2" s="1199"/>
      <c r="H2" s="1199"/>
      <c r="I2" s="1199"/>
      <c r="J2" s="1199"/>
      <c r="K2" s="1199"/>
      <c r="L2" s="1199"/>
      <c r="M2" s="1199"/>
      <c r="N2" s="1199"/>
      <c r="O2" s="1199"/>
      <c r="P2" s="1199"/>
      <c r="Q2" s="1199"/>
      <c r="R2" s="1199"/>
      <c r="S2" s="1199"/>
      <c r="T2" s="1199"/>
      <c r="U2" s="1199"/>
      <c r="V2" s="1199"/>
      <c r="W2" s="1199"/>
      <c r="X2" s="1199"/>
      <c r="Y2" s="1199"/>
      <c r="Z2" s="1199"/>
    </row>
    <row r="3" spans="1:36" s="6" customFormat="1" ht="15.75" x14ac:dyDescent="0.25">
      <c r="B3" s="10"/>
      <c r="C3" s="10"/>
      <c r="D3" s="10"/>
      <c r="E3" s="1200" t="s">
        <v>487</v>
      </c>
      <c r="F3" s="1200"/>
      <c r="G3" s="1200"/>
      <c r="H3" s="1200"/>
      <c r="I3" s="1200"/>
      <c r="J3" s="1200"/>
      <c r="K3" s="1200"/>
      <c r="L3" s="1200"/>
      <c r="M3" s="1200"/>
      <c r="N3" s="1200"/>
      <c r="O3" s="1200"/>
      <c r="P3" s="1200"/>
      <c r="Q3" s="1200"/>
      <c r="R3" s="1200"/>
      <c r="S3" s="1200"/>
      <c r="T3" s="1200"/>
      <c r="U3" s="1200"/>
      <c r="V3" s="1200"/>
      <c r="W3" s="1200"/>
      <c r="X3" s="1200"/>
      <c r="Y3" s="1200"/>
      <c r="Z3" s="1200"/>
    </row>
    <row r="4" spans="1:36" s="6" customFormat="1" ht="15.75" hidden="1" x14ac:dyDescent="0.25">
      <c r="B4" s="11"/>
      <c r="C4" s="11"/>
      <c r="D4" s="11"/>
      <c r="E4" s="1201" t="s">
        <v>28</v>
      </c>
      <c r="F4" s="1201"/>
      <c r="G4" s="1201"/>
      <c r="H4" s="1201"/>
      <c r="I4" s="1201"/>
      <c r="J4" s="1201"/>
      <c r="K4" s="1201"/>
      <c r="L4" s="1201"/>
      <c r="M4" s="1201"/>
      <c r="N4" s="1201"/>
      <c r="O4" s="1201"/>
      <c r="P4" s="1201"/>
      <c r="Q4" s="1201"/>
      <c r="R4" s="1201"/>
      <c r="S4" s="1201"/>
      <c r="T4" s="1201"/>
      <c r="U4" s="1201"/>
      <c r="V4" s="1201"/>
      <c r="W4" s="1201"/>
      <c r="X4" s="1201"/>
      <c r="Y4" s="1201"/>
      <c r="Z4" s="1201"/>
    </row>
    <row r="5" spans="1:36" s="6" customFormat="1" ht="15.75" customHeight="1" x14ac:dyDescent="0.25">
      <c r="B5" s="10"/>
      <c r="C5" s="10"/>
      <c r="D5" s="10"/>
      <c r="E5" s="1202" t="s">
        <v>475</v>
      </c>
      <c r="F5" s="1202"/>
      <c r="G5" s="1202"/>
      <c r="H5" s="1202"/>
      <c r="I5" s="1202"/>
      <c r="J5" s="1202"/>
      <c r="K5" s="1202"/>
      <c r="L5" s="1202"/>
      <c r="M5" s="1202"/>
      <c r="N5" s="1202"/>
      <c r="O5" s="1202"/>
      <c r="P5" s="1202"/>
      <c r="Q5" s="1202"/>
      <c r="R5" s="1202"/>
      <c r="S5" s="1202"/>
      <c r="T5" s="1202"/>
      <c r="U5" s="1202"/>
      <c r="V5" s="1202"/>
      <c r="W5" s="1202"/>
      <c r="X5" s="1202"/>
      <c r="Y5" s="1202"/>
      <c r="Z5" s="1202"/>
      <c r="AA5" s="1202"/>
      <c r="AB5" s="1202"/>
      <c r="AC5" s="1202"/>
      <c r="AD5" s="1202"/>
      <c r="AE5" s="1202"/>
      <c r="AF5" s="1202"/>
      <c r="AG5" s="1202"/>
      <c r="AH5" s="1202"/>
      <c r="AI5" s="1202"/>
      <c r="AJ5" s="1202"/>
    </row>
    <row r="6" spans="1:36" ht="8.25" customHeight="1" thickBot="1" x14ac:dyDescent="0.3">
      <c r="A6" s="2"/>
      <c r="B6" s="2"/>
      <c r="C6" s="2"/>
      <c r="D6" s="2"/>
      <c r="E6" s="47"/>
      <c r="F6" s="216"/>
      <c r="G6" s="216"/>
      <c r="H6" s="216"/>
      <c r="I6" s="216"/>
      <c r="J6" s="216"/>
      <c r="K6" s="216"/>
      <c r="L6" s="239"/>
      <c r="M6" s="216"/>
      <c r="N6" s="239"/>
      <c r="O6" s="216"/>
      <c r="P6" s="216"/>
      <c r="Q6" s="216"/>
      <c r="R6" s="234"/>
      <c r="S6" s="19"/>
      <c r="T6" s="19"/>
      <c r="U6" s="19"/>
      <c r="V6" s="2"/>
      <c r="W6" s="2"/>
      <c r="X6" s="2"/>
      <c r="Y6" s="2"/>
      <c r="Z6" s="2"/>
      <c r="AA6" s="112"/>
      <c r="AB6" t="s">
        <v>94</v>
      </c>
    </row>
    <row r="7" spans="1:36" s="351" customFormat="1" ht="23.25" customHeight="1" thickTop="1" x14ac:dyDescent="0.2">
      <c r="A7" s="1268" t="s">
        <v>94</v>
      </c>
      <c r="B7" s="1270" t="s">
        <v>106</v>
      </c>
      <c r="C7" s="1271"/>
      <c r="D7" s="1274" t="s">
        <v>92</v>
      </c>
      <c r="E7" s="1289" t="s">
        <v>93</v>
      </c>
      <c r="F7" s="1261" t="s">
        <v>128</v>
      </c>
      <c r="G7" s="1262"/>
      <c r="H7" s="1262"/>
      <c r="I7" s="1262"/>
      <c r="J7" s="1262"/>
      <c r="K7" s="1262"/>
      <c r="L7" s="1262"/>
      <c r="M7" s="1262"/>
      <c r="N7" s="1262"/>
      <c r="O7" s="1262"/>
      <c r="P7" s="1262"/>
      <c r="Q7" s="671"/>
      <c r="R7" s="1277" t="s">
        <v>102</v>
      </c>
      <c r="S7" s="1261" t="s">
        <v>104</v>
      </c>
      <c r="T7" s="1262"/>
      <c r="U7" s="1262"/>
      <c r="V7" s="1263"/>
      <c r="W7" s="1264" t="s">
        <v>99</v>
      </c>
      <c r="X7" s="1264" t="s">
        <v>100</v>
      </c>
      <c r="Y7" s="1050" t="s">
        <v>103</v>
      </c>
      <c r="Z7" s="1266" t="s">
        <v>90</v>
      </c>
    </row>
    <row r="8" spans="1:36" s="351" customFormat="1" ht="114" customHeight="1" x14ac:dyDescent="0.2">
      <c r="A8" s="1269"/>
      <c r="B8" s="1299"/>
      <c r="C8" s="1297"/>
      <c r="D8" s="1275"/>
      <c r="E8" s="1275"/>
      <c r="F8" s="323" t="s">
        <v>42</v>
      </c>
      <c r="G8" s="279" t="s">
        <v>330</v>
      </c>
      <c r="H8" s="323" t="s">
        <v>327</v>
      </c>
      <c r="I8" s="576" t="s">
        <v>40</v>
      </c>
      <c r="J8" s="323" t="s">
        <v>41</v>
      </c>
      <c r="K8" s="323" t="s">
        <v>31</v>
      </c>
      <c r="L8" s="413" t="s">
        <v>458</v>
      </c>
      <c r="M8" s="323" t="s">
        <v>112</v>
      </c>
      <c r="N8" s="323" t="s">
        <v>133</v>
      </c>
      <c r="O8" s="415" t="s">
        <v>96</v>
      </c>
      <c r="P8" s="278" t="s">
        <v>328</v>
      </c>
      <c r="Q8" s="413" t="s">
        <v>459</v>
      </c>
      <c r="R8" s="1292"/>
      <c r="S8" s="323" t="s">
        <v>108</v>
      </c>
      <c r="T8" s="323" t="s">
        <v>97</v>
      </c>
      <c r="U8" s="323" t="s">
        <v>96</v>
      </c>
      <c r="V8" s="324" t="s">
        <v>98</v>
      </c>
      <c r="W8" s="1265"/>
      <c r="X8" s="1265"/>
      <c r="Y8" s="1051"/>
      <c r="Z8" s="1267"/>
      <c r="AA8" s="351" t="s">
        <v>94</v>
      </c>
    </row>
    <row r="9" spans="1:36" s="256" customFormat="1" ht="18" customHeight="1" x14ac:dyDescent="0.2">
      <c r="A9" s="285">
        <v>1</v>
      </c>
      <c r="B9" s="245" t="s">
        <v>25</v>
      </c>
      <c r="C9" s="246">
        <v>2022</v>
      </c>
      <c r="D9" s="264" t="s">
        <v>1732</v>
      </c>
      <c r="E9" s="420" t="s">
        <v>256</v>
      </c>
      <c r="F9" s="377">
        <v>7.5</v>
      </c>
      <c r="G9" s="266">
        <v>7</v>
      </c>
      <c r="H9" s="377">
        <v>7</v>
      </c>
      <c r="I9" s="377">
        <v>6.5</v>
      </c>
      <c r="J9" s="377">
        <v>7</v>
      </c>
      <c r="K9" s="377">
        <v>7</v>
      </c>
      <c r="L9" s="377">
        <v>7</v>
      </c>
      <c r="M9" s="377">
        <v>8</v>
      </c>
      <c r="N9" s="377">
        <v>6</v>
      </c>
      <c r="O9" s="377">
        <v>7</v>
      </c>
      <c r="P9" s="377">
        <v>7</v>
      </c>
      <c r="Q9" s="377">
        <v>6.5</v>
      </c>
      <c r="R9" s="243">
        <f>SUM(F9:Q9)/12</f>
        <v>6.958333333333333</v>
      </c>
      <c r="S9" s="377"/>
      <c r="T9" s="377"/>
      <c r="U9" s="377"/>
      <c r="V9" s="421">
        <f>SUM(S9:U9)/3</f>
        <v>0</v>
      </c>
      <c r="W9" s="421">
        <f>SUM(R9+V9)/2</f>
        <v>3.4791666666666665</v>
      </c>
      <c r="X9" s="252"/>
      <c r="Y9" s="358"/>
      <c r="Z9" s="261" t="s">
        <v>1775</v>
      </c>
      <c r="AA9" s="255"/>
      <c r="AB9" s="628">
        <f t="shared" ref="AB9:AB47" si="0">AVERAGE(F9:Q9)</f>
        <v>6.958333333333333</v>
      </c>
    </row>
    <row r="10" spans="1:36" s="256" customFormat="1" ht="18" customHeight="1" x14ac:dyDescent="0.2">
      <c r="A10" s="287">
        <v>2</v>
      </c>
      <c r="B10" s="245"/>
      <c r="C10" s="246">
        <v>2022</v>
      </c>
      <c r="D10" s="269" t="s">
        <v>1733</v>
      </c>
      <c r="E10" s="294" t="s">
        <v>287</v>
      </c>
      <c r="F10" s="242">
        <v>7</v>
      </c>
      <c r="G10" s="242">
        <v>8</v>
      </c>
      <c r="H10" s="242">
        <v>7</v>
      </c>
      <c r="I10" s="242">
        <v>8</v>
      </c>
      <c r="J10" s="242">
        <v>6</v>
      </c>
      <c r="K10" s="242">
        <v>6.5</v>
      </c>
      <c r="L10" s="242">
        <v>7</v>
      </c>
      <c r="M10" s="242">
        <v>8</v>
      </c>
      <c r="N10" s="242">
        <v>7</v>
      </c>
      <c r="O10" s="242">
        <v>7.5</v>
      </c>
      <c r="P10" s="242">
        <v>6</v>
      </c>
      <c r="Q10" s="242">
        <v>6.5</v>
      </c>
      <c r="R10" s="243">
        <f>SUM(F10:Q10)/12</f>
        <v>7.041666666666667</v>
      </c>
      <c r="S10" s="242"/>
      <c r="T10" s="242"/>
      <c r="U10" s="242"/>
      <c r="V10" s="277">
        <f>SUM(S10:U10)/3</f>
        <v>0</v>
      </c>
      <c r="W10" s="277">
        <f>SUM(R10+V10)/2</f>
        <v>3.5208333333333335</v>
      </c>
      <c r="X10" s="252"/>
      <c r="Y10" s="358"/>
      <c r="Z10" s="261" t="s">
        <v>219</v>
      </c>
      <c r="AA10" s="255"/>
      <c r="AB10" s="357">
        <f t="shared" si="0"/>
        <v>7.041666666666667</v>
      </c>
    </row>
    <row r="11" spans="1:36" s="256" customFormat="1" ht="18" customHeight="1" x14ac:dyDescent="0.2">
      <c r="A11" s="287">
        <v>3</v>
      </c>
      <c r="B11" s="245"/>
      <c r="C11" s="246">
        <v>2022</v>
      </c>
      <c r="D11" s="315" t="s">
        <v>1734</v>
      </c>
      <c r="E11" s="316" t="s">
        <v>1735</v>
      </c>
      <c r="F11" s="268">
        <v>7</v>
      </c>
      <c r="G11" s="268">
        <v>7.5</v>
      </c>
      <c r="H11" s="268">
        <v>7</v>
      </c>
      <c r="I11" s="268">
        <v>8</v>
      </c>
      <c r="J11" s="268">
        <v>6</v>
      </c>
      <c r="K11" s="268">
        <v>7.5</v>
      </c>
      <c r="L11" s="268">
        <v>7.5</v>
      </c>
      <c r="M11" s="268">
        <v>7.5</v>
      </c>
      <c r="N11" s="268">
        <v>5</v>
      </c>
      <c r="O11" s="268">
        <v>7.5</v>
      </c>
      <c r="P11" s="268">
        <v>7.5</v>
      </c>
      <c r="Q11" s="268">
        <v>7</v>
      </c>
      <c r="R11" s="243">
        <f t="shared" ref="R11:R47" si="1">SUM(F11:Q11)/12</f>
        <v>7.083333333333333</v>
      </c>
      <c r="S11" s="268"/>
      <c r="T11" s="268"/>
      <c r="U11" s="268"/>
      <c r="V11" s="243">
        <f>SUM(S11:U11)/3</f>
        <v>0</v>
      </c>
      <c r="W11" s="243">
        <f>SUM(R11+V11)/2</f>
        <v>3.5416666666666665</v>
      </c>
      <c r="X11" s="252"/>
      <c r="Y11" s="358"/>
      <c r="Z11" s="261" t="s">
        <v>187</v>
      </c>
      <c r="AA11" s="255"/>
      <c r="AB11" s="357">
        <f t="shared" si="0"/>
        <v>7.083333333333333</v>
      </c>
    </row>
    <row r="12" spans="1:36" s="256" customFormat="1" ht="18" customHeight="1" x14ac:dyDescent="0.2">
      <c r="A12" s="287">
        <v>4</v>
      </c>
      <c r="B12" s="245"/>
      <c r="C12" s="246">
        <v>2022</v>
      </c>
      <c r="D12" s="315" t="s">
        <v>1736</v>
      </c>
      <c r="E12" s="316" t="s">
        <v>1737</v>
      </c>
      <c r="F12" s="268">
        <v>7</v>
      </c>
      <c r="G12" s="268">
        <v>7</v>
      </c>
      <c r="H12" s="268">
        <v>8</v>
      </c>
      <c r="I12" s="268">
        <v>8</v>
      </c>
      <c r="J12" s="268">
        <v>8</v>
      </c>
      <c r="K12" s="268">
        <v>7.5</v>
      </c>
      <c r="L12" s="268">
        <v>7</v>
      </c>
      <c r="M12" s="268">
        <v>8</v>
      </c>
      <c r="N12" s="268">
        <v>7</v>
      </c>
      <c r="O12" s="268">
        <v>7.5</v>
      </c>
      <c r="P12" s="268">
        <v>7</v>
      </c>
      <c r="Q12" s="268">
        <v>6.5</v>
      </c>
      <c r="R12" s="243">
        <f t="shared" si="1"/>
        <v>7.375</v>
      </c>
      <c r="S12" s="268"/>
      <c r="T12" s="268"/>
      <c r="U12" s="268"/>
      <c r="V12" s="243"/>
      <c r="W12" s="243"/>
      <c r="X12" s="252"/>
      <c r="Y12" s="358"/>
      <c r="Z12" s="261" t="s">
        <v>187</v>
      </c>
      <c r="AA12" s="255"/>
      <c r="AB12" s="357">
        <f t="shared" si="0"/>
        <v>7.375</v>
      </c>
    </row>
    <row r="13" spans="1:36" s="256" customFormat="1" ht="18" customHeight="1" x14ac:dyDescent="0.2">
      <c r="A13" s="287">
        <v>5</v>
      </c>
      <c r="B13" s="245"/>
      <c r="C13" s="246">
        <v>2022</v>
      </c>
      <c r="D13" s="315" t="s">
        <v>1738</v>
      </c>
      <c r="E13" s="316" t="s">
        <v>1391</v>
      </c>
      <c r="F13" s="268">
        <v>8</v>
      </c>
      <c r="G13" s="268">
        <v>7</v>
      </c>
      <c r="H13" s="268">
        <v>7</v>
      </c>
      <c r="I13" s="268">
        <v>8</v>
      </c>
      <c r="J13" s="268">
        <v>7</v>
      </c>
      <c r="K13" s="268">
        <v>7</v>
      </c>
      <c r="L13" s="268">
        <v>7.5</v>
      </c>
      <c r="M13" s="268">
        <v>7.5</v>
      </c>
      <c r="N13" s="268">
        <v>6</v>
      </c>
      <c r="O13" s="268">
        <v>7</v>
      </c>
      <c r="P13" s="268">
        <v>6.5</v>
      </c>
      <c r="Q13" s="268">
        <v>7</v>
      </c>
      <c r="R13" s="243">
        <f t="shared" si="1"/>
        <v>7.125</v>
      </c>
      <c r="S13" s="268"/>
      <c r="T13" s="268"/>
      <c r="U13" s="268"/>
      <c r="V13" s="243"/>
      <c r="W13" s="243"/>
      <c r="X13" s="252"/>
      <c r="Y13" s="358"/>
      <c r="Z13" s="261" t="s">
        <v>214</v>
      </c>
      <c r="AA13" s="255"/>
      <c r="AB13" s="357">
        <f t="shared" si="0"/>
        <v>7.125</v>
      </c>
    </row>
    <row r="14" spans="1:36" s="256" customFormat="1" ht="18" customHeight="1" x14ac:dyDescent="0.2">
      <c r="A14" s="287">
        <v>6</v>
      </c>
      <c r="B14" s="245"/>
      <c r="C14" s="246">
        <v>2022</v>
      </c>
      <c r="D14" s="315" t="s">
        <v>1739</v>
      </c>
      <c r="E14" s="316" t="s">
        <v>1740</v>
      </c>
      <c r="F14" s="268">
        <v>6.5</v>
      </c>
      <c r="G14" s="268">
        <v>6.4</v>
      </c>
      <c r="H14" s="268">
        <v>7.5</v>
      </c>
      <c r="I14" s="268">
        <v>8</v>
      </c>
      <c r="J14" s="268">
        <v>7</v>
      </c>
      <c r="K14" s="268">
        <v>7.5</v>
      </c>
      <c r="L14" s="268">
        <v>7.5</v>
      </c>
      <c r="M14" s="268">
        <v>8</v>
      </c>
      <c r="N14" s="268">
        <v>7</v>
      </c>
      <c r="O14" s="268">
        <v>7.5</v>
      </c>
      <c r="P14" s="268">
        <v>7</v>
      </c>
      <c r="Q14" s="268">
        <v>7.5</v>
      </c>
      <c r="R14" s="243">
        <f t="shared" si="1"/>
        <v>7.2833333333333341</v>
      </c>
      <c r="S14" s="268"/>
      <c r="T14" s="268"/>
      <c r="U14" s="268"/>
      <c r="V14" s="243"/>
      <c r="W14" s="243"/>
      <c r="X14" s="252"/>
      <c r="Y14" s="358"/>
      <c r="Z14" s="261" t="s">
        <v>268</v>
      </c>
      <c r="AA14" s="255"/>
      <c r="AB14" s="357">
        <f t="shared" si="0"/>
        <v>7.2833333333333341</v>
      </c>
    </row>
    <row r="15" spans="1:36" s="256" customFormat="1" ht="18" customHeight="1" x14ac:dyDescent="0.2">
      <c r="A15" s="287">
        <v>7</v>
      </c>
      <c r="B15" s="245"/>
      <c r="C15" s="246">
        <v>2022</v>
      </c>
      <c r="D15" s="315" t="s">
        <v>1741</v>
      </c>
      <c r="E15" s="316" t="s">
        <v>660</v>
      </c>
      <c r="F15" s="268">
        <v>6</v>
      </c>
      <c r="G15" s="268">
        <v>6.5</v>
      </c>
      <c r="H15" s="268">
        <v>7.5</v>
      </c>
      <c r="I15" s="268">
        <v>7.5</v>
      </c>
      <c r="J15" s="268">
        <v>8</v>
      </c>
      <c r="K15" s="268">
        <v>8</v>
      </c>
      <c r="L15" s="268">
        <v>6.5</v>
      </c>
      <c r="M15" s="268">
        <v>8</v>
      </c>
      <c r="N15" s="268">
        <v>7</v>
      </c>
      <c r="O15" s="268">
        <v>6.5</v>
      </c>
      <c r="P15" s="268">
        <v>7.5</v>
      </c>
      <c r="Q15" s="268">
        <v>7</v>
      </c>
      <c r="R15" s="243">
        <f t="shared" si="1"/>
        <v>7.166666666666667</v>
      </c>
      <c r="S15" s="268"/>
      <c r="T15" s="268"/>
      <c r="U15" s="268"/>
      <c r="V15" s="243"/>
      <c r="W15" s="243"/>
      <c r="X15" s="252"/>
      <c r="Y15" s="358"/>
      <c r="Z15" s="261" t="s">
        <v>666</v>
      </c>
      <c r="AA15" s="255"/>
      <c r="AB15" s="357">
        <f t="shared" si="0"/>
        <v>7.166666666666667</v>
      </c>
    </row>
    <row r="16" spans="1:36" s="256" customFormat="1" ht="18" customHeight="1" x14ac:dyDescent="0.2">
      <c r="A16" s="287">
        <v>8</v>
      </c>
      <c r="B16" s="245"/>
      <c r="C16" s="246">
        <v>2022</v>
      </c>
      <c r="D16" s="315" t="s">
        <v>1742</v>
      </c>
      <c r="E16" s="316" t="s">
        <v>1743</v>
      </c>
      <c r="F16" s="268">
        <v>7.5</v>
      </c>
      <c r="G16" s="268">
        <v>7.9</v>
      </c>
      <c r="H16" s="268">
        <v>6.5</v>
      </c>
      <c r="I16" s="268">
        <v>8</v>
      </c>
      <c r="J16" s="268">
        <v>7.5</v>
      </c>
      <c r="K16" s="268">
        <v>7</v>
      </c>
      <c r="L16" s="268">
        <v>7</v>
      </c>
      <c r="M16" s="268">
        <v>6.5</v>
      </c>
      <c r="N16" s="268">
        <v>5</v>
      </c>
      <c r="O16" s="268">
        <v>7</v>
      </c>
      <c r="P16" s="268">
        <v>7</v>
      </c>
      <c r="Q16" s="268">
        <v>7</v>
      </c>
      <c r="R16" s="243">
        <f t="shared" si="1"/>
        <v>6.9916666666666671</v>
      </c>
      <c r="S16" s="268"/>
      <c r="T16" s="268"/>
      <c r="U16" s="268"/>
      <c r="V16" s="243"/>
      <c r="W16" s="243"/>
      <c r="X16" s="252"/>
      <c r="Y16" s="358"/>
      <c r="Z16" s="261" t="s">
        <v>235</v>
      </c>
      <c r="AA16" s="255"/>
      <c r="AB16" s="628">
        <f t="shared" si="0"/>
        <v>6.9916666666666671</v>
      </c>
    </row>
    <row r="17" spans="1:28" s="256" customFormat="1" ht="18" customHeight="1" x14ac:dyDescent="0.2">
      <c r="A17" s="287">
        <v>9</v>
      </c>
      <c r="B17" s="245"/>
      <c r="C17" s="246">
        <v>2022</v>
      </c>
      <c r="D17" s="315" t="s">
        <v>1744</v>
      </c>
      <c r="E17" s="316" t="s">
        <v>233</v>
      </c>
      <c r="F17" s="268">
        <v>6.5</v>
      </c>
      <c r="G17" s="268">
        <v>8</v>
      </c>
      <c r="H17" s="268">
        <v>6.5</v>
      </c>
      <c r="I17" s="268">
        <v>7</v>
      </c>
      <c r="J17" s="268">
        <v>7</v>
      </c>
      <c r="K17" s="268">
        <v>7</v>
      </c>
      <c r="L17" s="268">
        <v>6.5</v>
      </c>
      <c r="M17" s="268">
        <v>7.5</v>
      </c>
      <c r="N17" s="268">
        <v>6</v>
      </c>
      <c r="O17" s="268">
        <v>7</v>
      </c>
      <c r="P17" s="268">
        <v>7</v>
      </c>
      <c r="Q17" s="268">
        <v>7</v>
      </c>
      <c r="R17" s="243">
        <f t="shared" si="1"/>
        <v>6.916666666666667</v>
      </c>
      <c r="S17" s="268"/>
      <c r="T17" s="268"/>
      <c r="U17" s="268"/>
      <c r="V17" s="243"/>
      <c r="W17" s="243"/>
      <c r="X17" s="252"/>
      <c r="Y17" s="358"/>
      <c r="Z17" s="261" t="s">
        <v>15</v>
      </c>
      <c r="AA17" s="255"/>
      <c r="AB17" s="628">
        <f t="shared" si="0"/>
        <v>6.916666666666667</v>
      </c>
    </row>
    <row r="18" spans="1:28" s="256" customFormat="1" ht="18" customHeight="1" x14ac:dyDescent="0.2">
      <c r="A18" s="287">
        <v>10</v>
      </c>
      <c r="B18" s="245"/>
      <c r="C18" s="246">
        <v>2022</v>
      </c>
      <c r="D18" s="315" t="s">
        <v>851</v>
      </c>
      <c r="E18" s="316" t="s">
        <v>256</v>
      </c>
      <c r="F18" s="268">
        <v>7</v>
      </c>
      <c r="G18" s="268">
        <v>7</v>
      </c>
      <c r="H18" s="268">
        <v>6</v>
      </c>
      <c r="I18" s="268">
        <v>7.5</v>
      </c>
      <c r="J18" s="268">
        <v>7</v>
      </c>
      <c r="K18" s="268">
        <v>6.5</v>
      </c>
      <c r="L18" s="268">
        <v>7.5</v>
      </c>
      <c r="M18" s="268">
        <v>8</v>
      </c>
      <c r="N18" s="268">
        <v>6</v>
      </c>
      <c r="O18" s="268">
        <v>7.5</v>
      </c>
      <c r="P18" s="268">
        <v>7</v>
      </c>
      <c r="Q18" s="268">
        <v>8</v>
      </c>
      <c r="R18" s="243">
        <f t="shared" si="1"/>
        <v>7.083333333333333</v>
      </c>
      <c r="S18" s="268"/>
      <c r="T18" s="268"/>
      <c r="U18" s="268"/>
      <c r="V18" s="243"/>
      <c r="W18" s="243"/>
      <c r="X18" s="252"/>
      <c r="Y18" s="358"/>
      <c r="Z18" s="261" t="s">
        <v>193</v>
      </c>
      <c r="AA18" s="255"/>
      <c r="AB18" s="357">
        <f t="shared" si="0"/>
        <v>7.083333333333333</v>
      </c>
    </row>
    <row r="19" spans="1:28" s="256" customFormat="1" ht="18" customHeight="1" x14ac:dyDescent="0.2">
      <c r="A19" s="287">
        <v>11</v>
      </c>
      <c r="B19" s="245"/>
      <c r="C19" s="246">
        <v>2022</v>
      </c>
      <c r="D19" s="315" t="s">
        <v>1745</v>
      </c>
      <c r="E19" s="316" t="s">
        <v>254</v>
      </c>
      <c r="F19" s="268">
        <v>8</v>
      </c>
      <c r="G19" s="268">
        <v>8</v>
      </c>
      <c r="H19" s="268">
        <v>8</v>
      </c>
      <c r="I19" s="268">
        <v>8</v>
      </c>
      <c r="J19" s="268">
        <v>8</v>
      </c>
      <c r="K19" s="268">
        <v>8.5</v>
      </c>
      <c r="L19" s="268">
        <v>7</v>
      </c>
      <c r="M19" s="268">
        <v>8</v>
      </c>
      <c r="N19" s="268">
        <v>8</v>
      </c>
      <c r="O19" s="268">
        <v>8</v>
      </c>
      <c r="P19" s="268">
        <v>8</v>
      </c>
      <c r="Q19" s="268">
        <v>7.5</v>
      </c>
      <c r="R19" s="243">
        <f t="shared" si="1"/>
        <v>7.916666666666667</v>
      </c>
      <c r="S19" s="268"/>
      <c r="T19" s="268"/>
      <c r="U19" s="268"/>
      <c r="V19" s="243"/>
      <c r="W19" s="243"/>
      <c r="X19" s="252"/>
      <c r="Y19" s="358"/>
      <c r="Z19" s="261" t="s">
        <v>218</v>
      </c>
      <c r="AA19" s="255"/>
      <c r="AB19" s="357">
        <f t="shared" si="0"/>
        <v>7.916666666666667</v>
      </c>
    </row>
    <row r="20" spans="1:28" s="256" customFormat="1" ht="18" customHeight="1" x14ac:dyDescent="0.2">
      <c r="A20" s="287">
        <v>12</v>
      </c>
      <c r="B20" s="245"/>
      <c r="C20" s="246">
        <v>2022</v>
      </c>
      <c r="D20" s="315" t="s">
        <v>1746</v>
      </c>
      <c r="E20" s="316" t="s">
        <v>942</v>
      </c>
      <c r="F20" s="268">
        <v>7</v>
      </c>
      <c r="G20" s="268">
        <v>7</v>
      </c>
      <c r="H20" s="268">
        <v>8</v>
      </c>
      <c r="I20" s="268">
        <v>6.5</v>
      </c>
      <c r="J20" s="268">
        <v>7</v>
      </c>
      <c r="K20" s="268">
        <v>7.5</v>
      </c>
      <c r="L20" s="268">
        <v>7</v>
      </c>
      <c r="M20" s="268">
        <v>7</v>
      </c>
      <c r="N20" s="268">
        <v>5</v>
      </c>
      <c r="O20" s="268">
        <v>7</v>
      </c>
      <c r="P20" s="268">
        <v>8</v>
      </c>
      <c r="Q20" s="268">
        <v>8</v>
      </c>
      <c r="R20" s="243">
        <f t="shared" si="1"/>
        <v>7.083333333333333</v>
      </c>
      <c r="S20" s="268"/>
      <c r="T20" s="268"/>
      <c r="U20" s="268"/>
      <c r="V20" s="243"/>
      <c r="W20" s="243"/>
      <c r="X20" s="252"/>
      <c r="Y20" s="358"/>
      <c r="Z20" s="261" t="s">
        <v>18</v>
      </c>
      <c r="AA20" s="255"/>
      <c r="AB20" s="357">
        <f t="shared" si="0"/>
        <v>7.083333333333333</v>
      </c>
    </row>
    <row r="21" spans="1:28" s="256" customFormat="1" ht="18" customHeight="1" x14ac:dyDescent="0.2">
      <c r="A21" s="287">
        <v>13</v>
      </c>
      <c r="B21" s="245"/>
      <c r="C21" s="246">
        <v>2022</v>
      </c>
      <c r="D21" s="315" t="s">
        <v>1747</v>
      </c>
      <c r="E21" s="316" t="s">
        <v>1748</v>
      </c>
      <c r="F21" s="268">
        <v>6.5</v>
      </c>
      <c r="G21" s="268">
        <v>7</v>
      </c>
      <c r="H21" s="268">
        <v>7</v>
      </c>
      <c r="I21" s="268">
        <v>7.5</v>
      </c>
      <c r="J21" s="268">
        <v>6.5</v>
      </c>
      <c r="K21" s="268">
        <v>7</v>
      </c>
      <c r="L21" s="268">
        <v>7</v>
      </c>
      <c r="M21" s="268">
        <v>6.5</v>
      </c>
      <c r="N21" s="268">
        <v>8</v>
      </c>
      <c r="O21" s="268">
        <v>7</v>
      </c>
      <c r="P21" s="268">
        <v>7</v>
      </c>
      <c r="Q21" s="268">
        <v>6.5</v>
      </c>
      <c r="R21" s="243">
        <f t="shared" si="1"/>
        <v>6.958333333333333</v>
      </c>
      <c r="S21" s="268"/>
      <c r="T21" s="268"/>
      <c r="U21" s="268"/>
      <c r="V21" s="243"/>
      <c r="W21" s="243"/>
      <c r="X21" s="252"/>
      <c r="Y21" s="358"/>
      <c r="Z21" s="261" t="s">
        <v>883</v>
      </c>
      <c r="AA21" s="255"/>
      <c r="AB21" s="628">
        <f t="shared" si="0"/>
        <v>6.958333333333333</v>
      </c>
    </row>
    <row r="22" spans="1:28" s="256" customFormat="1" ht="18" customHeight="1" x14ac:dyDescent="0.2">
      <c r="A22" s="287">
        <v>14</v>
      </c>
      <c r="B22" s="245"/>
      <c r="C22" s="246">
        <v>2022</v>
      </c>
      <c r="D22" s="315" t="s">
        <v>1749</v>
      </c>
      <c r="E22" s="316" t="s">
        <v>796</v>
      </c>
      <c r="F22" s="268">
        <v>6.5</v>
      </c>
      <c r="G22" s="268">
        <v>7</v>
      </c>
      <c r="H22" s="268">
        <v>7</v>
      </c>
      <c r="I22" s="268">
        <v>8</v>
      </c>
      <c r="J22" s="268">
        <v>7</v>
      </c>
      <c r="K22" s="268">
        <v>7.5</v>
      </c>
      <c r="L22" s="268">
        <v>7.5</v>
      </c>
      <c r="M22" s="268">
        <v>6.5</v>
      </c>
      <c r="N22" s="268">
        <v>7</v>
      </c>
      <c r="O22" s="268">
        <v>7</v>
      </c>
      <c r="P22" s="268">
        <v>7</v>
      </c>
      <c r="Q22" s="268">
        <v>6.5</v>
      </c>
      <c r="R22" s="243">
        <f t="shared" si="1"/>
        <v>7.041666666666667</v>
      </c>
      <c r="S22" s="268"/>
      <c r="T22" s="268"/>
      <c r="U22" s="268"/>
      <c r="V22" s="243"/>
      <c r="W22" s="243"/>
      <c r="X22" s="252"/>
      <c r="Y22" s="358"/>
      <c r="Z22" s="261" t="s">
        <v>1776</v>
      </c>
      <c r="AA22" s="255"/>
      <c r="AB22" s="357">
        <f t="shared" si="0"/>
        <v>7.041666666666667</v>
      </c>
    </row>
    <row r="23" spans="1:28" s="256" customFormat="1" ht="18" customHeight="1" x14ac:dyDescent="0.2">
      <c r="A23" s="287">
        <v>15</v>
      </c>
      <c r="B23" s="245"/>
      <c r="C23" s="246">
        <v>2022</v>
      </c>
      <c r="D23" s="315" t="s">
        <v>1535</v>
      </c>
      <c r="E23" s="316" t="s">
        <v>1750</v>
      </c>
      <c r="F23" s="268">
        <v>7.5</v>
      </c>
      <c r="G23" s="268">
        <v>7</v>
      </c>
      <c r="H23" s="268">
        <v>6.5</v>
      </c>
      <c r="I23" s="268">
        <v>6.5</v>
      </c>
      <c r="J23" s="268">
        <v>7</v>
      </c>
      <c r="K23" s="268">
        <v>7</v>
      </c>
      <c r="L23" s="268">
        <v>7</v>
      </c>
      <c r="M23" s="268">
        <v>7.5</v>
      </c>
      <c r="N23" s="268">
        <v>7</v>
      </c>
      <c r="O23" s="268">
        <v>7</v>
      </c>
      <c r="P23" s="268">
        <v>7</v>
      </c>
      <c r="Q23" s="268">
        <v>7</v>
      </c>
      <c r="R23" s="243">
        <f t="shared" si="1"/>
        <v>7</v>
      </c>
      <c r="S23" s="268"/>
      <c r="T23" s="268"/>
      <c r="U23" s="268"/>
      <c r="V23" s="243"/>
      <c r="W23" s="243"/>
      <c r="X23" s="252"/>
      <c r="Y23" s="358"/>
      <c r="Z23" s="261" t="s">
        <v>883</v>
      </c>
      <c r="AA23" s="255"/>
      <c r="AB23" s="357">
        <f t="shared" si="0"/>
        <v>7</v>
      </c>
    </row>
    <row r="24" spans="1:28" s="256" customFormat="1" ht="18" customHeight="1" x14ac:dyDescent="0.2">
      <c r="A24" s="287">
        <v>16</v>
      </c>
      <c r="B24" s="245"/>
      <c r="C24" s="246">
        <v>2022</v>
      </c>
      <c r="D24" s="315" t="s">
        <v>1751</v>
      </c>
      <c r="E24" s="316" t="s">
        <v>1688</v>
      </c>
      <c r="F24" s="268">
        <v>7.5</v>
      </c>
      <c r="G24" s="268">
        <v>7</v>
      </c>
      <c r="H24" s="268">
        <v>7.5</v>
      </c>
      <c r="I24" s="268">
        <v>8</v>
      </c>
      <c r="J24" s="268">
        <v>7.5</v>
      </c>
      <c r="K24" s="268">
        <v>7.5</v>
      </c>
      <c r="L24" s="268">
        <v>7</v>
      </c>
      <c r="M24" s="268">
        <v>7.5</v>
      </c>
      <c r="N24" s="268">
        <v>7</v>
      </c>
      <c r="O24" s="268">
        <v>7.5</v>
      </c>
      <c r="P24" s="268">
        <v>7</v>
      </c>
      <c r="Q24" s="268">
        <v>7</v>
      </c>
      <c r="R24" s="243">
        <f t="shared" si="1"/>
        <v>7.333333333333333</v>
      </c>
      <c r="S24" s="268"/>
      <c r="T24" s="268"/>
      <c r="U24" s="268"/>
      <c r="V24" s="243"/>
      <c r="W24" s="243"/>
      <c r="X24" s="252"/>
      <c r="Y24" s="358"/>
      <c r="Z24" s="261" t="s">
        <v>17</v>
      </c>
      <c r="AA24" s="255"/>
      <c r="AB24" s="357">
        <f t="shared" si="0"/>
        <v>7.333333333333333</v>
      </c>
    </row>
    <row r="25" spans="1:28" s="256" customFormat="1" ht="18" customHeight="1" x14ac:dyDescent="0.2">
      <c r="A25" s="287">
        <v>17</v>
      </c>
      <c r="B25" s="245"/>
      <c r="C25" s="246">
        <v>2022</v>
      </c>
      <c r="D25" s="315" t="s">
        <v>1752</v>
      </c>
      <c r="E25" s="316" t="s">
        <v>1753</v>
      </c>
      <c r="F25" s="268">
        <v>7</v>
      </c>
      <c r="G25" s="268">
        <v>7</v>
      </c>
      <c r="H25" s="268">
        <v>7</v>
      </c>
      <c r="I25" s="268">
        <v>8</v>
      </c>
      <c r="J25" s="268">
        <v>7</v>
      </c>
      <c r="K25" s="268">
        <v>7.5</v>
      </c>
      <c r="L25" s="268">
        <v>7</v>
      </c>
      <c r="M25" s="268">
        <v>7.5</v>
      </c>
      <c r="N25" s="268">
        <v>7</v>
      </c>
      <c r="O25" s="268">
        <v>7</v>
      </c>
      <c r="P25" s="268">
        <v>6</v>
      </c>
      <c r="Q25" s="268">
        <v>7.5</v>
      </c>
      <c r="R25" s="243">
        <f t="shared" si="1"/>
        <v>7.125</v>
      </c>
      <c r="S25" s="268"/>
      <c r="T25" s="268"/>
      <c r="U25" s="268"/>
      <c r="V25" s="243"/>
      <c r="W25" s="243"/>
      <c r="X25" s="252"/>
      <c r="Y25" s="358"/>
      <c r="Z25" s="261" t="s">
        <v>219</v>
      </c>
      <c r="AA25" s="255"/>
      <c r="AB25" s="357">
        <f t="shared" si="0"/>
        <v>7.125</v>
      </c>
    </row>
    <row r="26" spans="1:28" s="256" customFormat="1" ht="18" customHeight="1" x14ac:dyDescent="0.2">
      <c r="A26" s="287">
        <v>18</v>
      </c>
      <c r="B26" s="245"/>
      <c r="C26" s="246">
        <v>2022</v>
      </c>
      <c r="D26" s="315" t="s">
        <v>154</v>
      </c>
      <c r="E26" s="316" t="s">
        <v>503</v>
      </c>
      <c r="F26" s="268">
        <v>7.5</v>
      </c>
      <c r="G26" s="268">
        <v>8</v>
      </c>
      <c r="H26" s="268">
        <v>8</v>
      </c>
      <c r="I26" s="268">
        <v>8</v>
      </c>
      <c r="J26" s="268">
        <v>8</v>
      </c>
      <c r="K26" s="268">
        <v>7.5</v>
      </c>
      <c r="L26" s="268">
        <v>6.5</v>
      </c>
      <c r="M26" s="268">
        <v>8</v>
      </c>
      <c r="N26" s="268">
        <v>6</v>
      </c>
      <c r="O26" s="268">
        <v>7.5</v>
      </c>
      <c r="P26" s="268">
        <v>7.5</v>
      </c>
      <c r="Q26" s="268">
        <v>8</v>
      </c>
      <c r="R26" s="243">
        <f t="shared" si="1"/>
        <v>7.541666666666667</v>
      </c>
      <c r="S26" s="268"/>
      <c r="T26" s="268"/>
      <c r="U26" s="268"/>
      <c r="V26" s="243"/>
      <c r="W26" s="243"/>
      <c r="X26" s="252"/>
      <c r="Y26" s="358"/>
      <c r="Z26" s="261" t="s">
        <v>208</v>
      </c>
      <c r="AA26" s="255"/>
      <c r="AB26" s="357">
        <f t="shared" si="0"/>
        <v>7.541666666666667</v>
      </c>
    </row>
    <row r="27" spans="1:28" s="256" customFormat="1" ht="18" customHeight="1" x14ac:dyDescent="0.2">
      <c r="A27" s="287">
        <v>19</v>
      </c>
      <c r="B27" s="245"/>
      <c r="C27" s="246">
        <v>2022</v>
      </c>
      <c r="D27" s="315" t="s">
        <v>1246</v>
      </c>
      <c r="E27" s="316" t="s">
        <v>277</v>
      </c>
      <c r="F27" s="268">
        <v>6</v>
      </c>
      <c r="G27" s="268">
        <v>7</v>
      </c>
      <c r="H27" s="268">
        <v>6</v>
      </c>
      <c r="I27" s="268">
        <v>6.5</v>
      </c>
      <c r="J27" s="268">
        <v>7</v>
      </c>
      <c r="K27" s="268">
        <v>8</v>
      </c>
      <c r="L27" s="268">
        <v>6.5</v>
      </c>
      <c r="M27" s="268">
        <v>7</v>
      </c>
      <c r="N27" s="268">
        <v>7</v>
      </c>
      <c r="O27" s="268">
        <v>7.5</v>
      </c>
      <c r="P27" s="268">
        <v>7</v>
      </c>
      <c r="Q27" s="268">
        <v>6.5</v>
      </c>
      <c r="R27" s="243">
        <f t="shared" si="1"/>
        <v>6.833333333333333</v>
      </c>
      <c r="S27" s="268"/>
      <c r="T27" s="268"/>
      <c r="U27" s="268"/>
      <c r="V27" s="243"/>
      <c r="W27" s="243"/>
      <c r="X27" s="252"/>
      <c r="Y27" s="358"/>
      <c r="Z27" s="261" t="s">
        <v>152</v>
      </c>
      <c r="AA27" s="255"/>
      <c r="AB27" s="628">
        <f t="shared" si="0"/>
        <v>6.833333333333333</v>
      </c>
    </row>
    <row r="28" spans="1:28" s="256" customFormat="1" ht="18" customHeight="1" x14ac:dyDescent="0.2">
      <c r="A28" s="287">
        <v>20</v>
      </c>
      <c r="B28" s="245"/>
      <c r="C28" s="246">
        <v>2022</v>
      </c>
      <c r="D28" s="315" t="s">
        <v>1754</v>
      </c>
      <c r="E28" s="316" t="s">
        <v>1755</v>
      </c>
      <c r="F28" s="268">
        <v>7.5</v>
      </c>
      <c r="G28" s="268">
        <v>7.5</v>
      </c>
      <c r="H28" s="268">
        <v>7.5</v>
      </c>
      <c r="I28" s="268">
        <v>7</v>
      </c>
      <c r="J28" s="268">
        <v>7</v>
      </c>
      <c r="K28" s="268">
        <v>7</v>
      </c>
      <c r="L28" s="268">
        <v>6.5</v>
      </c>
      <c r="M28" s="268">
        <v>7.5</v>
      </c>
      <c r="N28" s="268">
        <v>7</v>
      </c>
      <c r="O28" s="268">
        <v>7</v>
      </c>
      <c r="P28" s="268">
        <v>7.5</v>
      </c>
      <c r="Q28" s="268">
        <v>7</v>
      </c>
      <c r="R28" s="243">
        <f t="shared" si="1"/>
        <v>7.166666666666667</v>
      </c>
      <c r="S28" s="268"/>
      <c r="T28" s="268"/>
      <c r="U28" s="268"/>
      <c r="V28" s="243"/>
      <c r="W28" s="243"/>
      <c r="X28" s="252"/>
      <c r="Y28" s="358"/>
      <c r="Z28" s="261" t="s">
        <v>208</v>
      </c>
      <c r="AA28" s="255"/>
      <c r="AB28" s="357">
        <f t="shared" si="0"/>
        <v>7.166666666666667</v>
      </c>
    </row>
    <row r="29" spans="1:28" s="256" customFormat="1" ht="18" customHeight="1" x14ac:dyDescent="0.2">
      <c r="A29" s="287">
        <v>21</v>
      </c>
      <c r="B29" s="245"/>
      <c r="C29" s="246">
        <v>2022</v>
      </c>
      <c r="D29" s="315" t="s">
        <v>1756</v>
      </c>
      <c r="E29" s="316" t="s">
        <v>1635</v>
      </c>
      <c r="F29" s="268">
        <v>7.5</v>
      </c>
      <c r="G29" s="268">
        <v>7.5</v>
      </c>
      <c r="H29" s="268">
        <v>7</v>
      </c>
      <c r="I29" s="268">
        <v>8</v>
      </c>
      <c r="J29" s="268">
        <v>6.5</v>
      </c>
      <c r="K29" s="268">
        <v>7.5</v>
      </c>
      <c r="L29" s="268">
        <v>7.5</v>
      </c>
      <c r="M29" s="242">
        <v>8</v>
      </c>
      <c r="N29" s="268">
        <v>7</v>
      </c>
      <c r="O29" s="268">
        <v>8</v>
      </c>
      <c r="P29" s="268">
        <v>7</v>
      </c>
      <c r="Q29" s="268">
        <v>7.5</v>
      </c>
      <c r="R29" s="243">
        <f t="shared" si="1"/>
        <v>7.416666666666667</v>
      </c>
      <c r="S29" s="268"/>
      <c r="T29" s="268"/>
      <c r="U29" s="268"/>
      <c r="V29" s="243"/>
      <c r="W29" s="243"/>
      <c r="X29" s="252"/>
      <c r="Y29" s="358"/>
      <c r="Z29" s="261" t="s">
        <v>141</v>
      </c>
      <c r="AA29" s="255"/>
      <c r="AB29" s="357">
        <f t="shared" si="0"/>
        <v>7.416666666666667</v>
      </c>
    </row>
    <row r="30" spans="1:28" s="256" customFormat="1" ht="18" customHeight="1" x14ac:dyDescent="0.2">
      <c r="A30" s="287">
        <v>22</v>
      </c>
      <c r="B30" s="245"/>
      <c r="C30" s="246">
        <v>2022</v>
      </c>
      <c r="D30" s="315" t="s">
        <v>1757</v>
      </c>
      <c r="E30" s="303" t="s">
        <v>1740</v>
      </c>
      <c r="F30" s="242">
        <v>8</v>
      </c>
      <c r="G30" s="242">
        <v>7.5</v>
      </c>
      <c r="H30" s="242">
        <v>7</v>
      </c>
      <c r="I30" s="242">
        <v>8</v>
      </c>
      <c r="J30" s="242">
        <v>7.5</v>
      </c>
      <c r="K30" s="242">
        <v>6.5</v>
      </c>
      <c r="L30" s="242">
        <v>7</v>
      </c>
      <c r="M30" s="242">
        <v>7</v>
      </c>
      <c r="N30" s="242">
        <v>6</v>
      </c>
      <c r="O30" s="242">
        <v>7.5</v>
      </c>
      <c r="P30" s="242">
        <v>7</v>
      </c>
      <c r="Q30" s="242">
        <v>7</v>
      </c>
      <c r="R30" s="243">
        <f t="shared" si="1"/>
        <v>7.166666666666667</v>
      </c>
      <c r="S30" s="242"/>
      <c r="T30" s="242"/>
      <c r="U30" s="242"/>
      <c r="V30" s="277">
        <f>SUM(S30:U30)/3</f>
        <v>0</v>
      </c>
      <c r="W30" s="277">
        <f>SUM(R30+V30)/2</f>
        <v>3.5833333333333335</v>
      </c>
      <c r="X30" s="252"/>
      <c r="Y30" s="273"/>
      <c r="Z30" s="305" t="s">
        <v>187</v>
      </c>
      <c r="AA30" s="255"/>
      <c r="AB30" s="357">
        <f t="shared" si="0"/>
        <v>7.166666666666667</v>
      </c>
    </row>
    <row r="31" spans="1:28" s="256" customFormat="1" ht="18" customHeight="1" x14ac:dyDescent="0.2">
      <c r="A31" s="287">
        <v>23</v>
      </c>
      <c r="B31" s="245"/>
      <c r="C31" s="246">
        <v>2022</v>
      </c>
      <c r="D31" s="315" t="s">
        <v>1780</v>
      </c>
      <c r="E31" s="316" t="s">
        <v>1758</v>
      </c>
      <c r="F31" s="458">
        <v>7</v>
      </c>
      <c r="G31" s="242">
        <v>6.4</v>
      </c>
      <c r="H31" s="242">
        <v>7</v>
      </c>
      <c r="I31" s="242">
        <v>8</v>
      </c>
      <c r="J31" s="242">
        <v>6</v>
      </c>
      <c r="K31" s="242">
        <v>6.5</v>
      </c>
      <c r="L31" s="242">
        <v>6</v>
      </c>
      <c r="M31" s="242">
        <v>8</v>
      </c>
      <c r="N31" s="242">
        <v>6</v>
      </c>
      <c r="O31" s="242">
        <v>7</v>
      </c>
      <c r="P31" s="242">
        <v>7</v>
      </c>
      <c r="Q31" s="242">
        <v>7</v>
      </c>
      <c r="R31" s="243">
        <f t="shared" si="1"/>
        <v>6.8250000000000002</v>
      </c>
      <c r="S31" s="242"/>
      <c r="T31" s="242"/>
      <c r="U31" s="242"/>
      <c r="V31" s="277"/>
      <c r="W31" s="277"/>
      <c r="X31" s="252"/>
      <c r="Y31" s="273"/>
      <c r="Z31" s="263" t="s">
        <v>179</v>
      </c>
      <c r="AA31" s="255"/>
      <c r="AB31" s="628">
        <f t="shared" si="0"/>
        <v>6.8250000000000002</v>
      </c>
    </row>
    <row r="32" spans="1:28" s="256" customFormat="1" ht="18" customHeight="1" x14ac:dyDescent="0.2">
      <c r="A32" s="287">
        <v>24</v>
      </c>
      <c r="B32" s="245"/>
      <c r="C32" s="246">
        <v>2022</v>
      </c>
      <c r="D32" s="315" t="s">
        <v>761</v>
      </c>
      <c r="E32" s="316" t="s">
        <v>1759</v>
      </c>
      <c r="F32" s="242">
        <v>7.5</v>
      </c>
      <c r="G32" s="242">
        <v>7</v>
      </c>
      <c r="H32" s="242">
        <v>7</v>
      </c>
      <c r="I32" s="242">
        <v>7</v>
      </c>
      <c r="J32" s="242">
        <v>7</v>
      </c>
      <c r="K32" s="242">
        <v>6.5</v>
      </c>
      <c r="L32" s="242">
        <v>7.5</v>
      </c>
      <c r="M32" s="242">
        <v>7</v>
      </c>
      <c r="N32" s="242">
        <v>7</v>
      </c>
      <c r="O32" s="242">
        <v>7</v>
      </c>
      <c r="P32" s="242">
        <v>7</v>
      </c>
      <c r="Q32" s="242">
        <v>7</v>
      </c>
      <c r="R32" s="243">
        <f t="shared" si="1"/>
        <v>7.041666666666667</v>
      </c>
      <c r="S32" s="242"/>
      <c r="T32" s="242"/>
      <c r="U32" s="242"/>
      <c r="V32" s="277">
        <f t="shared" ref="V32:V41" si="2">SUM(S32:U32)/3</f>
        <v>0</v>
      </c>
      <c r="W32" s="277">
        <f t="shared" ref="W32:W41" si="3">SUM(R32+V32)/2</f>
        <v>3.5208333333333335</v>
      </c>
      <c r="X32" s="252"/>
      <c r="Y32" s="273"/>
      <c r="Z32" s="300" t="s">
        <v>883</v>
      </c>
      <c r="AA32" s="255"/>
      <c r="AB32" s="357">
        <f t="shared" si="0"/>
        <v>7.041666666666667</v>
      </c>
    </row>
    <row r="33" spans="1:28" s="256" customFormat="1" ht="18" customHeight="1" x14ac:dyDescent="0.2">
      <c r="A33" s="287">
        <v>25</v>
      </c>
      <c r="B33" s="245"/>
      <c r="C33" s="246">
        <v>2022</v>
      </c>
      <c r="D33" s="315" t="s">
        <v>1760</v>
      </c>
      <c r="E33" s="316" t="s">
        <v>1761</v>
      </c>
      <c r="F33" s="242">
        <v>7.5</v>
      </c>
      <c r="G33" s="242">
        <v>6.5</v>
      </c>
      <c r="H33" s="242">
        <v>7</v>
      </c>
      <c r="I33" s="268">
        <v>7.5</v>
      </c>
      <c r="J33" s="268">
        <v>7</v>
      </c>
      <c r="K33" s="242">
        <v>7.5</v>
      </c>
      <c r="L33" s="242">
        <v>7</v>
      </c>
      <c r="M33" s="242">
        <v>7</v>
      </c>
      <c r="N33" s="242">
        <v>6</v>
      </c>
      <c r="O33" s="242">
        <v>7.5</v>
      </c>
      <c r="P33" s="242">
        <v>7</v>
      </c>
      <c r="Q33" s="242">
        <v>8</v>
      </c>
      <c r="R33" s="243">
        <f t="shared" si="1"/>
        <v>7.125</v>
      </c>
      <c r="S33" s="242"/>
      <c r="T33" s="242"/>
      <c r="U33" s="242"/>
      <c r="V33" s="277">
        <f t="shared" si="2"/>
        <v>0</v>
      </c>
      <c r="W33" s="277">
        <f t="shared" si="3"/>
        <v>3.5625</v>
      </c>
      <c r="X33" s="252"/>
      <c r="Y33" s="273"/>
      <c r="Z33" s="263" t="s">
        <v>206</v>
      </c>
      <c r="AA33" s="255"/>
      <c r="AB33" s="357">
        <f t="shared" si="0"/>
        <v>7.125</v>
      </c>
    </row>
    <row r="34" spans="1:28" s="256" customFormat="1" ht="18" customHeight="1" x14ac:dyDescent="0.2">
      <c r="A34" s="287">
        <v>26</v>
      </c>
      <c r="B34" s="245"/>
      <c r="C34" s="246">
        <v>2022</v>
      </c>
      <c r="D34" s="309" t="s">
        <v>1335</v>
      </c>
      <c r="E34" s="299" t="s">
        <v>1762</v>
      </c>
      <c r="F34" s="242">
        <v>8</v>
      </c>
      <c r="G34" s="242">
        <v>8.4</v>
      </c>
      <c r="H34" s="242">
        <v>8</v>
      </c>
      <c r="I34" s="242">
        <v>8</v>
      </c>
      <c r="J34" s="242">
        <v>8</v>
      </c>
      <c r="K34" s="242">
        <v>8</v>
      </c>
      <c r="L34" s="377">
        <v>8</v>
      </c>
      <c r="M34" s="242">
        <v>8</v>
      </c>
      <c r="N34" s="242">
        <v>8</v>
      </c>
      <c r="O34" s="242">
        <v>8</v>
      </c>
      <c r="P34" s="242">
        <v>8</v>
      </c>
      <c r="Q34" s="242">
        <v>6.5</v>
      </c>
      <c r="R34" s="243">
        <f t="shared" si="1"/>
        <v>7.9083333333333341</v>
      </c>
      <c r="S34" s="242"/>
      <c r="T34" s="242"/>
      <c r="U34" s="242"/>
      <c r="V34" s="277">
        <f t="shared" si="2"/>
        <v>0</v>
      </c>
      <c r="W34" s="277">
        <f t="shared" si="3"/>
        <v>3.9541666666666671</v>
      </c>
      <c r="X34" s="252"/>
      <c r="Y34" s="273"/>
      <c r="Z34" s="300" t="s">
        <v>156</v>
      </c>
      <c r="AA34" s="255"/>
      <c r="AB34" s="357">
        <f t="shared" si="0"/>
        <v>7.9083333333333341</v>
      </c>
    </row>
    <row r="35" spans="1:28" s="256" customFormat="1" ht="18" customHeight="1" x14ac:dyDescent="0.2">
      <c r="A35" s="287">
        <v>27</v>
      </c>
      <c r="B35" s="245"/>
      <c r="C35" s="246">
        <v>2022</v>
      </c>
      <c r="D35" s="269" t="s">
        <v>1763</v>
      </c>
      <c r="E35" s="292" t="s">
        <v>8</v>
      </c>
      <c r="F35" s="308">
        <v>7</v>
      </c>
      <c r="G35" s="242">
        <v>7.5</v>
      </c>
      <c r="H35" s="242">
        <v>7.5</v>
      </c>
      <c r="I35" s="242">
        <v>8</v>
      </c>
      <c r="J35" s="242">
        <v>7</v>
      </c>
      <c r="K35" s="242">
        <v>7.5</v>
      </c>
      <c r="L35" s="242">
        <v>7.5</v>
      </c>
      <c r="M35" s="242">
        <v>7.5</v>
      </c>
      <c r="N35" s="242">
        <v>7</v>
      </c>
      <c r="O35" s="242">
        <v>7.5</v>
      </c>
      <c r="P35" s="242">
        <v>8</v>
      </c>
      <c r="Q35" s="242">
        <v>7.5</v>
      </c>
      <c r="R35" s="243">
        <f t="shared" si="1"/>
        <v>7.458333333333333</v>
      </c>
      <c r="S35" s="242"/>
      <c r="T35" s="242"/>
      <c r="U35" s="242"/>
      <c r="V35" s="277">
        <f t="shared" si="2"/>
        <v>0</v>
      </c>
      <c r="W35" s="277">
        <f t="shared" si="3"/>
        <v>3.7291666666666665</v>
      </c>
      <c r="X35" s="252"/>
      <c r="Y35" s="273"/>
      <c r="Z35" s="305" t="s">
        <v>182</v>
      </c>
      <c r="AA35" s="255"/>
      <c r="AB35" s="357">
        <f t="shared" si="0"/>
        <v>7.458333333333333</v>
      </c>
    </row>
    <row r="36" spans="1:28" s="256" customFormat="1" ht="18" customHeight="1" x14ac:dyDescent="0.2">
      <c r="A36" s="287">
        <v>28</v>
      </c>
      <c r="B36" s="245"/>
      <c r="C36" s="246">
        <v>2022</v>
      </c>
      <c r="D36" s="378" t="s">
        <v>1764</v>
      </c>
      <c r="E36" s="316" t="s">
        <v>251</v>
      </c>
      <c r="F36" s="242">
        <v>7.5</v>
      </c>
      <c r="G36" s="242">
        <v>7</v>
      </c>
      <c r="H36" s="242">
        <v>7</v>
      </c>
      <c r="I36" s="242">
        <v>6.5</v>
      </c>
      <c r="J36" s="242">
        <v>7</v>
      </c>
      <c r="K36" s="377">
        <v>7</v>
      </c>
      <c r="L36" s="377">
        <v>7</v>
      </c>
      <c r="M36" s="242">
        <v>7</v>
      </c>
      <c r="N36" s="242">
        <v>7</v>
      </c>
      <c r="O36" s="242">
        <v>6.5</v>
      </c>
      <c r="P36" s="242">
        <v>6.5</v>
      </c>
      <c r="Q36" s="242">
        <v>7</v>
      </c>
      <c r="R36" s="243">
        <f t="shared" si="1"/>
        <v>6.916666666666667</v>
      </c>
      <c r="S36" s="242"/>
      <c r="T36" s="242"/>
      <c r="U36" s="242"/>
      <c r="V36" s="277">
        <f t="shared" si="2"/>
        <v>0</v>
      </c>
      <c r="W36" s="277">
        <f t="shared" si="3"/>
        <v>3.4583333333333335</v>
      </c>
      <c r="X36" s="252"/>
      <c r="Y36" s="273"/>
      <c r="Z36" s="422" t="s">
        <v>831</v>
      </c>
      <c r="AA36" s="255"/>
      <c r="AB36" s="628">
        <f t="shared" si="0"/>
        <v>6.916666666666667</v>
      </c>
    </row>
    <row r="37" spans="1:28" s="256" customFormat="1" ht="18" customHeight="1" x14ac:dyDescent="0.2">
      <c r="A37" s="287">
        <v>29</v>
      </c>
      <c r="B37" s="245"/>
      <c r="C37" s="246">
        <v>2022</v>
      </c>
      <c r="D37" s="423" t="s">
        <v>1765</v>
      </c>
      <c r="E37" s="424" t="s">
        <v>267</v>
      </c>
      <c r="F37" s="308">
        <v>7.5</v>
      </c>
      <c r="G37" s="242">
        <v>7</v>
      </c>
      <c r="H37" s="242">
        <v>7</v>
      </c>
      <c r="I37" s="242">
        <v>7.5</v>
      </c>
      <c r="J37" s="242">
        <v>7</v>
      </c>
      <c r="K37" s="242">
        <v>6.5</v>
      </c>
      <c r="L37" s="242">
        <v>7</v>
      </c>
      <c r="M37" s="242">
        <v>6.5</v>
      </c>
      <c r="N37" s="242">
        <v>7</v>
      </c>
      <c r="O37" s="242">
        <v>7.5</v>
      </c>
      <c r="P37" s="242">
        <v>7</v>
      </c>
      <c r="Q37" s="242">
        <v>7.5</v>
      </c>
      <c r="R37" s="243">
        <f t="shared" si="1"/>
        <v>7.083333333333333</v>
      </c>
      <c r="S37" s="242"/>
      <c r="T37" s="242"/>
      <c r="U37" s="242"/>
      <c r="V37" s="277">
        <f t="shared" si="2"/>
        <v>0</v>
      </c>
      <c r="W37" s="277">
        <f t="shared" si="3"/>
        <v>3.5416666666666665</v>
      </c>
      <c r="X37" s="252"/>
      <c r="Y37" s="273"/>
      <c r="Z37" s="425" t="s">
        <v>1777</v>
      </c>
      <c r="AA37" s="255"/>
      <c r="AB37" s="357">
        <f t="shared" si="0"/>
        <v>7.083333333333333</v>
      </c>
    </row>
    <row r="38" spans="1:28" s="256" customFormat="1" ht="18" customHeight="1" x14ac:dyDescent="0.2">
      <c r="A38" s="287">
        <v>30</v>
      </c>
      <c r="B38" s="245"/>
      <c r="C38" s="246">
        <v>2022</v>
      </c>
      <c r="D38" s="426" t="s">
        <v>1766</v>
      </c>
      <c r="E38" s="292" t="s">
        <v>1051</v>
      </c>
      <c r="F38" s="308">
        <v>7.5</v>
      </c>
      <c r="G38" s="242">
        <v>6.5</v>
      </c>
      <c r="H38" s="242">
        <v>7</v>
      </c>
      <c r="I38" s="242">
        <v>7.5</v>
      </c>
      <c r="J38" s="242">
        <v>7.5</v>
      </c>
      <c r="K38" s="242">
        <v>8</v>
      </c>
      <c r="L38" s="242">
        <v>7.5</v>
      </c>
      <c r="M38" s="242">
        <v>7</v>
      </c>
      <c r="N38" s="242">
        <v>7</v>
      </c>
      <c r="O38" s="242">
        <v>6.5</v>
      </c>
      <c r="P38" s="242">
        <v>6.5</v>
      </c>
      <c r="Q38" s="242">
        <v>7</v>
      </c>
      <c r="R38" s="243">
        <f t="shared" si="1"/>
        <v>7.125</v>
      </c>
      <c r="S38" s="242"/>
      <c r="T38" s="242"/>
      <c r="U38" s="242"/>
      <c r="V38" s="277">
        <f t="shared" si="2"/>
        <v>0</v>
      </c>
      <c r="W38" s="277">
        <f t="shared" si="3"/>
        <v>3.5625</v>
      </c>
      <c r="X38" s="252"/>
      <c r="Y38" s="273"/>
      <c r="Z38" s="305" t="s">
        <v>193</v>
      </c>
      <c r="AA38" s="255"/>
      <c r="AB38" s="357">
        <f t="shared" si="0"/>
        <v>7.125</v>
      </c>
    </row>
    <row r="39" spans="1:28" s="256" customFormat="1" ht="18" customHeight="1" x14ac:dyDescent="0.2">
      <c r="A39" s="287">
        <v>31</v>
      </c>
      <c r="B39" s="245"/>
      <c r="C39" s="246">
        <v>2022</v>
      </c>
      <c r="D39" s="315" t="s">
        <v>1767</v>
      </c>
      <c r="E39" s="316" t="s">
        <v>1768</v>
      </c>
      <c r="F39" s="242">
        <v>8</v>
      </c>
      <c r="G39" s="242">
        <v>7</v>
      </c>
      <c r="H39" s="242">
        <v>8</v>
      </c>
      <c r="I39" s="268">
        <v>8</v>
      </c>
      <c r="J39" s="268">
        <v>8</v>
      </c>
      <c r="K39" s="242">
        <v>8</v>
      </c>
      <c r="L39" s="242">
        <v>8</v>
      </c>
      <c r="M39" s="242">
        <v>8</v>
      </c>
      <c r="N39" s="242">
        <v>8</v>
      </c>
      <c r="O39" s="242">
        <v>8</v>
      </c>
      <c r="P39" s="242">
        <v>8</v>
      </c>
      <c r="Q39" s="242">
        <v>7</v>
      </c>
      <c r="R39" s="243">
        <f t="shared" si="1"/>
        <v>7.833333333333333</v>
      </c>
      <c r="S39" s="242"/>
      <c r="T39" s="242"/>
      <c r="U39" s="242"/>
      <c r="V39" s="277">
        <f t="shared" si="2"/>
        <v>0</v>
      </c>
      <c r="W39" s="277">
        <f t="shared" si="3"/>
        <v>3.9166666666666665</v>
      </c>
      <c r="X39" s="252"/>
      <c r="Y39" s="273"/>
      <c r="Z39" s="305" t="s">
        <v>188</v>
      </c>
      <c r="AA39" s="255"/>
      <c r="AB39" s="357">
        <f t="shared" si="0"/>
        <v>7.833333333333333</v>
      </c>
    </row>
    <row r="40" spans="1:28" s="256" customFormat="1" ht="18" customHeight="1" x14ac:dyDescent="0.2">
      <c r="A40" s="287">
        <v>32</v>
      </c>
      <c r="B40" s="245"/>
      <c r="C40" s="246">
        <v>2022</v>
      </c>
      <c r="D40" s="315" t="s">
        <v>1170</v>
      </c>
      <c r="E40" s="316" t="s">
        <v>952</v>
      </c>
      <c r="F40" s="242">
        <v>7</v>
      </c>
      <c r="G40" s="242">
        <v>7.5</v>
      </c>
      <c r="H40" s="242">
        <v>7.5</v>
      </c>
      <c r="I40" s="242">
        <v>7</v>
      </c>
      <c r="J40" s="242">
        <v>8</v>
      </c>
      <c r="K40" s="377">
        <v>8</v>
      </c>
      <c r="L40" s="377">
        <v>7.5</v>
      </c>
      <c r="M40" s="242">
        <v>8</v>
      </c>
      <c r="N40" s="242">
        <v>8</v>
      </c>
      <c r="O40" s="242">
        <v>7.5</v>
      </c>
      <c r="P40" s="242">
        <v>7</v>
      </c>
      <c r="Q40" s="242">
        <v>7</v>
      </c>
      <c r="R40" s="243">
        <f t="shared" si="1"/>
        <v>7.5</v>
      </c>
      <c r="S40" s="242"/>
      <c r="T40" s="242"/>
      <c r="U40" s="242"/>
      <c r="V40" s="277">
        <f t="shared" si="2"/>
        <v>0</v>
      </c>
      <c r="W40" s="277">
        <f t="shared" si="3"/>
        <v>3.75</v>
      </c>
      <c r="X40" s="252"/>
      <c r="Y40" s="273"/>
      <c r="Z40" s="305" t="s">
        <v>174</v>
      </c>
      <c r="AA40" s="255"/>
      <c r="AB40" s="357">
        <f t="shared" si="0"/>
        <v>7.5</v>
      </c>
    </row>
    <row r="41" spans="1:28" s="256" customFormat="1" ht="18" customHeight="1" x14ac:dyDescent="0.2">
      <c r="A41" s="287">
        <v>33</v>
      </c>
      <c r="B41" s="245"/>
      <c r="C41" s="246">
        <v>2022</v>
      </c>
      <c r="D41" s="309" t="s">
        <v>1769</v>
      </c>
      <c r="E41" s="303" t="s">
        <v>273</v>
      </c>
      <c r="F41" s="242">
        <v>8</v>
      </c>
      <c r="G41" s="242">
        <v>7</v>
      </c>
      <c r="H41" s="242">
        <v>7.5</v>
      </c>
      <c r="I41" s="242">
        <v>6</v>
      </c>
      <c r="J41" s="242">
        <v>7.5</v>
      </c>
      <c r="K41" s="242">
        <v>8</v>
      </c>
      <c r="L41" s="242">
        <v>7.5</v>
      </c>
      <c r="M41" s="242">
        <v>6.5</v>
      </c>
      <c r="N41" s="242">
        <v>8</v>
      </c>
      <c r="O41" s="242">
        <v>7.5</v>
      </c>
      <c r="P41" s="242">
        <v>7.5</v>
      </c>
      <c r="Q41" s="242">
        <v>7.5</v>
      </c>
      <c r="R41" s="243">
        <f t="shared" si="1"/>
        <v>7.375</v>
      </c>
      <c r="S41" s="242"/>
      <c r="T41" s="242"/>
      <c r="U41" s="242"/>
      <c r="V41" s="277">
        <f t="shared" si="2"/>
        <v>0</v>
      </c>
      <c r="W41" s="277">
        <f t="shared" si="3"/>
        <v>3.6875</v>
      </c>
      <c r="X41" s="252"/>
      <c r="Y41" s="273"/>
      <c r="Z41" s="305" t="s">
        <v>178</v>
      </c>
      <c r="AA41" s="255"/>
      <c r="AB41" s="357">
        <f t="shared" si="0"/>
        <v>7.375</v>
      </c>
    </row>
    <row r="42" spans="1:28" s="256" customFormat="1" ht="18" customHeight="1" x14ac:dyDescent="0.2">
      <c r="A42" s="287">
        <v>34</v>
      </c>
      <c r="B42" s="245"/>
      <c r="C42" s="246">
        <v>2022</v>
      </c>
      <c r="D42" s="269" t="s">
        <v>1770</v>
      </c>
      <c r="E42" s="303" t="s">
        <v>152</v>
      </c>
      <c r="F42" s="242">
        <v>7</v>
      </c>
      <c r="G42" s="242">
        <v>7.9</v>
      </c>
      <c r="H42" s="242">
        <v>6</v>
      </c>
      <c r="I42" s="242">
        <v>7.5</v>
      </c>
      <c r="J42" s="242">
        <v>7</v>
      </c>
      <c r="K42" s="242">
        <v>7</v>
      </c>
      <c r="L42" s="242">
        <v>7</v>
      </c>
      <c r="M42" s="242">
        <v>6.5</v>
      </c>
      <c r="N42" s="242">
        <v>7</v>
      </c>
      <c r="O42" s="242">
        <v>6.5</v>
      </c>
      <c r="P42" s="242">
        <v>6</v>
      </c>
      <c r="Q42" s="242">
        <v>7</v>
      </c>
      <c r="R42" s="243">
        <f t="shared" si="1"/>
        <v>6.8666666666666671</v>
      </c>
      <c r="S42" s="242"/>
      <c r="T42" s="242"/>
      <c r="U42" s="242"/>
      <c r="V42" s="277"/>
      <c r="W42" s="277"/>
      <c r="X42" s="252"/>
      <c r="Y42" s="273"/>
      <c r="Z42" s="305" t="s">
        <v>268</v>
      </c>
      <c r="AA42" s="255"/>
      <c r="AB42" s="628">
        <f t="shared" si="0"/>
        <v>6.8666666666666671</v>
      </c>
    </row>
    <row r="43" spans="1:28" s="256" customFormat="1" ht="18" customHeight="1" x14ac:dyDescent="0.2">
      <c r="A43" s="287">
        <v>35</v>
      </c>
      <c r="B43" s="245"/>
      <c r="C43" s="246">
        <v>2022</v>
      </c>
      <c r="D43" s="378" t="s">
        <v>1771</v>
      </c>
      <c r="E43" s="303" t="s">
        <v>204</v>
      </c>
      <c r="F43" s="242">
        <v>6.5</v>
      </c>
      <c r="G43" s="242">
        <v>7.5</v>
      </c>
      <c r="H43" s="242">
        <v>7.5</v>
      </c>
      <c r="I43" s="242">
        <v>8</v>
      </c>
      <c r="J43" s="242">
        <v>7.5</v>
      </c>
      <c r="K43" s="242">
        <v>8</v>
      </c>
      <c r="L43" s="242">
        <v>7</v>
      </c>
      <c r="M43" s="242">
        <v>8</v>
      </c>
      <c r="N43" s="242">
        <v>5</v>
      </c>
      <c r="O43" s="242">
        <v>7.5</v>
      </c>
      <c r="P43" s="242">
        <v>7.5</v>
      </c>
      <c r="Q43" s="242">
        <v>7</v>
      </c>
      <c r="R43" s="243">
        <f t="shared" si="1"/>
        <v>7.25</v>
      </c>
      <c r="S43" s="242"/>
      <c r="T43" s="242"/>
      <c r="U43" s="242"/>
      <c r="V43" s="277"/>
      <c r="W43" s="277"/>
      <c r="X43" s="252"/>
      <c r="Y43" s="273"/>
      <c r="Z43" s="305" t="s">
        <v>830</v>
      </c>
      <c r="AA43" s="255"/>
      <c r="AB43" s="357">
        <f t="shared" si="0"/>
        <v>7.25</v>
      </c>
    </row>
    <row r="44" spans="1:28" s="256" customFormat="1" ht="18" customHeight="1" x14ac:dyDescent="0.2">
      <c r="A44" s="287">
        <v>36</v>
      </c>
      <c r="B44" s="245"/>
      <c r="C44" s="246">
        <v>2022</v>
      </c>
      <c r="D44" s="423" t="s">
        <v>1772</v>
      </c>
      <c r="E44" s="303" t="s">
        <v>628</v>
      </c>
      <c r="F44" s="242">
        <v>7.5</v>
      </c>
      <c r="G44" s="242">
        <v>8</v>
      </c>
      <c r="H44" s="242">
        <v>8</v>
      </c>
      <c r="I44" s="242">
        <v>8</v>
      </c>
      <c r="J44" s="242">
        <v>8</v>
      </c>
      <c r="K44" s="242">
        <v>8</v>
      </c>
      <c r="L44" s="242">
        <v>7</v>
      </c>
      <c r="M44" s="242">
        <v>8</v>
      </c>
      <c r="N44" s="242">
        <v>6</v>
      </c>
      <c r="O44" s="242">
        <v>7</v>
      </c>
      <c r="P44" s="242">
        <v>8</v>
      </c>
      <c r="Q44" s="242">
        <v>7</v>
      </c>
      <c r="R44" s="243">
        <f t="shared" si="1"/>
        <v>7.541666666666667</v>
      </c>
      <c r="S44" s="242"/>
      <c r="T44" s="242"/>
      <c r="U44" s="242"/>
      <c r="V44" s="277"/>
      <c r="W44" s="277"/>
      <c r="X44" s="252"/>
      <c r="Y44" s="273"/>
      <c r="Z44" s="305" t="s">
        <v>208</v>
      </c>
      <c r="AA44" s="255"/>
      <c r="AB44" s="357">
        <f t="shared" si="0"/>
        <v>7.541666666666667</v>
      </c>
    </row>
    <row r="45" spans="1:28" s="256" customFormat="1" ht="18" customHeight="1" x14ac:dyDescent="0.2">
      <c r="A45" s="287">
        <v>37</v>
      </c>
      <c r="B45" s="245"/>
      <c r="C45" s="246">
        <v>2022</v>
      </c>
      <c r="D45" s="321" t="s">
        <v>1773</v>
      </c>
      <c r="E45" s="303" t="s">
        <v>152</v>
      </c>
      <c r="F45" s="242">
        <v>7</v>
      </c>
      <c r="G45" s="242">
        <v>6.5</v>
      </c>
      <c r="H45" s="242">
        <v>7</v>
      </c>
      <c r="I45" s="242">
        <v>8</v>
      </c>
      <c r="J45" s="242">
        <v>7</v>
      </c>
      <c r="K45" s="242">
        <v>7</v>
      </c>
      <c r="L45" s="242">
        <v>7.5</v>
      </c>
      <c r="M45" s="242">
        <v>7.5</v>
      </c>
      <c r="N45" s="242">
        <v>7</v>
      </c>
      <c r="O45" s="242">
        <v>7.5</v>
      </c>
      <c r="P45" s="242">
        <v>7.5</v>
      </c>
      <c r="Q45" s="242">
        <v>7</v>
      </c>
      <c r="R45" s="243">
        <f t="shared" si="1"/>
        <v>7.208333333333333</v>
      </c>
      <c r="S45" s="242"/>
      <c r="T45" s="242"/>
      <c r="U45" s="242"/>
      <c r="V45" s="277"/>
      <c r="W45" s="277"/>
      <c r="X45" s="252"/>
      <c r="Y45" s="273"/>
      <c r="Z45" s="305" t="s">
        <v>182</v>
      </c>
      <c r="AA45" s="255"/>
      <c r="AB45" s="357">
        <f t="shared" si="0"/>
        <v>7.208333333333333</v>
      </c>
    </row>
    <row r="46" spans="1:28" s="256" customFormat="1" ht="18" customHeight="1" x14ac:dyDescent="0.2">
      <c r="A46" s="287">
        <v>38</v>
      </c>
      <c r="B46" s="245"/>
      <c r="C46" s="246">
        <v>2022</v>
      </c>
      <c r="D46" s="315" t="s">
        <v>1774</v>
      </c>
      <c r="E46" s="303" t="s">
        <v>798</v>
      </c>
      <c r="F46" s="242">
        <v>7.5</v>
      </c>
      <c r="G46" s="242">
        <v>7</v>
      </c>
      <c r="H46" s="242">
        <v>7.5</v>
      </c>
      <c r="I46" s="242">
        <v>7</v>
      </c>
      <c r="J46" s="242">
        <v>7</v>
      </c>
      <c r="K46" s="242">
        <v>7</v>
      </c>
      <c r="L46" s="242">
        <v>7.5</v>
      </c>
      <c r="M46" s="242">
        <v>7.5</v>
      </c>
      <c r="N46" s="242">
        <v>7</v>
      </c>
      <c r="O46" s="242">
        <v>6.5</v>
      </c>
      <c r="P46" s="242">
        <v>7</v>
      </c>
      <c r="Q46" s="242">
        <v>6.5</v>
      </c>
      <c r="R46" s="243">
        <f t="shared" si="1"/>
        <v>7.083333333333333</v>
      </c>
      <c r="S46" s="242"/>
      <c r="T46" s="242"/>
      <c r="U46" s="242"/>
      <c r="V46" s="277"/>
      <c r="W46" s="277"/>
      <c r="X46" s="252"/>
      <c r="Y46" s="273"/>
      <c r="Z46" s="305" t="s">
        <v>181</v>
      </c>
      <c r="AA46" s="255"/>
      <c r="AB46" s="357">
        <f t="shared" si="0"/>
        <v>7.083333333333333</v>
      </c>
    </row>
    <row r="47" spans="1:28" s="256" customFormat="1" ht="18" customHeight="1" x14ac:dyDescent="0.2">
      <c r="A47" s="287">
        <v>39</v>
      </c>
      <c r="B47" s="245"/>
      <c r="C47" s="246">
        <v>2022</v>
      </c>
      <c r="D47" s="315" t="s">
        <v>878</v>
      </c>
      <c r="E47" s="303" t="s">
        <v>702</v>
      </c>
      <c r="F47" s="242">
        <v>7</v>
      </c>
      <c r="G47" s="242">
        <v>7.5</v>
      </c>
      <c r="H47" s="242">
        <v>7</v>
      </c>
      <c r="I47" s="242">
        <v>6.5</v>
      </c>
      <c r="J47" s="242">
        <v>6.5</v>
      </c>
      <c r="K47" s="242">
        <v>7</v>
      </c>
      <c r="L47" s="242">
        <v>6</v>
      </c>
      <c r="M47" s="242">
        <v>6.5</v>
      </c>
      <c r="N47" s="242">
        <v>6</v>
      </c>
      <c r="O47" s="242">
        <v>6.5</v>
      </c>
      <c r="P47" s="242">
        <v>7</v>
      </c>
      <c r="Q47" s="242">
        <v>7</v>
      </c>
      <c r="R47" s="243">
        <f t="shared" si="1"/>
        <v>6.708333333333333</v>
      </c>
      <c r="S47" s="242"/>
      <c r="T47" s="242"/>
      <c r="U47" s="242"/>
      <c r="V47" s="277"/>
      <c r="W47" s="277"/>
      <c r="X47" s="252"/>
      <c r="Y47" s="273"/>
      <c r="Z47" s="305" t="s">
        <v>240</v>
      </c>
      <c r="AA47" s="255"/>
      <c r="AB47" s="628">
        <f t="shared" si="0"/>
        <v>6.708333333333333</v>
      </c>
    </row>
    <row r="48" spans="1:28" s="368" customFormat="1" ht="13.5" customHeight="1" thickBot="1" x14ac:dyDescent="0.35">
      <c r="A48" s="397"/>
      <c r="B48" s="398"/>
      <c r="C48" s="399"/>
      <c r="D48" s="542"/>
      <c r="E48" s="399"/>
      <c r="F48" s="543"/>
      <c r="G48" s="543"/>
      <c r="H48" s="543"/>
      <c r="I48" s="543"/>
      <c r="J48" s="543"/>
      <c r="K48" s="543"/>
      <c r="L48" s="543"/>
      <c r="M48" s="543"/>
      <c r="N48" s="543"/>
      <c r="O48" s="543"/>
      <c r="P48" s="543"/>
      <c r="Q48" s="543"/>
      <c r="R48" s="603"/>
      <c r="S48" s="538"/>
      <c r="T48" s="538"/>
      <c r="U48" s="538"/>
      <c r="V48" s="543"/>
      <c r="W48" s="543"/>
      <c r="X48" s="543"/>
      <c r="Y48" s="604"/>
      <c r="Z48" s="605"/>
    </row>
    <row r="49" spans="1:27" s="368" customFormat="1" ht="19.5" thickTop="1" x14ac:dyDescent="0.3">
      <c r="A49" s="369"/>
      <c r="B49" s="369"/>
      <c r="C49" s="369"/>
      <c r="E49" s="369"/>
      <c r="F49" s="369"/>
      <c r="G49" s="369"/>
      <c r="H49" s="369"/>
      <c r="I49" s="369"/>
      <c r="J49" s="369"/>
      <c r="K49" s="369"/>
      <c r="L49" s="369"/>
      <c r="M49" s="369"/>
      <c r="N49" s="369"/>
      <c r="O49" s="369"/>
      <c r="P49" s="369"/>
      <c r="Q49" s="369"/>
      <c r="R49" s="370"/>
      <c r="S49" s="371"/>
      <c r="T49" s="371"/>
      <c r="U49" s="371"/>
      <c r="V49" s="369"/>
      <c r="W49" s="369"/>
      <c r="X49" s="369"/>
      <c r="Y49" s="372"/>
      <c r="Z49" s="369"/>
      <c r="AA49" s="606"/>
    </row>
    <row r="50" spans="1:27" s="368" customFormat="1" x14ac:dyDescent="0.3">
      <c r="A50" s="369"/>
      <c r="B50" s="369"/>
      <c r="C50" s="369"/>
      <c r="E50" s="369"/>
      <c r="F50" s="369"/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369"/>
      <c r="R50" s="1065"/>
      <c r="S50" s="1065"/>
      <c r="T50" s="1065"/>
      <c r="U50" s="1065"/>
      <c r="V50" s="1065"/>
      <c r="W50" s="1065"/>
      <c r="X50" s="1065"/>
      <c r="Y50" s="1065"/>
      <c r="Z50" s="1065"/>
    </row>
    <row r="51" spans="1:27" s="368" customFormat="1" x14ac:dyDescent="0.3">
      <c r="A51" s="369"/>
      <c r="B51" s="369"/>
      <c r="C51" s="369"/>
      <c r="E51" s="369"/>
      <c r="F51" s="369"/>
      <c r="G51" s="369"/>
      <c r="H51" s="369"/>
      <c r="I51" s="369"/>
      <c r="J51" s="369"/>
      <c r="K51" s="369"/>
      <c r="L51" s="369"/>
      <c r="M51" s="369"/>
      <c r="N51" s="369"/>
      <c r="O51" s="369"/>
      <c r="P51" s="369"/>
      <c r="Q51" s="369"/>
      <c r="R51" s="1065"/>
      <c r="S51" s="1065"/>
      <c r="T51" s="1065"/>
      <c r="U51" s="371"/>
      <c r="V51" s="369"/>
      <c r="W51" s="369"/>
      <c r="X51" s="369"/>
      <c r="Y51" s="372"/>
      <c r="Z51" s="369"/>
    </row>
    <row r="52" spans="1:27" s="368" customFormat="1" x14ac:dyDescent="0.3">
      <c r="A52" s="369"/>
      <c r="B52" s="369"/>
      <c r="C52" s="369"/>
      <c r="E52" s="369"/>
      <c r="F52" s="369"/>
      <c r="G52" s="369"/>
      <c r="H52" s="369"/>
      <c r="I52" s="369"/>
      <c r="J52" s="369"/>
      <c r="K52" s="369"/>
      <c r="L52" s="369"/>
      <c r="M52" s="369"/>
      <c r="N52" s="369"/>
      <c r="O52" s="369"/>
      <c r="P52" s="369"/>
      <c r="Q52" s="369"/>
      <c r="R52" s="373"/>
      <c r="S52" s="374"/>
      <c r="T52" s="374"/>
      <c r="U52" s="371"/>
      <c r="V52" s="369"/>
      <c r="W52" s="369"/>
      <c r="X52" s="369"/>
      <c r="Y52" s="372"/>
      <c r="Z52" s="369"/>
    </row>
    <row r="53" spans="1:27" s="368" customFormat="1" x14ac:dyDescent="0.3">
      <c r="A53" s="369"/>
      <c r="B53" s="369"/>
      <c r="C53" s="369"/>
      <c r="E53" s="369"/>
      <c r="F53" s="369"/>
      <c r="G53" s="369"/>
      <c r="H53" s="369"/>
      <c r="I53" s="369"/>
      <c r="J53" s="369"/>
      <c r="K53" s="369"/>
      <c r="L53" s="369"/>
      <c r="M53" s="369"/>
      <c r="N53" s="369"/>
      <c r="O53" s="369"/>
      <c r="P53" s="369"/>
      <c r="Q53" s="369"/>
      <c r="R53" s="373"/>
      <c r="S53" s="374"/>
      <c r="T53" s="374"/>
      <c r="U53" s="371"/>
      <c r="V53" s="369"/>
      <c r="W53" s="369"/>
      <c r="X53" s="369"/>
      <c r="Y53" s="372"/>
      <c r="Z53" s="369"/>
    </row>
    <row r="54" spans="1:27" s="368" customFormat="1" x14ac:dyDescent="0.3">
      <c r="A54" s="369"/>
      <c r="B54" s="369"/>
      <c r="C54" s="369"/>
      <c r="E54" s="369"/>
      <c r="F54" s="369"/>
      <c r="G54" s="369"/>
      <c r="H54" s="369"/>
      <c r="I54" s="369"/>
      <c r="J54" s="369"/>
      <c r="K54" s="369"/>
      <c r="L54" s="369"/>
      <c r="M54" s="369"/>
      <c r="N54" s="369"/>
      <c r="O54" s="369"/>
      <c r="P54" s="369"/>
      <c r="Q54" s="369"/>
      <c r="R54" s="1066"/>
      <c r="S54" s="1066"/>
      <c r="T54" s="1066"/>
      <c r="U54" s="371"/>
      <c r="V54" s="369"/>
      <c r="W54" s="369"/>
      <c r="X54" s="369"/>
      <c r="Y54" s="372"/>
      <c r="Z54" s="369"/>
    </row>
    <row r="55" spans="1:27" s="368" customFormat="1" ht="18" x14ac:dyDescent="0.25">
      <c r="A55" s="369"/>
      <c r="B55" s="369"/>
      <c r="C55" s="369"/>
      <c r="E55" s="369"/>
      <c r="F55" s="369"/>
      <c r="G55" s="369"/>
      <c r="H55" s="369"/>
      <c r="I55" s="369"/>
      <c r="J55" s="369"/>
      <c r="K55" s="369"/>
      <c r="L55" s="369"/>
      <c r="M55" s="369"/>
      <c r="N55" s="369"/>
      <c r="O55" s="369"/>
      <c r="P55" s="369"/>
      <c r="Q55" s="369"/>
      <c r="R55" s="1064"/>
      <c r="S55" s="1064"/>
      <c r="T55" s="1064"/>
      <c r="U55" s="1064"/>
      <c r="V55" s="1064"/>
      <c r="W55" s="1064"/>
      <c r="X55" s="1064"/>
      <c r="Y55" s="1064"/>
      <c r="Z55" s="1064"/>
    </row>
    <row r="56" spans="1:27" s="368" customFormat="1" x14ac:dyDescent="0.3">
      <c r="A56" s="369"/>
      <c r="B56" s="369"/>
      <c r="C56" s="369"/>
      <c r="E56" s="369"/>
      <c r="F56" s="369"/>
      <c r="G56" s="369"/>
      <c r="H56" s="369"/>
      <c r="I56" s="369"/>
      <c r="J56" s="369"/>
      <c r="K56" s="369"/>
      <c r="L56" s="369"/>
      <c r="M56" s="369"/>
      <c r="N56" s="369"/>
      <c r="O56" s="369"/>
      <c r="P56" s="369"/>
      <c r="Q56" s="369"/>
      <c r="R56" s="370"/>
      <c r="S56" s="371"/>
      <c r="T56" s="371"/>
      <c r="U56" s="371"/>
      <c r="V56" s="369"/>
      <c r="W56" s="369"/>
      <c r="X56" s="369"/>
      <c r="Y56" s="372"/>
      <c r="Z56" s="369"/>
    </row>
    <row r="57" spans="1:27" s="368" customFormat="1" x14ac:dyDescent="0.3">
      <c r="A57" s="369"/>
      <c r="B57" s="369"/>
      <c r="C57" s="369"/>
      <c r="E57" s="369"/>
      <c r="F57" s="369"/>
      <c r="G57" s="369"/>
      <c r="H57" s="369"/>
      <c r="I57" s="369"/>
      <c r="J57" s="369"/>
      <c r="K57" s="369"/>
      <c r="L57" s="369"/>
      <c r="M57" s="369"/>
      <c r="N57" s="369"/>
      <c r="O57" s="369"/>
      <c r="P57" s="369"/>
      <c r="Q57" s="369"/>
      <c r="R57" s="370"/>
      <c r="S57" s="371"/>
      <c r="T57" s="371"/>
      <c r="U57" s="371"/>
      <c r="V57" s="369"/>
      <c r="W57" s="369"/>
      <c r="X57" s="369"/>
      <c r="Y57" s="372"/>
      <c r="Z57" s="369"/>
    </row>
    <row r="58" spans="1:27" s="368" customFormat="1" x14ac:dyDescent="0.3">
      <c r="A58" s="369"/>
      <c r="B58" s="369"/>
      <c r="C58" s="369"/>
      <c r="E58" s="369"/>
      <c r="F58" s="369"/>
      <c r="G58" s="369"/>
      <c r="H58" s="369"/>
      <c r="I58" s="369"/>
      <c r="J58" s="369"/>
      <c r="K58" s="369"/>
      <c r="L58" s="369"/>
      <c r="M58" s="369"/>
      <c r="N58" s="369"/>
      <c r="O58" s="369"/>
      <c r="P58" s="369"/>
      <c r="Q58" s="369"/>
      <c r="R58" s="370"/>
      <c r="S58" s="371"/>
      <c r="T58" s="371"/>
      <c r="U58" s="371"/>
      <c r="V58" s="369"/>
      <c r="W58" s="369"/>
      <c r="X58" s="369"/>
      <c r="Y58" s="372"/>
      <c r="Z58" s="369"/>
    </row>
    <row r="59" spans="1:27" s="368" customFormat="1" x14ac:dyDescent="0.3">
      <c r="A59" s="369"/>
      <c r="B59" s="369"/>
      <c r="C59" s="369"/>
      <c r="E59" s="369"/>
      <c r="F59" s="369"/>
      <c r="G59" s="369"/>
      <c r="H59" s="369"/>
      <c r="I59" s="369"/>
      <c r="J59" s="369"/>
      <c r="K59" s="369"/>
      <c r="L59" s="369"/>
      <c r="M59" s="369"/>
      <c r="N59" s="369"/>
      <c r="O59" s="369"/>
      <c r="P59" s="369"/>
      <c r="Q59" s="369"/>
      <c r="R59" s="370"/>
      <c r="S59" s="371"/>
      <c r="T59" s="371"/>
      <c r="U59" s="371"/>
      <c r="V59" s="369"/>
      <c r="W59" s="369"/>
      <c r="X59" s="369"/>
      <c r="Y59" s="372"/>
      <c r="Z59" s="369"/>
    </row>
    <row r="60" spans="1:27" x14ac:dyDescent="0.3">
      <c r="A60" s="236"/>
      <c r="B60" s="236"/>
      <c r="C60" s="236"/>
      <c r="D60" s="3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43"/>
      <c r="R60" s="44"/>
      <c r="S60" s="45"/>
      <c r="T60" s="45"/>
      <c r="U60" s="45"/>
      <c r="V60" s="43"/>
      <c r="W60" s="43"/>
      <c r="X60" s="43"/>
      <c r="Y60" s="46"/>
      <c r="Z60" s="43"/>
    </row>
    <row r="61" spans="1:27" x14ac:dyDescent="0.3">
      <c r="Q61" s="43"/>
      <c r="R61" s="44"/>
      <c r="S61" s="45"/>
      <c r="T61" s="45"/>
      <c r="U61" s="45"/>
      <c r="V61" s="43"/>
      <c r="W61" s="43"/>
      <c r="X61" s="43"/>
      <c r="Y61" s="46"/>
      <c r="Z61" s="43"/>
    </row>
    <row r="62" spans="1:27" x14ac:dyDescent="0.3">
      <c r="Q62" s="43"/>
      <c r="R62" s="44"/>
      <c r="S62" s="45"/>
      <c r="T62" s="45"/>
      <c r="U62" s="45"/>
      <c r="V62" s="43"/>
      <c r="W62" s="43"/>
      <c r="X62" s="43"/>
      <c r="Y62" s="46"/>
      <c r="Z62" s="43"/>
    </row>
    <row r="63" spans="1:27" x14ac:dyDescent="0.3">
      <c r="Q63" s="43"/>
      <c r="R63" s="44"/>
      <c r="S63" s="45"/>
      <c r="T63" s="45"/>
      <c r="U63" s="45"/>
      <c r="V63" s="43"/>
      <c r="W63" s="43"/>
      <c r="X63" s="43"/>
      <c r="Y63" s="46"/>
      <c r="Z63" s="43"/>
    </row>
    <row r="64" spans="1:27" x14ac:dyDescent="0.3">
      <c r="Q64" s="43"/>
      <c r="R64" s="44"/>
      <c r="S64" s="45"/>
      <c r="T64" s="45"/>
      <c r="U64" s="45"/>
      <c r="V64" s="43"/>
      <c r="W64" s="43"/>
      <c r="X64" s="43"/>
      <c r="Y64" s="46"/>
      <c r="Z64" s="43"/>
    </row>
    <row r="65" spans="17:26" x14ac:dyDescent="0.3">
      <c r="Q65" s="43"/>
      <c r="R65" s="44"/>
      <c r="S65" s="45"/>
      <c r="T65" s="45"/>
      <c r="U65" s="45"/>
      <c r="V65" s="43"/>
      <c r="W65" s="43"/>
      <c r="X65" s="43"/>
      <c r="Y65" s="46"/>
      <c r="Z65" s="43"/>
    </row>
  </sheetData>
  <autoFilter ref="R7:AA47">
    <filterColumn colId="1" showButton="0"/>
    <filterColumn colId="2" showButton="0"/>
    <filterColumn colId="3" showButton="0"/>
  </autoFilter>
  <mergeCells count="19">
    <mergeCell ref="E2:Z2"/>
    <mergeCell ref="E3:Z3"/>
    <mergeCell ref="E4:Z4"/>
    <mergeCell ref="E5:AJ5"/>
    <mergeCell ref="A7:A8"/>
    <mergeCell ref="B7:C8"/>
    <mergeCell ref="D7:D8"/>
    <mergeCell ref="E7:E8"/>
    <mergeCell ref="F7:P7"/>
    <mergeCell ref="R7:R8"/>
    <mergeCell ref="R51:T51"/>
    <mergeCell ref="R54:T54"/>
    <mergeCell ref="R55:Z55"/>
    <mergeCell ref="S7:V7"/>
    <mergeCell ref="W7:W8"/>
    <mergeCell ref="X7:X8"/>
    <mergeCell ref="Y7:Y8"/>
    <mergeCell ref="Z7:Z8"/>
    <mergeCell ref="R50:Z50"/>
  </mergeCells>
  <printOptions horizontalCentered="1"/>
  <pageMargins left="0.56000000000000005" right="0.16" top="0.27" bottom="0.21" header="0.2" footer="0.27"/>
  <pageSetup scale="98" orientation="landscape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36"/>
  <sheetViews>
    <sheetView showZeros="0" zoomScale="110" workbookViewId="0">
      <selection activeCell="K17" sqref="K17"/>
    </sheetView>
  </sheetViews>
  <sheetFormatPr defaultRowHeight="18.75" x14ac:dyDescent="0.3"/>
  <cols>
    <col min="1" max="1" width="4.3984375" style="1" customWidth="1"/>
    <col min="2" max="2" width="12.8984375" style="1" customWidth="1"/>
    <col min="3" max="3" width="3.3984375" style="1" customWidth="1"/>
    <col min="4" max="4" width="3.796875" customWidth="1"/>
    <col min="5" max="5" width="3.59765625" style="1" customWidth="1"/>
    <col min="6" max="6" width="3.69921875" style="237" customWidth="1"/>
    <col min="7" max="7" width="5.69921875" style="237" customWidth="1"/>
    <col min="8" max="8" width="3.69921875" style="237" customWidth="1"/>
    <col min="9" max="9" width="6.19921875" style="237" customWidth="1"/>
    <col min="10" max="10" width="3.69921875" style="237" customWidth="1"/>
    <col min="11" max="11" width="4.59765625" style="237" customWidth="1"/>
    <col min="12" max="12" width="5.8984375" style="237" customWidth="1"/>
    <col min="13" max="13" width="5.296875" style="237" customWidth="1"/>
    <col min="14" max="14" width="3.69921875" style="237" customWidth="1"/>
    <col min="15" max="15" width="5.69921875" style="237" customWidth="1"/>
    <col min="16" max="16" width="3.69921875" style="237" customWidth="1"/>
    <col min="17" max="17" width="5.19921875" style="237" customWidth="1"/>
    <col min="18" max="18" width="3.69921875" style="237" customWidth="1"/>
    <col min="19" max="19" width="4.5" style="237" customWidth="1"/>
    <col min="20" max="20" width="3.296875" style="237" customWidth="1"/>
    <col min="21" max="21" width="3.69921875" style="237" customWidth="1"/>
    <col min="22" max="22" width="8.69921875" style="237" customWidth="1"/>
    <col min="23" max="23" width="3.69921875" style="5" customWidth="1"/>
    <col min="24" max="26" width="2.19921875" style="22" customWidth="1"/>
    <col min="27" max="29" width="3.3984375" style="1" customWidth="1"/>
    <col min="30" max="30" width="4.3984375" style="15" customWidth="1"/>
    <col min="31" max="31" width="22.296875" style="1" customWidth="1"/>
    <col min="32" max="32" width="9.296875" customWidth="1"/>
    <col min="33" max="33" width="10.19921875" customWidth="1"/>
  </cols>
  <sheetData>
    <row r="1" spans="1:31" ht="24.75" customHeight="1" x14ac:dyDescent="0.35">
      <c r="A1" s="1148" t="s">
        <v>44</v>
      </c>
      <c r="B1" s="1148"/>
      <c r="C1" s="1148"/>
      <c r="D1" s="1148"/>
      <c r="E1" s="1148"/>
      <c r="F1" s="1148"/>
      <c r="G1" s="1148"/>
      <c r="H1" s="1148"/>
      <c r="I1" s="1148"/>
      <c r="J1" s="1148"/>
      <c r="K1" s="1148"/>
      <c r="L1" s="1148"/>
      <c r="M1" s="1148"/>
      <c r="N1" s="1148"/>
      <c r="O1" s="1148"/>
      <c r="P1" s="1148"/>
      <c r="Q1" s="1148"/>
      <c r="R1" s="1148"/>
      <c r="S1" s="1148"/>
      <c r="T1" s="1148"/>
      <c r="U1" s="1148"/>
      <c r="V1" s="62"/>
      <c r="W1"/>
      <c r="X1"/>
      <c r="Y1"/>
      <c r="Z1"/>
      <c r="AA1"/>
      <c r="AB1"/>
      <c r="AC1"/>
      <c r="AD1"/>
      <c r="AE1"/>
    </row>
    <row r="2" spans="1:31" ht="24.75" customHeight="1" x14ac:dyDescent="0.35">
      <c r="A2" s="1149" t="s">
        <v>443</v>
      </c>
      <c r="B2" s="1148"/>
      <c r="C2" s="1148"/>
      <c r="D2" s="1148"/>
      <c r="E2" s="1148"/>
      <c r="F2" s="1148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/>
      <c r="X2"/>
      <c r="Y2"/>
      <c r="Z2"/>
      <c r="AA2"/>
      <c r="AB2"/>
      <c r="AC2"/>
      <c r="AD2"/>
      <c r="AE2"/>
    </row>
    <row r="3" spans="1:31" ht="6.75" customHeight="1" thickBot="1" x14ac:dyDescent="0.4">
      <c r="A3" s="162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/>
      <c r="X3"/>
      <c r="Y3"/>
      <c r="Z3"/>
      <c r="AA3"/>
      <c r="AB3"/>
      <c r="AC3"/>
      <c r="AD3"/>
      <c r="AE3"/>
    </row>
    <row r="4" spans="1:31" ht="9" hidden="1" customHeight="1" thickBot="1" x14ac:dyDescent="0.3">
      <c r="A4" s="26"/>
      <c r="B4" s="26"/>
      <c r="C4" s="26"/>
      <c r="D4" s="26"/>
      <c r="E4" s="26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/>
      <c r="X4"/>
      <c r="Y4"/>
      <c r="Z4"/>
      <c r="AA4"/>
      <c r="AB4"/>
      <c r="AC4"/>
      <c r="AD4"/>
      <c r="AE4"/>
    </row>
    <row r="5" spans="1:31" s="27" customFormat="1" ht="18.75" customHeight="1" thickTop="1" x14ac:dyDescent="0.25">
      <c r="A5" s="1150" t="s">
        <v>45</v>
      </c>
      <c r="B5" s="1153" t="s">
        <v>46</v>
      </c>
      <c r="C5" s="1153" t="s">
        <v>47</v>
      </c>
      <c r="D5" s="1156" t="s">
        <v>48</v>
      </c>
      <c r="E5" s="1156"/>
      <c r="F5" s="1157" t="s">
        <v>49</v>
      </c>
      <c r="G5" s="1158"/>
      <c r="H5" s="1158"/>
      <c r="I5" s="1158"/>
      <c r="J5" s="1158"/>
      <c r="K5" s="1158"/>
      <c r="L5" s="1158"/>
      <c r="M5" s="1159"/>
      <c r="N5" s="1158" t="s">
        <v>50</v>
      </c>
      <c r="O5" s="1158"/>
      <c r="P5" s="1158"/>
      <c r="Q5" s="1158"/>
      <c r="R5" s="1158"/>
      <c r="S5" s="1158"/>
      <c r="T5" s="1158"/>
      <c r="U5" s="1160"/>
      <c r="V5" s="63" t="s">
        <v>51</v>
      </c>
    </row>
    <row r="6" spans="1:31" s="27" customFormat="1" ht="18.75" customHeight="1" x14ac:dyDescent="0.25">
      <c r="A6" s="1151"/>
      <c r="B6" s="1317"/>
      <c r="C6" s="1154"/>
      <c r="D6" s="28" t="s">
        <v>52</v>
      </c>
      <c r="E6" s="28" t="s">
        <v>53</v>
      </c>
      <c r="F6" s="1146" t="s">
        <v>54</v>
      </c>
      <c r="G6" s="1146"/>
      <c r="H6" s="1146" t="s">
        <v>95</v>
      </c>
      <c r="I6" s="1146"/>
      <c r="J6" s="1146" t="s">
        <v>55</v>
      </c>
      <c r="K6" s="1146"/>
      <c r="L6" s="65" t="s">
        <v>56</v>
      </c>
      <c r="M6" s="66" t="s">
        <v>56</v>
      </c>
      <c r="N6" s="1147" t="s">
        <v>101</v>
      </c>
      <c r="O6" s="1145"/>
      <c r="P6" s="1145" t="s">
        <v>95</v>
      </c>
      <c r="Q6" s="1145"/>
      <c r="R6" s="1145" t="s">
        <v>55</v>
      </c>
      <c r="S6" s="1145"/>
      <c r="T6" s="1145" t="s">
        <v>57</v>
      </c>
      <c r="U6" s="1145"/>
      <c r="V6" s="67" t="s">
        <v>58</v>
      </c>
    </row>
    <row r="7" spans="1:31" s="27" customFormat="1" ht="18.75" customHeight="1" x14ac:dyDescent="0.25">
      <c r="A7" s="1152"/>
      <c r="B7" s="1318"/>
      <c r="C7" s="1155"/>
      <c r="D7" s="29" t="s">
        <v>59</v>
      </c>
      <c r="E7" s="29" t="s">
        <v>60</v>
      </c>
      <c r="F7" s="675" t="s">
        <v>61</v>
      </c>
      <c r="G7" s="675" t="s">
        <v>62</v>
      </c>
      <c r="H7" s="675" t="s">
        <v>61</v>
      </c>
      <c r="I7" s="675" t="s">
        <v>62</v>
      </c>
      <c r="J7" s="675" t="s">
        <v>61</v>
      </c>
      <c r="K7" s="675" t="s">
        <v>62</v>
      </c>
      <c r="L7" s="68" t="s">
        <v>63</v>
      </c>
      <c r="M7" s="69" t="s">
        <v>64</v>
      </c>
      <c r="N7" s="70" t="s">
        <v>61</v>
      </c>
      <c r="O7" s="675" t="s">
        <v>62</v>
      </c>
      <c r="P7" s="675" t="s">
        <v>61</v>
      </c>
      <c r="Q7" s="675" t="s">
        <v>62</v>
      </c>
      <c r="R7" s="675" t="s">
        <v>61</v>
      </c>
      <c r="S7" s="675" t="s">
        <v>62</v>
      </c>
      <c r="T7" s="675" t="s">
        <v>61</v>
      </c>
      <c r="U7" s="675" t="s">
        <v>62</v>
      </c>
      <c r="V7" s="67" t="s">
        <v>65</v>
      </c>
    </row>
    <row r="8" spans="1:31" s="21" customFormat="1" ht="16.5" customHeight="1" x14ac:dyDescent="0.2">
      <c r="A8" s="121" t="s">
        <v>66</v>
      </c>
      <c r="B8" s="30" t="s">
        <v>36</v>
      </c>
      <c r="C8" s="149">
        <v>34</v>
      </c>
      <c r="D8" s="30">
        <v>65</v>
      </c>
      <c r="E8" s="30">
        <v>65</v>
      </c>
      <c r="F8" s="33"/>
      <c r="G8" s="71">
        <f t="shared" ref="G8:G35" si="0">F8/E8*100</f>
        <v>0</v>
      </c>
      <c r="H8" s="30"/>
      <c r="I8" s="71">
        <f>H8/E8*100</f>
        <v>0</v>
      </c>
      <c r="J8" s="30"/>
      <c r="K8" s="71">
        <f t="shared" ref="K8:K14" si="1">J8/E8*100</f>
        <v>0</v>
      </c>
      <c r="L8" s="71">
        <f>G8+I8+K8</f>
        <v>0</v>
      </c>
      <c r="M8" s="72">
        <f t="shared" ref="M8:M35" si="2">G8+I8</f>
        <v>0</v>
      </c>
      <c r="N8" s="75"/>
      <c r="O8" s="71">
        <f t="shared" ref="O8:O34" si="3">N8/E8*100</f>
        <v>0</v>
      </c>
      <c r="P8" s="33"/>
      <c r="Q8" s="83">
        <f t="shared" ref="Q8:Q22" si="4">P8/E8*100</f>
        <v>0</v>
      </c>
      <c r="R8" s="33"/>
      <c r="S8" s="71">
        <f>R8/E8*100</f>
        <v>0</v>
      </c>
      <c r="T8" s="145"/>
      <c r="U8" s="145"/>
      <c r="V8" s="76">
        <v>65</v>
      </c>
    </row>
    <row r="9" spans="1:31" s="144" customFormat="1" ht="16.5" customHeight="1" x14ac:dyDescent="0.2">
      <c r="A9" s="140" t="s">
        <v>67</v>
      </c>
      <c r="B9" s="141" t="s">
        <v>36</v>
      </c>
      <c r="C9" s="150">
        <v>34</v>
      </c>
      <c r="D9" s="139">
        <v>65</v>
      </c>
      <c r="E9" s="139">
        <v>65</v>
      </c>
      <c r="F9" s="139"/>
      <c r="G9" s="71">
        <f t="shared" si="0"/>
        <v>0</v>
      </c>
      <c r="H9" s="139"/>
      <c r="I9" s="71">
        <f>H9/E9*100</f>
        <v>0</v>
      </c>
      <c r="J9" s="139"/>
      <c r="K9" s="71">
        <f t="shared" si="1"/>
        <v>0</v>
      </c>
      <c r="L9" s="71">
        <f>G9+I9+K9</f>
        <v>0</v>
      </c>
      <c r="M9" s="72">
        <f>G9+I9</f>
        <v>0</v>
      </c>
      <c r="N9" s="142"/>
      <c r="O9" s="71">
        <f t="shared" si="3"/>
        <v>0</v>
      </c>
      <c r="P9" s="139"/>
      <c r="Q9" s="83">
        <f t="shared" si="4"/>
        <v>0</v>
      </c>
      <c r="R9" s="139"/>
      <c r="S9" s="71">
        <f>R9/E9*100</f>
        <v>0</v>
      </c>
      <c r="T9" s="146"/>
      <c r="U9" s="146"/>
      <c r="V9" s="143">
        <v>65</v>
      </c>
    </row>
    <row r="10" spans="1:31" s="116" customFormat="1" ht="16.5" customHeight="1" x14ac:dyDescent="0.2">
      <c r="A10" s="1305" t="s">
        <v>68</v>
      </c>
      <c r="B10" s="1306"/>
      <c r="C10" s="154"/>
      <c r="D10" s="77">
        <f>SUM(D8:D9)</f>
        <v>130</v>
      </c>
      <c r="E10" s="77">
        <f>SUM(E8:E9)</f>
        <v>130</v>
      </c>
      <c r="F10" s="77">
        <f>SUM(F8:F9)</f>
        <v>0</v>
      </c>
      <c r="G10" s="78">
        <f t="shared" si="0"/>
        <v>0</v>
      </c>
      <c r="H10" s="77">
        <f>SUM(H8:H9)</f>
        <v>0</v>
      </c>
      <c r="I10" s="78">
        <f>H10/E10*100</f>
        <v>0</v>
      </c>
      <c r="J10" s="77">
        <f>SUM(J8:J9)</f>
        <v>0</v>
      </c>
      <c r="K10" s="78">
        <f t="shared" si="1"/>
        <v>0</v>
      </c>
      <c r="L10" s="78">
        <f>G10+I10+K10</f>
        <v>0</v>
      </c>
      <c r="M10" s="79">
        <f>G10+I10</f>
        <v>0</v>
      </c>
      <c r="N10" s="77">
        <f>SUM(N8:N9)</f>
        <v>0</v>
      </c>
      <c r="O10" s="78">
        <f t="shared" si="3"/>
        <v>0</v>
      </c>
      <c r="P10" s="77">
        <f>SUM(P8:P9)</f>
        <v>0</v>
      </c>
      <c r="Q10" s="92">
        <f t="shared" si="4"/>
        <v>0</v>
      </c>
      <c r="R10" s="77">
        <f>SUM(R8:R9)</f>
        <v>0</v>
      </c>
      <c r="S10" s="78">
        <f>R10/E10*100</f>
        <v>0</v>
      </c>
      <c r="T10" s="77">
        <f>SUM(T8:T9)</f>
        <v>0</v>
      </c>
      <c r="U10" s="78"/>
      <c r="V10" s="115">
        <f>SUM(V8:V9)</f>
        <v>130</v>
      </c>
    </row>
    <row r="11" spans="1:31" s="21" customFormat="1" ht="16.5" customHeight="1" x14ac:dyDescent="0.2">
      <c r="A11" s="1313" t="s">
        <v>69</v>
      </c>
      <c r="B11" s="33" t="s">
        <v>70</v>
      </c>
      <c r="C11" s="148">
        <v>39</v>
      </c>
      <c r="D11" s="33">
        <v>26</v>
      </c>
      <c r="E11" s="33">
        <v>26</v>
      </c>
      <c r="F11" s="33">
        <v>1</v>
      </c>
      <c r="G11" s="71">
        <f t="shared" si="0"/>
        <v>3.8461538461538463</v>
      </c>
      <c r="H11" s="33">
        <v>20</v>
      </c>
      <c r="I11" s="71">
        <f t="shared" ref="I11:I35" si="5">H11/E11*100</f>
        <v>76.923076923076934</v>
      </c>
      <c r="J11" s="33">
        <v>5</v>
      </c>
      <c r="K11" s="71">
        <f t="shared" si="1"/>
        <v>19.230769230769234</v>
      </c>
      <c r="L11" s="71">
        <f t="shared" ref="L11:L35" si="6">G11+I11+K11</f>
        <v>100</v>
      </c>
      <c r="M11" s="72">
        <f t="shared" si="2"/>
        <v>80.769230769230774</v>
      </c>
      <c r="N11" s="73"/>
      <c r="O11" s="71">
        <f t="shared" si="3"/>
        <v>0</v>
      </c>
      <c r="P11" s="33"/>
      <c r="Q11" s="71">
        <f>P11/E11*100</f>
        <v>0</v>
      </c>
      <c r="R11" s="33"/>
      <c r="S11" s="71"/>
      <c r="T11" s="33"/>
      <c r="U11" s="71"/>
      <c r="V11" s="74">
        <v>26</v>
      </c>
    </row>
    <row r="12" spans="1:31" s="21" customFormat="1" ht="16.5" customHeight="1" x14ac:dyDescent="0.2">
      <c r="A12" s="1314"/>
      <c r="B12" s="30" t="s">
        <v>37</v>
      </c>
      <c r="C12" s="149">
        <v>41</v>
      </c>
      <c r="D12" s="30">
        <v>47</v>
      </c>
      <c r="E12" s="30">
        <v>47</v>
      </c>
      <c r="F12" s="30"/>
      <c r="G12" s="71">
        <f t="shared" si="0"/>
        <v>0</v>
      </c>
      <c r="H12" s="30"/>
      <c r="I12" s="71">
        <f t="shared" si="5"/>
        <v>0</v>
      </c>
      <c r="J12" s="30"/>
      <c r="K12" s="71">
        <f t="shared" si="1"/>
        <v>0</v>
      </c>
      <c r="L12" s="71">
        <f t="shared" si="6"/>
        <v>0</v>
      </c>
      <c r="M12" s="72">
        <f t="shared" si="2"/>
        <v>0</v>
      </c>
      <c r="N12" s="75"/>
      <c r="O12" s="71">
        <f t="shared" si="3"/>
        <v>0</v>
      </c>
      <c r="P12" s="33"/>
      <c r="Q12" s="83">
        <f t="shared" si="4"/>
        <v>0</v>
      </c>
      <c r="R12" s="33"/>
      <c r="S12" s="95">
        <f t="shared" ref="S12:S18" si="7">R12/E12*100</f>
        <v>0</v>
      </c>
      <c r="T12" s="33"/>
      <c r="U12" s="71"/>
      <c r="V12" s="76">
        <v>47</v>
      </c>
    </row>
    <row r="13" spans="1:31" s="21" customFormat="1" ht="16.5" customHeight="1" x14ac:dyDescent="0.2">
      <c r="A13" s="1315"/>
      <c r="B13" s="31" t="s">
        <v>71</v>
      </c>
      <c r="C13" s="151">
        <v>41</v>
      </c>
      <c r="D13" s="31">
        <v>47</v>
      </c>
      <c r="E13" s="31">
        <v>47</v>
      </c>
      <c r="F13" s="31"/>
      <c r="G13" s="80">
        <f t="shared" si="0"/>
        <v>0</v>
      </c>
      <c r="H13" s="31"/>
      <c r="I13" s="80">
        <f t="shared" si="5"/>
        <v>0</v>
      </c>
      <c r="J13" s="31"/>
      <c r="K13" s="80">
        <f t="shared" si="1"/>
        <v>0</v>
      </c>
      <c r="L13" s="80">
        <f t="shared" si="6"/>
        <v>0</v>
      </c>
      <c r="M13" s="81">
        <f t="shared" si="2"/>
        <v>0</v>
      </c>
      <c r="N13" s="82"/>
      <c r="O13" s="71">
        <f t="shared" si="3"/>
        <v>0</v>
      </c>
      <c r="P13" s="84"/>
      <c r="Q13" s="83">
        <f t="shared" si="4"/>
        <v>0</v>
      </c>
      <c r="R13" s="84"/>
      <c r="S13" s="95">
        <f t="shared" si="7"/>
        <v>0</v>
      </c>
      <c r="T13" s="84"/>
      <c r="U13" s="83"/>
      <c r="V13" s="85">
        <v>47</v>
      </c>
    </row>
    <row r="14" spans="1:31" s="116" customFormat="1" ht="16.5" customHeight="1" x14ac:dyDescent="0.2">
      <c r="A14" s="1305" t="s">
        <v>68</v>
      </c>
      <c r="B14" s="1306"/>
      <c r="C14" s="154"/>
      <c r="D14" s="77">
        <f>SUM(D11:D13)</f>
        <v>120</v>
      </c>
      <c r="E14" s="77">
        <f>SUM(E11:E13)</f>
        <v>120</v>
      </c>
      <c r="F14" s="77">
        <f>SUM(F11:F13)</f>
        <v>1</v>
      </c>
      <c r="G14" s="78">
        <f t="shared" si="0"/>
        <v>0.83333333333333337</v>
      </c>
      <c r="H14" s="77">
        <f>SUM(H11:H13)</f>
        <v>20</v>
      </c>
      <c r="I14" s="78">
        <f>H14/E14*100</f>
        <v>16.666666666666664</v>
      </c>
      <c r="J14" s="77">
        <f>SUM(J11:J13)</f>
        <v>5</v>
      </c>
      <c r="K14" s="78">
        <f t="shared" si="1"/>
        <v>4.1666666666666661</v>
      </c>
      <c r="L14" s="78">
        <f t="shared" si="6"/>
        <v>21.666666666666664</v>
      </c>
      <c r="M14" s="79">
        <f t="shared" si="2"/>
        <v>17.499999999999996</v>
      </c>
      <c r="N14" s="77">
        <f>SUM(N11:N13)</f>
        <v>0</v>
      </c>
      <c r="O14" s="78">
        <f t="shared" si="3"/>
        <v>0</v>
      </c>
      <c r="P14" s="77">
        <f>SUM(P11:P13)</f>
        <v>0</v>
      </c>
      <c r="Q14" s="78">
        <f t="shared" si="4"/>
        <v>0</v>
      </c>
      <c r="R14" s="77">
        <f>SUM(R11:R13)</f>
        <v>0</v>
      </c>
      <c r="S14" s="78">
        <f t="shared" si="7"/>
        <v>0</v>
      </c>
      <c r="T14" s="77">
        <f>SUM(T11:T13)</f>
        <v>0</v>
      </c>
      <c r="U14" s="78"/>
      <c r="V14" s="115">
        <f>SUM(V11:V13)</f>
        <v>120</v>
      </c>
    </row>
    <row r="15" spans="1:31" s="21" customFormat="1" ht="16.5" customHeight="1" x14ac:dyDescent="0.2">
      <c r="A15" s="1313" t="s">
        <v>72</v>
      </c>
      <c r="B15" s="33" t="s">
        <v>73</v>
      </c>
      <c r="C15" s="148">
        <v>41</v>
      </c>
      <c r="D15" s="33">
        <v>85</v>
      </c>
      <c r="E15" s="33">
        <v>85</v>
      </c>
      <c r="F15" s="33"/>
      <c r="G15" s="71">
        <f t="shared" si="0"/>
        <v>0</v>
      </c>
      <c r="H15" s="33"/>
      <c r="I15" s="71">
        <f t="shared" si="5"/>
        <v>0</v>
      </c>
      <c r="J15" s="33"/>
      <c r="K15" s="71"/>
      <c r="L15" s="113">
        <f t="shared" si="6"/>
        <v>0</v>
      </c>
      <c r="M15" s="72">
        <f t="shared" si="2"/>
        <v>0</v>
      </c>
      <c r="N15" s="73"/>
      <c r="O15" s="71">
        <f t="shared" si="3"/>
        <v>0</v>
      </c>
      <c r="P15" s="33"/>
      <c r="Q15" s="71">
        <f t="shared" si="4"/>
        <v>0</v>
      </c>
      <c r="R15" s="33"/>
      <c r="S15" s="71">
        <f t="shared" si="7"/>
        <v>0</v>
      </c>
      <c r="T15" s="33"/>
      <c r="U15" s="71"/>
      <c r="V15" s="74">
        <v>84</v>
      </c>
    </row>
    <row r="16" spans="1:31" s="21" customFormat="1" ht="16.5" customHeight="1" x14ac:dyDescent="0.2">
      <c r="A16" s="1314"/>
      <c r="B16" s="86" t="s">
        <v>74</v>
      </c>
      <c r="C16" s="152">
        <v>41</v>
      </c>
      <c r="D16" s="86">
        <v>63</v>
      </c>
      <c r="E16" s="84">
        <v>63</v>
      </c>
      <c r="F16" s="84"/>
      <c r="G16" s="71">
        <f t="shared" si="0"/>
        <v>0</v>
      </c>
      <c r="H16" s="33"/>
      <c r="I16" s="71">
        <f>H16/E16*100</f>
        <v>0</v>
      </c>
      <c r="J16" s="33"/>
      <c r="K16" s="71"/>
      <c r="L16" s="113">
        <f>G16+I16+K16</f>
        <v>0</v>
      </c>
      <c r="M16" s="72">
        <f>G16+I16</f>
        <v>0</v>
      </c>
      <c r="N16" s="73"/>
      <c r="O16" s="71">
        <f>N16/E16*100</f>
        <v>0</v>
      </c>
      <c r="P16" s="33"/>
      <c r="Q16" s="71">
        <f>P16/E16*100</f>
        <v>0</v>
      </c>
      <c r="R16" s="33"/>
      <c r="S16" s="71">
        <f>R16/E16*100</f>
        <v>0</v>
      </c>
      <c r="T16" s="84"/>
      <c r="U16" s="83"/>
      <c r="V16" s="90">
        <v>58</v>
      </c>
    </row>
    <row r="17" spans="1:22" s="116" customFormat="1" ht="16.5" customHeight="1" x14ac:dyDescent="0.2">
      <c r="A17" s="1305" t="s">
        <v>68</v>
      </c>
      <c r="B17" s="1306"/>
      <c r="C17" s="154"/>
      <c r="D17" s="77">
        <f>SUM(D15:D16)</f>
        <v>148</v>
      </c>
      <c r="E17" s="77">
        <f>SUM(E15:E16)</f>
        <v>148</v>
      </c>
      <c r="F17" s="77">
        <f>SUM(F15:F16)</f>
        <v>0</v>
      </c>
      <c r="G17" s="78">
        <f t="shared" si="0"/>
        <v>0</v>
      </c>
      <c r="H17" s="77">
        <f>SUM(H15:H16)</f>
        <v>0</v>
      </c>
      <c r="I17" s="78">
        <f t="shared" si="5"/>
        <v>0</v>
      </c>
      <c r="J17" s="77">
        <f>SUM(J15:J16)</f>
        <v>0</v>
      </c>
      <c r="K17" s="87">
        <f>J17/E17*100</f>
        <v>0</v>
      </c>
      <c r="L17" s="78">
        <f t="shared" si="6"/>
        <v>0</v>
      </c>
      <c r="M17" s="79">
        <f t="shared" si="2"/>
        <v>0</v>
      </c>
      <c r="N17" s="77">
        <f>SUM(N15:N16)</f>
        <v>0</v>
      </c>
      <c r="O17" s="78">
        <f t="shared" si="3"/>
        <v>0</v>
      </c>
      <c r="P17" s="77">
        <f>SUM(P15:P16)</f>
        <v>0</v>
      </c>
      <c r="Q17" s="78">
        <f t="shared" si="4"/>
        <v>0</v>
      </c>
      <c r="R17" s="77">
        <f>SUM(R15:R16)</f>
        <v>0</v>
      </c>
      <c r="S17" s="78">
        <f t="shared" si="7"/>
        <v>0</v>
      </c>
      <c r="T17" s="77">
        <f>SUM(T15:T16)</f>
        <v>0</v>
      </c>
      <c r="U17" s="78"/>
      <c r="V17" s="115">
        <f>SUM(V15:V16)</f>
        <v>142</v>
      </c>
    </row>
    <row r="18" spans="1:22" s="122" customFormat="1" ht="18" customHeight="1" thickBot="1" x14ac:dyDescent="0.3">
      <c r="A18" s="1183" t="s">
        <v>75</v>
      </c>
      <c r="B18" s="1184"/>
      <c r="C18" s="155"/>
      <c r="D18" s="124">
        <f>SUM(D10+D14+D17)</f>
        <v>398</v>
      </c>
      <c r="E18" s="124">
        <f>SUM(E10+E14+E17)</f>
        <v>398</v>
      </c>
      <c r="F18" s="124">
        <f>SUM(F10+F14+F17)</f>
        <v>1</v>
      </c>
      <c r="G18" s="125">
        <f t="shared" si="0"/>
        <v>0.25125628140703515</v>
      </c>
      <c r="H18" s="124">
        <f>SUM(H10+H14+H17)</f>
        <v>20</v>
      </c>
      <c r="I18" s="125">
        <f t="shared" si="5"/>
        <v>5.025125628140704</v>
      </c>
      <c r="J18" s="124">
        <f>SUM(J10+J14+J17)</f>
        <v>5</v>
      </c>
      <c r="K18" s="125">
        <f>J18/E18*100</f>
        <v>1.256281407035176</v>
      </c>
      <c r="L18" s="126">
        <f>G18+I18+K18</f>
        <v>6.5326633165829149</v>
      </c>
      <c r="M18" s="127">
        <f t="shared" si="2"/>
        <v>5.2763819095477391</v>
      </c>
      <c r="N18" s="124">
        <f>SUM(N10+N14+N17)</f>
        <v>0</v>
      </c>
      <c r="O18" s="125">
        <f t="shared" si="3"/>
        <v>0</v>
      </c>
      <c r="P18" s="124">
        <f>SUM(P10+P14+P17)</f>
        <v>0</v>
      </c>
      <c r="Q18" s="125">
        <f t="shared" si="4"/>
        <v>0</v>
      </c>
      <c r="R18" s="124">
        <f>SUM(R10+R14+R17)</f>
        <v>0</v>
      </c>
      <c r="S18" s="125">
        <f t="shared" si="7"/>
        <v>0</v>
      </c>
      <c r="T18" s="124">
        <f>SUM(T10+T14+T17)</f>
        <v>0</v>
      </c>
      <c r="U18" s="125"/>
      <c r="V18" s="128">
        <f>SUM(V10+V14+V17)</f>
        <v>392</v>
      </c>
    </row>
    <row r="19" spans="1:22" s="118" customFormat="1" ht="17.25" customHeight="1" x14ac:dyDescent="0.2">
      <c r="A19" s="1316" t="s">
        <v>76</v>
      </c>
      <c r="B19" s="117" t="s">
        <v>77</v>
      </c>
      <c r="C19" s="149">
        <v>31</v>
      </c>
      <c r="D19" s="30">
        <v>19</v>
      </c>
      <c r="E19" s="30">
        <v>19</v>
      </c>
      <c r="F19" s="30"/>
      <c r="G19" s="88">
        <f t="shared" si="0"/>
        <v>0</v>
      </c>
      <c r="H19" s="30"/>
      <c r="I19" s="88">
        <f>H19/E19*100</f>
        <v>0</v>
      </c>
      <c r="J19" s="30"/>
      <c r="K19" s="88"/>
      <c r="L19" s="88">
        <f>G19+I19+K19</f>
        <v>0</v>
      </c>
      <c r="M19" s="89">
        <f>G19+I19</f>
        <v>0</v>
      </c>
      <c r="N19" s="75"/>
      <c r="O19" s="88">
        <f>N19/E19*100</f>
        <v>0</v>
      </c>
      <c r="P19" s="30"/>
      <c r="Q19" s="88">
        <f t="shared" si="4"/>
        <v>0</v>
      </c>
      <c r="R19" s="30"/>
      <c r="S19" s="88"/>
      <c r="T19" s="30"/>
      <c r="U19" s="71"/>
      <c r="V19" s="90">
        <v>18</v>
      </c>
    </row>
    <row r="20" spans="1:22" s="21" customFormat="1" ht="17.25" customHeight="1" x14ac:dyDescent="0.2">
      <c r="A20" s="1314"/>
      <c r="B20" s="30" t="s">
        <v>78</v>
      </c>
      <c r="C20" s="149">
        <v>34</v>
      </c>
      <c r="D20" s="30">
        <v>46</v>
      </c>
      <c r="E20" s="30">
        <v>46</v>
      </c>
      <c r="F20" s="30"/>
      <c r="G20" s="88">
        <f t="shared" si="0"/>
        <v>0</v>
      </c>
      <c r="H20" s="30"/>
      <c r="I20" s="88">
        <f t="shared" si="5"/>
        <v>0</v>
      </c>
      <c r="J20" s="30"/>
      <c r="K20" s="71">
        <f t="shared" ref="K20:K26" si="8">J20/E20*100</f>
        <v>0</v>
      </c>
      <c r="L20" s="88">
        <f t="shared" si="6"/>
        <v>0</v>
      </c>
      <c r="M20" s="89">
        <f t="shared" si="2"/>
        <v>0</v>
      </c>
      <c r="N20" s="75"/>
      <c r="O20" s="88">
        <f t="shared" si="3"/>
        <v>0</v>
      </c>
      <c r="P20" s="30"/>
      <c r="Q20" s="88">
        <f t="shared" si="4"/>
        <v>0</v>
      </c>
      <c r="R20" s="30"/>
      <c r="S20" s="88"/>
      <c r="T20" s="30"/>
      <c r="U20" s="88"/>
      <c r="V20" s="76">
        <v>46</v>
      </c>
    </row>
    <row r="21" spans="1:22" s="21" customFormat="1" ht="17.25" customHeight="1" x14ac:dyDescent="0.2">
      <c r="A21" s="1314"/>
      <c r="B21" s="30" t="s">
        <v>79</v>
      </c>
      <c r="C21" s="149">
        <v>39</v>
      </c>
      <c r="D21" s="33">
        <v>24</v>
      </c>
      <c r="E21" s="33">
        <v>24</v>
      </c>
      <c r="F21" s="33"/>
      <c r="G21" s="71">
        <f t="shared" si="0"/>
        <v>0</v>
      </c>
      <c r="H21" s="33"/>
      <c r="I21" s="80">
        <f t="shared" si="5"/>
        <v>0</v>
      </c>
      <c r="J21" s="33"/>
      <c r="K21" s="71">
        <f t="shared" si="8"/>
        <v>0</v>
      </c>
      <c r="L21" s="83">
        <f t="shared" si="6"/>
        <v>0</v>
      </c>
      <c r="M21" s="72">
        <f t="shared" si="2"/>
        <v>0</v>
      </c>
      <c r="N21" s="73"/>
      <c r="O21" s="71">
        <f t="shared" si="3"/>
        <v>0</v>
      </c>
      <c r="P21" s="31"/>
      <c r="Q21" s="80">
        <f t="shared" si="4"/>
        <v>0</v>
      </c>
      <c r="R21" s="31"/>
      <c r="S21" s="80"/>
      <c r="T21" s="31"/>
      <c r="U21" s="80"/>
      <c r="V21" s="85">
        <v>24</v>
      </c>
    </row>
    <row r="22" spans="1:22" s="116" customFormat="1" ht="17.25" customHeight="1" x14ac:dyDescent="0.2">
      <c r="A22" s="1305" t="s">
        <v>68</v>
      </c>
      <c r="B22" s="1306"/>
      <c r="C22" s="154"/>
      <c r="D22" s="77">
        <f>SUM(D19:D21)</f>
        <v>89</v>
      </c>
      <c r="E22" s="77">
        <f>SUM(E19:E21)</f>
        <v>89</v>
      </c>
      <c r="F22" s="77">
        <f>SUM(F19:F21)</f>
        <v>0</v>
      </c>
      <c r="G22" s="78">
        <f t="shared" si="0"/>
        <v>0</v>
      </c>
      <c r="H22" s="77">
        <f>SUM(H19:H21)</f>
        <v>0</v>
      </c>
      <c r="I22" s="91">
        <f t="shared" si="5"/>
        <v>0</v>
      </c>
      <c r="J22" s="77">
        <f>SUM(J19:J21)</f>
        <v>0</v>
      </c>
      <c r="K22" s="78">
        <f t="shared" si="8"/>
        <v>0</v>
      </c>
      <c r="L22" s="92">
        <f t="shared" si="6"/>
        <v>0</v>
      </c>
      <c r="M22" s="79">
        <f t="shared" si="2"/>
        <v>0</v>
      </c>
      <c r="N22" s="77">
        <f>SUM(N19:N21)</f>
        <v>0</v>
      </c>
      <c r="O22" s="78">
        <f t="shared" si="3"/>
        <v>0</v>
      </c>
      <c r="P22" s="77">
        <f>SUM(P19:P21)</f>
        <v>0</v>
      </c>
      <c r="Q22" s="78">
        <f t="shared" si="4"/>
        <v>0</v>
      </c>
      <c r="R22" s="77">
        <f>SUM(R19:R21)</f>
        <v>0</v>
      </c>
      <c r="S22" s="78"/>
      <c r="T22" s="77">
        <f>SUM(T19:T21)</f>
        <v>0</v>
      </c>
      <c r="U22" s="78"/>
      <c r="V22" s="115">
        <f>SUM(V19:V21)</f>
        <v>88</v>
      </c>
    </row>
    <row r="23" spans="1:22" s="21" customFormat="1" ht="17.25" customHeight="1" x14ac:dyDescent="0.2">
      <c r="A23" s="1311"/>
      <c r="B23" s="30" t="s">
        <v>80</v>
      </c>
      <c r="C23" s="149">
        <v>35</v>
      </c>
      <c r="D23" s="30">
        <v>32</v>
      </c>
      <c r="E23" s="30">
        <v>32</v>
      </c>
      <c r="F23" s="30"/>
      <c r="G23" s="88">
        <f t="shared" si="0"/>
        <v>0</v>
      </c>
      <c r="H23" s="30"/>
      <c r="I23" s="88">
        <f t="shared" si="5"/>
        <v>0</v>
      </c>
      <c r="J23" s="30"/>
      <c r="K23" s="71">
        <f t="shared" si="8"/>
        <v>0</v>
      </c>
      <c r="L23" s="88">
        <f t="shared" si="6"/>
        <v>0</v>
      </c>
      <c r="M23" s="89">
        <f t="shared" si="2"/>
        <v>0</v>
      </c>
      <c r="N23" s="94"/>
      <c r="O23" s="71">
        <f t="shared" si="3"/>
        <v>0</v>
      </c>
      <c r="P23" s="30"/>
      <c r="Q23" s="88">
        <f>P23/E23*100</f>
        <v>0</v>
      </c>
      <c r="R23" s="30"/>
      <c r="S23" s="71"/>
      <c r="T23" s="30"/>
      <c r="U23" s="88"/>
      <c r="V23" s="76">
        <v>32</v>
      </c>
    </row>
    <row r="24" spans="1:22" s="21" customFormat="1" ht="17.25" customHeight="1" x14ac:dyDescent="0.2">
      <c r="A24" s="1311"/>
      <c r="B24" s="30" t="s">
        <v>81</v>
      </c>
      <c r="C24" s="149">
        <v>33</v>
      </c>
      <c r="D24" s="30">
        <v>18</v>
      </c>
      <c r="E24" s="30">
        <v>18</v>
      </c>
      <c r="F24" s="30"/>
      <c r="G24" s="71">
        <f t="shared" si="0"/>
        <v>0</v>
      </c>
      <c r="H24" s="30"/>
      <c r="I24" s="88">
        <f>H24/E24*100</f>
        <v>0</v>
      </c>
      <c r="J24" s="30"/>
      <c r="K24" s="88">
        <f t="shared" si="8"/>
        <v>0</v>
      </c>
      <c r="L24" s="71">
        <f t="shared" si="6"/>
        <v>0</v>
      </c>
      <c r="M24" s="89">
        <f t="shared" si="2"/>
        <v>0</v>
      </c>
      <c r="N24" s="75"/>
      <c r="O24" s="71">
        <f t="shared" si="3"/>
        <v>0</v>
      </c>
      <c r="P24" s="33"/>
      <c r="Q24" s="88">
        <f>P24/E24*100</f>
        <v>0</v>
      </c>
      <c r="R24" s="33"/>
      <c r="S24" s="71"/>
      <c r="T24" s="33"/>
      <c r="U24" s="71"/>
      <c r="V24" s="76">
        <v>18</v>
      </c>
    </row>
    <row r="25" spans="1:22" s="21" customFormat="1" ht="17.25" customHeight="1" x14ac:dyDescent="0.2">
      <c r="A25" s="1312"/>
      <c r="B25" s="31" t="s">
        <v>82</v>
      </c>
      <c r="C25" s="151">
        <v>41</v>
      </c>
      <c r="D25" s="31">
        <v>73</v>
      </c>
      <c r="E25" s="31">
        <v>73</v>
      </c>
      <c r="F25" s="31">
        <v>2</v>
      </c>
      <c r="G25" s="80">
        <f t="shared" si="0"/>
        <v>2.7397260273972601</v>
      </c>
      <c r="H25" s="31">
        <v>62</v>
      </c>
      <c r="I25" s="95">
        <f t="shared" si="5"/>
        <v>84.93150684931507</v>
      </c>
      <c r="J25" s="31">
        <v>9</v>
      </c>
      <c r="K25" s="88">
        <f t="shared" si="8"/>
        <v>12.328767123287671</v>
      </c>
      <c r="L25" s="80">
        <f t="shared" si="6"/>
        <v>100</v>
      </c>
      <c r="M25" s="96">
        <f t="shared" si="2"/>
        <v>87.671232876712324</v>
      </c>
      <c r="N25" s="82">
        <v>64</v>
      </c>
      <c r="O25" s="83">
        <f t="shared" si="3"/>
        <v>87.671232876712324</v>
      </c>
      <c r="P25" s="31">
        <v>9</v>
      </c>
      <c r="Q25" s="80">
        <f t="shared" ref="Q25:Q35" si="9">P25/E25*100</f>
        <v>12.328767123287671</v>
      </c>
      <c r="R25" s="31"/>
      <c r="S25" s="80"/>
      <c r="T25" s="31"/>
      <c r="U25" s="80"/>
      <c r="V25" s="85">
        <v>73</v>
      </c>
    </row>
    <row r="26" spans="1:22" s="116" customFormat="1" ht="17.25" customHeight="1" x14ac:dyDescent="0.2">
      <c r="A26" s="1305" t="s">
        <v>68</v>
      </c>
      <c r="B26" s="1306"/>
      <c r="C26" s="156"/>
      <c r="D26" s="97">
        <f>SUM(D23:D25)</f>
        <v>123</v>
      </c>
      <c r="E26" s="97">
        <f>SUM(E23:E25)</f>
        <v>123</v>
      </c>
      <c r="F26" s="97">
        <f>SUM(F23:F25)</f>
        <v>2</v>
      </c>
      <c r="G26" s="78">
        <f t="shared" si="0"/>
        <v>1.6260162601626018</v>
      </c>
      <c r="H26" s="97">
        <f>SUM(H23:H25)</f>
        <v>62</v>
      </c>
      <c r="I26" s="78">
        <f>H26/E26*100</f>
        <v>50.40650406504065</v>
      </c>
      <c r="J26" s="97">
        <f>SUM(J23:J25)</f>
        <v>9</v>
      </c>
      <c r="K26" s="78">
        <f t="shared" si="8"/>
        <v>7.3170731707317067</v>
      </c>
      <c r="L26" s="78">
        <f>G26+I26+K26</f>
        <v>59.349593495934954</v>
      </c>
      <c r="M26" s="79">
        <f t="shared" si="2"/>
        <v>52.032520325203251</v>
      </c>
      <c r="N26" s="97">
        <f>SUM(N23:N25)</f>
        <v>64</v>
      </c>
      <c r="O26" s="78">
        <f t="shared" si="3"/>
        <v>52.032520325203258</v>
      </c>
      <c r="P26" s="97">
        <f>SUM(P23:P25)</f>
        <v>9</v>
      </c>
      <c r="Q26" s="103">
        <f t="shared" si="9"/>
        <v>7.3170731707317067</v>
      </c>
      <c r="R26" s="97">
        <f>SUM(R23:R25)</f>
        <v>0</v>
      </c>
      <c r="S26" s="109"/>
      <c r="T26" s="97">
        <f>SUM(T23:T25)</f>
        <v>0</v>
      </c>
      <c r="U26" s="103"/>
      <c r="V26" s="119">
        <f>SUM(V23:V25)</f>
        <v>123</v>
      </c>
    </row>
    <row r="27" spans="1:22" s="21" customFormat="1" ht="17.25" customHeight="1" x14ac:dyDescent="0.2">
      <c r="A27" s="1313" t="s">
        <v>83</v>
      </c>
      <c r="B27" s="32" t="s">
        <v>84</v>
      </c>
      <c r="C27" s="153">
        <v>41</v>
      </c>
      <c r="D27" s="32">
        <v>6</v>
      </c>
      <c r="E27" s="32">
        <v>6</v>
      </c>
      <c r="F27" s="32"/>
      <c r="G27" s="71">
        <f t="shared" si="0"/>
        <v>0</v>
      </c>
      <c r="H27" s="32"/>
      <c r="I27" s="71">
        <f t="shared" si="5"/>
        <v>0</v>
      </c>
      <c r="J27" s="32"/>
      <c r="K27" s="71"/>
      <c r="L27" s="71">
        <f t="shared" si="6"/>
        <v>0</v>
      </c>
      <c r="M27" s="72">
        <f t="shared" si="2"/>
        <v>0</v>
      </c>
      <c r="N27" s="98"/>
      <c r="O27" s="71">
        <f t="shared" si="3"/>
        <v>0</v>
      </c>
      <c r="P27" s="33"/>
      <c r="Q27" s="71">
        <f t="shared" si="9"/>
        <v>0</v>
      </c>
      <c r="R27" s="33"/>
      <c r="S27" s="93"/>
      <c r="T27" s="33"/>
      <c r="U27" s="71"/>
      <c r="V27" s="74">
        <v>6</v>
      </c>
    </row>
    <row r="28" spans="1:22" s="21" customFormat="1" ht="17.25" customHeight="1" x14ac:dyDescent="0.2">
      <c r="A28" s="1314"/>
      <c r="B28" s="33" t="s">
        <v>85</v>
      </c>
      <c r="C28" s="148">
        <v>18</v>
      </c>
      <c r="D28" s="33">
        <v>63</v>
      </c>
      <c r="E28" s="33">
        <v>63</v>
      </c>
      <c r="F28" s="33"/>
      <c r="G28" s="71">
        <f t="shared" si="0"/>
        <v>0</v>
      </c>
      <c r="H28" s="33"/>
      <c r="I28" s="88">
        <f t="shared" si="5"/>
        <v>0</v>
      </c>
      <c r="J28" s="33"/>
      <c r="K28" s="71"/>
      <c r="L28" s="71">
        <f t="shared" si="6"/>
        <v>0</v>
      </c>
      <c r="M28" s="72">
        <f t="shared" si="2"/>
        <v>0</v>
      </c>
      <c r="N28" s="73"/>
      <c r="O28" s="71">
        <f t="shared" si="3"/>
        <v>0</v>
      </c>
      <c r="P28" s="33"/>
      <c r="Q28" s="71">
        <f t="shared" si="9"/>
        <v>0</v>
      </c>
      <c r="R28" s="33"/>
      <c r="S28" s="88"/>
      <c r="T28" s="33"/>
      <c r="U28" s="71"/>
      <c r="V28" s="76">
        <v>63</v>
      </c>
    </row>
    <row r="29" spans="1:22" s="21" customFormat="1" ht="17.25" customHeight="1" x14ac:dyDescent="0.2">
      <c r="A29" s="1315"/>
      <c r="B29" s="33" t="s">
        <v>86</v>
      </c>
      <c r="C29" s="151">
        <v>41</v>
      </c>
      <c r="D29" s="31">
        <v>44</v>
      </c>
      <c r="E29" s="31">
        <v>44</v>
      </c>
      <c r="F29" s="31"/>
      <c r="G29" s="80">
        <f t="shared" si="0"/>
        <v>0</v>
      </c>
      <c r="H29" s="31"/>
      <c r="I29" s="95">
        <f t="shared" si="5"/>
        <v>0</v>
      </c>
      <c r="J29" s="31"/>
      <c r="K29" s="80"/>
      <c r="L29" s="80">
        <f t="shared" si="6"/>
        <v>0</v>
      </c>
      <c r="M29" s="96">
        <f t="shared" si="2"/>
        <v>0</v>
      </c>
      <c r="N29" s="110"/>
      <c r="O29" s="80">
        <f t="shared" si="3"/>
        <v>0</v>
      </c>
      <c r="P29" s="31"/>
      <c r="Q29" s="80">
        <f t="shared" si="9"/>
        <v>0</v>
      </c>
      <c r="R29" s="31"/>
      <c r="S29" s="80"/>
      <c r="T29" s="31"/>
      <c r="U29" s="80"/>
      <c r="V29" s="85">
        <v>44</v>
      </c>
    </row>
    <row r="30" spans="1:22" s="116" customFormat="1" ht="17.25" customHeight="1" x14ac:dyDescent="0.2">
      <c r="A30" s="1305" t="s">
        <v>68</v>
      </c>
      <c r="B30" s="1306"/>
      <c r="C30" s="156"/>
      <c r="D30" s="97">
        <f>SUM(D27:D29)</f>
        <v>113</v>
      </c>
      <c r="E30" s="97">
        <f>SUM(E27:E29)</f>
        <v>113</v>
      </c>
      <c r="F30" s="97">
        <f>SUM(F27:F29)</f>
        <v>0</v>
      </c>
      <c r="G30" s="78">
        <f t="shared" si="0"/>
        <v>0</v>
      </c>
      <c r="H30" s="97">
        <f>SUM(H27:H29)</f>
        <v>0</v>
      </c>
      <c r="I30" s="78">
        <f>H30/E30*100</f>
        <v>0</v>
      </c>
      <c r="J30" s="97">
        <f>SUM(J27:J29)</f>
        <v>0</v>
      </c>
      <c r="K30" s="78"/>
      <c r="L30" s="78">
        <f>G30+I30+K30</f>
        <v>0</v>
      </c>
      <c r="M30" s="79">
        <f>G30+I30</f>
        <v>0</v>
      </c>
      <c r="N30" s="97">
        <f>SUM(N27:N29)</f>
        <v>0</v>
      </c>
      <c r="O30" s="104">
        <f t="shared" si="3"/>
        <v>0</v>
      </c>
      <c r="P30" s="97">
        <f>SUM(P27:P29)</f>
        <v>0</v>
      </c>
      <c r="Q30" s="103">
        <f>P30/E30*100</f>
        <v>0</v>
      </c>
      <c r="R30" s="97">
        <f>SUM(R27:R29)</f>
        <v>0</v>
      </c>
      <c r="S30" s="104"/>
      <c r="T30" s="97">
        <f>SUM(T27:T29)</f>
        <v>0</v>
      </c>
      <c r="U30" s="103"/>
      <c r="V30" s="119">
        <f>SUM(V27:V29)</f>
        <v>113</v>
      </c>
    </row>
    <row r="31" spans="1:22" s="120" customFormat="1" ht="17.25" customHeight="1" x14ac:dyDescent="0.2">
      <c r="A31" s="1313" t="s">
        <v>87</v>
      </c>
      <c r="B31" s="32" t="s">
        <v>109</v>
      </c>
      <c r="C31" s="153">
        <v>35</v>
      </c>
      <c r="D31" s="84">
        <v>39</v>
      </c>
      <c r="E31" s="84">
        <v>39</v>
      </c>
      <c r="F31" s="32"/>
      <c r="G31" s="93">
        <f t="shared" si="0"/>
        <v>0</v>
      </c>
      <c r="H31" s="32"/>
      <c r="I31" s="93">
        <f t="shared" si="5"/>
        <v>0</v>
      </c>
      <c r="J31" s="32"/>
      <c r="K31" s="93"/>
      <c r="L31" s="93">
        <f>G31+I31+K31</f>
        <v>0</v>
      </c>
      <c r="M31" s="99">
        <f>G31+I31</f>
        <v>0</v>
      </c>
      <c r="N31" s="98"/>
      <c r="O31" s="93">
        <f t="shared" si="3"/>
        <v>0</v>
      </c>
      <c r="P31" s="32"/>
      <c r="Q31" s="93">
        <f t="shared" si="9"/>
        <v>0</v>
      </c>
      <c r="R31" s="32"/>
      <c r="S31" s="71"/>
      <c r="T31" s="32"/>
      <c r="U31" s="93"/>
      <c r="V31" s="74">
        <v>22</v>
      </c>
    </row>
    <row r="32" spans="1:22" s="120" customFormat="1" ht="17.25" customHeight="1" x14ac:dyDescent="0.2">
      <c r="A32" s="1315"/>
      <c r="B32" s="31" t="s">
        <v>35</v>
      </c>
      <c r="C32" s="151">
        <v>22</v>
      </c>
      <c r="D32" s="31">
        <v>31</v>
      </c>
      <c r="E32" s="31">
        <v>31</v>
      </c>
      <c r="F32" s="100"/>
      <c r="G32" s="95">
        <f t="shared" si="0"/>
        <v>0</v>
      </c>
      <c r="H32" s="100"/>
      <c r="I32" s="95">
        <f t="shared" si="5"/>
        <v>0</v>
      </c>
      <c r="J32" s="100"/>
      <c r="K32" s="80">
        <f>J32/E32*100</f>
        <v>0</v>
      </c>
      <c r="L32" s="95">
        <f>G32+I32+K32</f>
        <v>0</v>
      </c>
      <c r="M32" s="101">
        <f>G32+I32</f>
        <v>0</v>
      </c>
      <c r="N32" s="102"/>
      <c r="O32" s="95">
        <f t="shared" si="3"/>
        <v>0</v>
      </c>
      <c r="P32" s="100"/>
      <c r="Q32" s="95">
        <f t="shared" si="9"/>
        <v>0</v>
      </c>
      <c r="R32" s="100"/>
      <c r="S32" s="80"/>
      <c r="T32" s="100"/>
      <c r="U32" s="95"/>
      <c r="V32" s="85">
        <v>33</v>
      </c>
    </row>
    <row r="33" spans="1:22" s="116" customFormat="1" ht="17.25" customHeight="1" x14ac:dyDescent="0.2">
      <c r="A33" s="1305" t="s">
        <v>68</v>
      </c>
      <c r="B33" s="1306"/>
      <c r="C33" s="123"/>
      <c r="D33" s="97">
        <f>SUM(D31:D32)</f>
        <v>70</v>
      </c>
      <c r="E33" s="97">
        <f>SUM(E31:E32)</f>
        <v>70</v>
      </c>
      <c r="F33" s="97">
        <f>SUM(F31:F32)</f>
        <v>0</v>
      </c>
      <c r="G33" s="78">
        <f>F33/E33*100</f>
        <v>0</v>
      </c>
      <c r="H33" s="97">
        <f>SUM(H31:H32)</f>
        <v>0</v>
      </c>
      <c r="I33" s="78">
        <f>H33/E33*100</f>
        <v>0</v>
      </c>
      <c r="J33" s="97">
        <f>SUM(J31:J32)</f>
        <v>0</v>
      </c>
      <c r="K33" s="78"/>
      <c r="L33" s="103">
        <f>G33+I33+K33</f>
        <v>0</v>
      </c>
      <c r="M33" s="105">
        <f>G33+I33</f>
        <v>0</v>
      </c>
      <c r="N33" s="97">
        <f>SUM(N31:N32)</f>
        <v>0</v>
      </c>
      <c r="O33" s="103">
        <f t="shared" si="3"/>
        <v>0</v>
      </c>
      <c r="P33" s="97"/>
      <c r="Q33" s="103">
        <f t="shared" si="9"/>
        <v>0</v>
      </c>
      <c r="R33" s="97">
        <f>SUM(R31:R32)</f>
        <v>0</v>
      </c>
      <c r="S33" s="111"/>
      <c r="T33" s="97">
        <f>SUM(T31:T32)</f>
        <v>0</v>
      </c>
      <c r="U33" s="104"/>
      <c r="V33" s="119">
        <f>SUM(V31:V32)</f>
        <v>55</v>
      </c>
    </row>
    <row r="34" spans="1:22" s="122" customFormat="1" ht="18" customHeight="1" x14ac:dyDescent="0.2">
      <c r="A34" s="1307" t="s">
        <v>88</v>
      </c>
      <c r="B34" s="1308"/>
      <c r="C34" s="674"/>
      <c r="D34" s="674">
        <f>SUM(D22+D26+D30+D33)</f>
        <v>395</v>
      </c>
      <c r="E34" s="674">
        <f>SUM(E22+E26+E30+E33)</f>
        <v>395</v>
      </c>
      <c r="F34" s="674"/>
      <c r="G34" s="129">
        <f t="shared" si="0"/>
        <v>0</v>
      </c>
      <c r="H34" s="674">
        <f>SUM(H22+H26+H30+H33)</f>
        <v>62</v>
      </c>
      <c r="I34" s="512" t="e">
        <f>H34/G34*100</f>
        <v>#DIV/0!</v>
      </c>
      <c r="J34" s="674">
        <f>SUM(J22+J26+J30+J33)</f>
        <v>9</v>
      </c>
      <c r="K34" s="129">
        <f>J34/E34*100</f>
        <v>2.278481012658228</v>
      </c>
      <c r="L34" s="103" t="e">
        <f>G34+I34+K34</f>
        <v>#DIV/0!</v>
      </c>
      <c r="M34" s="513" t="e">
        <f>G34+I34</f>
        <v>#DIV/0!</v>
      </c>
      <c r="N34" s="674">
        <f>SUM(N22+N26+N30+N33)</f>
        <v>64</v>
      </c>
      <c r="O34" s="129">
        <f t="shared" si="3"/>
        <v>16.202531645569621</v>
      </c>
      <c r="P34" s="674">
        <f>SUM(P22+P26+P30+P33)</f>
        <v>9</v>
      </c>
      <c r="Q34" s="129">
        <f t="shared" si="9"/>
        <v>2.278481012658228</v>
      </c>
      <c r="R34" s="674">
        <f>SUM(R22+R26+R30+R33)</f>
        <v>0</v>
      </c>
      <c r="S34" s="131">
        <f>R34/E34*100</f>
        <v>0</v>
      </c>
      <c r="T34" s="674">
        <f>SUM(T22+T26+T30+T33)</f>
        <v>0</v>
      </c>
      <c r="U34" s="129"/>
      <c r="V34" s="130">
        <f>SUM(V22+V26+V30+V33)</f>
        <v>379</v>
      </c>
    </row>
    <row r="35" spans="1:22" s="34" customFormat="1" ht="24" customHeight="1" thickBot="1" x14ac:dyDescent="0.3">
      <c r="A35" s="1309" t="s">
        <v>89</v>
      </c>
      <c r="B35" s="1310"/>
      <c r="C35" s="673"/>
      <c r="D35" s="147">
        <f>SUM(D18+D34)</f>
        <v>793</v>
      </c>
      <c r="E35" s="147">
        <f>SUM(E18+E34)</f>
        <v>793</v>
      </c>
      <c r="F35" s="673"/>
      <c r="G35" s="106">
        <f t="shared" si="0"/>
        <v>0</v>
      </c>
      <c r="H35" s="673">
        <f>SUM(H18+H34)</f>
        <v>82</v>
      </c>
      <c r="I35" s="107">
        <f t="shared" si="5"/>
        <v>10.34047919293821</v>
      </c>
      <c r="J35" s="673">
        <f>SUM(J18+J34)</f>
        <v>14</v>
      </c>
      <c r="K35" s="106">
        <f>J35/E35*100</f>
        <v>1.7654476670870116</v>
      </c>
      <c r="L35" s="107">
        <f t="shared" si="6"/>
        <v>12.105926860025221</v>
      </c>
      <c r="M35" s="106">
        <f t="shared" si="2"/>
        <v>10.34047919293821</v>
      </c>
      <c r="N35" s="673">
        <f>SUM(N18+N34)</f>
        <v>64</v>
      </c>
      <c r="O35" s="107">
        <f>N35/E35*100</f>
        <v>8.0706179066834807</v>
      </c>
      <c r="P35" s="673">
        <f>SUM(P18+P34)</f>
        <v>9</v>
      </c>
      <c r="Q35" s="107">
        <f t="shared" si="9"/>
        <v>1.1349306431273645</v>
      </c>
      <c r="R35" s="673">
        <f>SUM(R18+R34)</f>
        <v>0</v>
      </c>
      <c r="S35" s="107">
        <f>R35/E35*100</f>
        <v>0</v>
      </c>
      <c r="T35" s="673"/>
      <c r="U35" s="106"/>
      <c r="V35" s="132">
        <f>SUM(V18+V34)</f>
        <v>771</v>
      </c>
    </row>
    <row r="36" spans="1:22" s="27" customFormat="1" thickTop="1" x14ac:dyDescent="0.25">
      <c r="A36" s="35"/>
      <c r="B36" s="35"/>
      <c r="C36" s="35"/>
      <c r="D36" s="35"/>
      <c r="E36" s="35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</row>
  </sheetData>
  <mergeCells count="31">
    <mergeCell ref="T6:U6"/>
    <mergeCell ref="A10:B10"/>
    <mergeCell ref="A1:U1"/>
    <mergeCell ref="A2:V2"/>
    <mergeCell ref="A5:A7"/>
    <mergeCell ref="B5:B7"/>
    <mergeCell ref="C5:C7"/>
    <mergeCell ref="D5:E5"/>
    <mergeCell ref="F5:M5"/>
    <mergeCell ref="N5:U5"/>
    <mergeCell ref="F6:G6"/>
    <mergeCell ref="H6:I6"/>
    <mergeCell ref="A19:A21"/>
    <mergeCell ref="J6:K6"/>
    <mergeCell ref="N6:O6"/>
    <mergeCell ref="P6:Q6"/>
    <mergeCell ref="R6:S6"/>
    <mergeCell ref="A11:A13"/>
    <mergeCell ref="A14:B14"/>
    <mergeCell ref="A15:A16"/>
    <mergeCell ref="A17:B17"/>
    <mergeCell ref="A18:B18"/>
    <mergeCell ref="A33:B33"/>
    <mergeCell ref="A34:B34"/>
    <mergeCell ref="A35:B35"/>
    <mergeCell ref="A22:B22"/>
    <mergeCell ref="A23:A25"/>
    <mergeCell ref="A26:B26"/>
    <mergeCell ref="A27:A29"/>
    <mergeCell ref="A30:B30"/>
    <mergeCell ref="A31:A32"/>
  </mergeCells>
  <printOptions horizontalCentered="1"/>
  <pageMargins left="0.24" right="0.16" top="0.27" bottom="0.31" header="0.23" footer="0.27"/>
  <pageSetup scale="98" orientation="landscape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15"/>
  <sheetViews>
    <sheetView showZeros="0" topLeftCell="A3" zoomScale="110" workbookViewId="0">
      <selection activeCell="K17" sqref="K17"/>
    </sheetView>
  </sheetViews>
  <sheetFormatPr defaultRowHeight="18.75" x14ac:dyDescent="0.3"/>
  <cols>
    <col min="1" max="1" width="4.3984375" style="1" customWidth="1"/>
    <col min="2" max="2" width="12.8984375" style="1" customWidth="1"/>
    <col min="3" max="3" width="3.3984375" style="1" customWidth="1"/>
    <col min="4" max="4" width="3.796875" customWidth="1"/>
    <col min="5" max="5" width="3.59765625" style="1" customWidth="1"/>
    <col min="6" max="6" width="3.69921875" style="237" customWidth="1"/>
    <col min="7" max="7" width="5.69921875" style="237" customWidth="1"/>
    <col min="8" max="8" width="3.69921875" style="237" customWidth="1"/>
    <col min="9" max="9" width="6.19921875" style="237" customWidth="1"/>
    <col min="10" max="10" width="3.69921875" style="237" customWidth="1"/>
    <col min="11" max="11" width="4.59765625" style="237" customWidth="1"/>
    <col min="12" max="12" width="5.8984375" style="237" customWidth="1"/>
    <col min="13" max="13" width="5.296875" style="237" customWidth="1"/>
    <col min="14" max="14" width="3.69921875" style="237" customWidth="1"/>
    <col min="15" max="15" width="5.69921875" style="237" customWidth="1"/>
    <col min="16" max="16" width="3.69921875" style="237" customWidth="1"/>
    <col min="17" max="17" width="5.19921875" style="237" customWidth="1"/>
    <col min="18" max="18" width="3.69921875" style="237" customWidth="1"/>
    <col min="19" max="19" width="4.5" style="237" customWidth="1"/>
    <col min="20" max="20" width="3.296875" style="237" customWidth="1"/>
    <col min="21" max="21" width="3.69921875" style="237" customWidth="1"/>
    <col min="22" max="22" width="8.69921875" style="237" customWidth="1"/>
    <col min="23" max="23" width="3.69921875" style="5" customWidth="1"/>
    <col min="24" max="26" width="2.19921875" style="22" customWidth="1"/>
    <col min="27" max="29" width="3.3984375" style="1" customWidth="1"/>
    <col min="30" max="30" width="4.3984375" style="15" customWidth="1"/>
    <col min="31" max="31" width="22.296875" style="1" customWidth="1"/>
    <col min="32" max="32" width="9.296875" customWidth="1"/>
    <col min="33" max="33" width="10.19921875" customWidth="1"/>
  </cols>
  <sheetData>
    <row r="1" spans="1:31" ht="36" customHeight="1" x14ac:dyDescent="0.45">
      <c r="A1" s="1164" t="s">
        <v>44</v>
      </c>
      <c r="B1" s="1164"/>
      <c r="C1" s="1164"/>
      <c r="D1" s="1164"/>
      <c r="E1" s="1164"/>
      <c r="F1" s="1164"/>
      <c r="G1" s="1164"/>
      <c r="H1" s="1164"/>
      <c r="I1" s="1164"/>
      <c r="J1" s="1164"/>
      <c r="K1" s="1164"/>
      <c r="L1" s="1164"/>
      <c r="M1" s="1164"/>
      <c r="N1" s="1164"/>
      <c r="O1" s="1164"/>
      <c r="P1" s="1164"/>
      <c r="Q1" s="1164"/>
      <c r="R1" s="1164"/>
      <c r="S1" s="1164"/>
      <c r="T1" s="1164"/>
      <c r="U1" s="1164"/>
      <c r="V1" s="62"/>
      <c r="W1"/>
      <c r="X1"/>
      <c r="Y1"/>
      <c r="Z1"/>
      <c r="AA1"/>
      <c r="AB1"/>
      <c r="AC1"/>
      <c r="AD1"/>
      <c r="AE1"/>
    </row>
    <row r="2" spans="1:31" ht="30" customHeight="1" x14ac:dyDescent="0.35">
      <c r="A2" s="1165" t="s">
        <v>1803</v>
      </c>
      <c r="B2" s="1148"/>
      <c r="C2" s="1148"/>
      <c r="D2" s="1148"/>
      <c r="E2" s="1148"/>
      <c r="F2" s="1148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/>
      <c r="X2"/>
      <c r="Y2"/>
      <c r="Z2"/>
      <c r="AA2"/>
      <c r="AB2"/>
      <c r="AC2"/>
      <c r="AD2"/>
      <c r="AE2"/>
    </row>
    <row r="3" spans="1:31" ht="6.75" customHeight="1" thickBot="1" x14ac:dyDescent="0.4">
      <c r="A3" s="162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/>
      <c r="X3"/>
      <c r="Y3"/>
      <c r="Z3"/>
      <c r="AA3"/>
      <c r="AB3"/>
      <c r="AC3"/>
      <c r="AD3"/>
      <c r="AE3"/>
    </row>
    <row r="4" spans="1:31" ht="9" hidden="1" customHeight="1" thickBot="1" x14ac:dyDescent="0.3">
      <c r="A4" s="26"/>
      <c r="B4" s="26"/>
      <c r="C4" s="26"/>
      <c r="D4" s="26"/>
      <c r="E4" s="26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/>
      <c r="X4"/>
      <c r="Y4"/>
      <c r="Z4"/>
      <c r="AA4"/>
      <c r="AB4"/>
      <c r="AC4"/>
      <c r="AD4"/>
      <c r="AE4"/>
    </row>
    <row r="5" spans="1:31" s="27" customFormat="1" ht="22.5" customHeight="1" thickTop="1" x14ac:dyDescent="0.25">
      <c r="A5" s="1166" t="s">
        <v>45</v>
      </c>
      <c r="B5" s="1169" t="s">
        <v>46</v>
      </c>
      <c r="C5" s="1169" t="s">
        <v>47</v>
      </c>
      <c r="D5" s="1174" t="s">
        <v>48</v>
      </c>
      <c r="E5" s="1174"/>
      <c r="F5" s="1175" t="s">
        <v>49</v>
      </c>
      <c r="G5" s="1176"/>
      <c r="H5" s="1176"/>
      <c r="I5" s="1176"/>
      <c r="J5" s="1176"/>
      <c r="K5" s="1176"/>
      <c r="L5" s="1176"/>
      <c r="M5" s="1177"/>
      <c r="N5" s="1176" t="s">
        <v>50</v>
      </c>
      <c r="O5" s="1176"/>
      <c r="P5" s="1176"/>
      <c r="Q5" s="1176"/>
      <c r="R5" s="1176"/>
      <c r="S5" s="1176"/>
      <c r="T5" s="1176"/>
      <c r="U5" s="1178"/>
      <c r="V5" s="631" t="s">
        <v>51</v>
      </c>
    </row>
    <row r="6" spans="1:31" s="27" customFormat="1" ht="22.5" customHeight="1" x14ac:dyDescent="0.25">
      <c r="A6" s="1167"/>
      <c r="B6" s="1170"/>
      <c r="C6" s="1172"/>
      <c r="D6" s="632" t="s">
        <v>52</v>
      </c>
      <c r="E6" s="632" t="s">
        <v>53</v>
      </c>
      <c r="F6" s="1179" t="s">
        <v>54</v>
      </c>
      <c r="G6" s="1179"/>
      <c r="H6" s="1179" t="s">
        <v>95</v>
      </c>
      <c r="I6" s="1179"/>
      <c r="J6" s="1179" t="s">
        <v>55</v>
      </c>
      <c r="K6" s="1179"/>
      <c r="L6" s="633" t="s">
        <v>56</v>
      </c>
      <c r="M6" s="634" t="s">
        <v>56</v>
      </c>
      <c r="N6" s="1185" t="s">
        <v>101</v>
      </c>
      <c r="O6" s="1161"/>
      <c r="P6" s="1161" t="s">
        <v>95</v>
      </c>
      <c r="Q6" s="1161"/>
      <c r="R6" s="1161" t="s">
        <v>55</v>
      </c>
      <c r="S6" s="1161"/>
      <c r="T6" s="1161" t="s">
        <v>57</v>
      </c>
      <c r="U6" s="1161"/>
      <c r="V6" s="507" t="s">
        <v>58</v>
      </c>
    </row>
    <row r="7" spans="1:31" s="27" customFormat="1" ht="22.5" customHeight="1" x14ac:dyDescent="0.25">
      <c r="A7" s="1168"/>
      <c r="B7" s="1171"/>
      <c r="C7" s="1173"/>
      <c r="D7" s="635" t="s">
        <v>59</v>
      </c>
      <c r="E7" s="635" t="s">
        <v>60</v>
      </c>
      <c r="F7" s="676" t="s">
        <v>61</v>
      </c>
      <c r="G7" s="676" t="s">
        <v>62</v>
      </c>
      <c r="H7" s="676" t="s">
        <v>61</v>
      </c>
      <c r="I7" s="676" t="s">
        <v>62</v>
      </c>
      <c r="J7" s="676" t="s">
        <v>61</v>
      </c>
      <c r="K7" s="676" t="s">
        <v>62</v>
      </c>
      <c r="L7" s="637" t="s">
        <v>63</v>
      </c>
      <c r="M7" s="638" t="s">
        <v>64</v>
      </c>
      <c r="N7" s="639" t="s">
        <v>61</v>
      </c>
      <c r="O7" s="676" t="s">
        <v>62</v>
      </c>
      <c r="P7" s="676" t="s">
        <v>61</v>
      </c>
      <c r="Q7" s="676" t="s">
        <v>62</v>
      </c>
      <c r="R7" s="676" t="s">
        <v>61</v>
      </c>
      <c r="S7" s="676" t="s">
        <v>62</v>
      </c>
      <c r="T7" s="676" t="s">
        <v>61</v>
      </c>
      <c r="U7" s="676" t="s">
        <v>62</v>
      </c>
      <c r="V7" s="507" t="s">
        <v>65</v>
      </c>
    </row>
    <row r="8" spans="1:31" s="21" customFormat="1" ht="22.5" customHeight="1" x14ac:dyDescent="0.25">
      <c r="A8" s="473" t="s">
        <v>1804</v>
      </c>
      <c r="B8" s="474" t="s">
        <v>36</v>
      </c>
      <c r="C8" s="475">
        <v>34</v>
      </c>
      <c r="D8" s="474">
        <v>65</v>
      </c>
      <c r="E8" s="474">
        <v>65</v>
      </c>
      <c r="F8" s="476"/>
      <c r="G8" s="477">
        <f t="shared" ref="G8:G14" si="0">F8/E8*100</f>
        <v>0</v>
      </c>
      <c r="H8" s="474"/>
      <c r="I8" s="477">
        <f>H8/E8*100</f>
        <v>0</v>
      </c>
      <c r="J8" s="474"/>
      <c r="K8" s="477">
        <f t="shared" ref="K8:K14" si="1">J8/E8*100</f>
        <v>0</v>
      </c>
      <c r="L8" s="477">
        <f>G8+I8+K8</f>
        <v>0</v>
      </c>
      <c r="M8" s="478">
        <f t="shared" ref="M8:M14" si="2">G8+I8</f>
        <v>0</v>
      </c>
      <c r="N8" s="479"/>
      <c r="O8" s="477">
        <f t="shared" ref="O8:O14" si="3">N8/E8*100</f>
        <v>0</v>
      </c>
      <c r="P8" s="476"/>
      <c r="Q8" s="480">
        <f t="shared" ref="Q8:Q14" si="4">P8/E8*100</f>
        <v>0</v>
      </c>
      <c r="R8" s="476"/>
      <c r="S8" s="477">
        <f>R8/E8*100</f>
        <v>0</v>
      </c>
      <c r="T8" s="481"/>
      <c r="U8" s="481"/>
      <c r="V8" s="482">
        <v>65</v>
      </c>
    </row>
    <row r="9" spans="1:31" s="144" customFormat="1" ht="22.5" customHeight="1" x14ac:dyDescent="0.25">
      <c r="A9" s="483" t="s">
        <v>1805</v>
      </c>
      <c r="B9" s="484" t="s">
        <v>36</v>
      </c>
      <c r="C9" s="485">
        <v>34</v>
      </c>
      <c r="D9" s="486">
        <v>65</v>
      </c>
      <c r="E9" s="486">
        <v>65</v>
      </c>
      <c r="F9" s="486"/>
      <c r="G9" s="477">
        <f t="shared" si="0"/>
        <v>0</v>
      </c>
      <c r="H9" s="486"/>
      <c r="I9" s="477">
        <f>H9/E9*100</f>
        <v>0</v>
      </c>
      <c r="J9" s="486"/>
      <c r="K9" s="477">
        <f t="shared" si="1"/>
        <v>0</v>
      </c>
      <c r="L9" s="477">
        <f>G9+I9+K9</f>
        <v>0</v>
      </c>
      <c r="M9" s="478">
        <f>G9+I9</f>
        <v>0</v>
      </c>
      <c r="N9" s="487"/>
      <c r="O9" s="477">
        <f t="shared" si="3"/>
        <v>0</v>
      </c>
      <c r="P9" s="486"/>
      <c r="Q9" s="480">
        <f t="shared" si="4"/>
        <v>0</v>
      </c>
      <c r="R9" s="486"/>
      <c r="S9" s="477">
        <f>R9/E9*100</f>
        <v>0</v>
      </c>
      <c r="T9" s="488"/>
      <c r="U9" s="488"/>
      <c r="V9" s="489">
        <v>65</v>
      </c>
    </row>
    <row r="10" spans="1:31" s="116" customFormat="1" ht="22.5" customHeight="1" x14ac:dyDescent="0.25">
      <c r="A10" s="1162" t="s">
        <v>68</v>
      </c>
      <c r="B10" s="1163"/>
      <c r="C10" s="490"/>
      <c r="D10" s="491">
        <f>SUM(D8:D9)</f>
        <v>130</v>
      </c>
      <c r="E10" s="491">
        <f>SUM(E8:E9)</f>
        <v>130</v>
      </c>
      <c r="F10" s="491">
        <f>SUM(F8:F9)</f>
        <v>0</v>
      </c>
      <c r="G10" s="492">
        <f t="shared" si="0"/>
        <v>0</v>
      </c>
      <c r="H10" s="491">
        <f>SUM(H8:H9)</f>
        <v>0</v>
      </c>
      <c r="I10" s="492">
        <f>H10/E10*100</f>
        <v>0</v>
      </c>
      <c r="J10" s="491">
        <f>SUM(J8:J9)</f>
        <v>0</v>
      </c>
      <c r="K10" s="492">
        <f t="shared" si="1"/>
        <v>0</v>
      </c>
      <c r="L10" s="492">
        <f>G10+I10+K10</f>
        <v>0</v>
      </c>
      <c r="M10" s="493">
        <f>G10+I10</f>
        <v>0</v>
      </c>
      <c r="N10" s="491">
        <f>SUM(N8:N9)</f>
        <v>0</v>
      </c>
      <c r="O10" s="492">
        <f t="shared" si="3"/>
        <v>0</v>
      </c>
      <c r="P10" s="491">
        <f>SUM(P8:P9)</f>
        <v>0</v>
      </c>
      <c r="Q10" s="492">
        <f t="shared" si="4"/>
        <v>0</v>
      </c>
      <c r="R10" s="491">
        <f>SUM(R8:R9)</f>
        <v>0</v>
      </c>
      <c r="S10" s="492">
        <f>R10/E10*100</f>
        <v>0</v>
      </c>
      <c r="T10" s="491">
        <f>SUM(T8:T9)</f>
        <v>0</v>
      </c>
      <c r="U10" s="492"/>
      <c r="V10" s="494">
        <f>SUM(V8:V9)</f>
        <v>130</v>
      </c>
    </row>
    <row r="11" spans="1:31" s="21" customFormat="1" ht="22.5" customHeight="1" x14ac:dyDescent="0.25">
      <c r="A11" s="1180" t="s">
        <v>1806</v>
      </c>
      <c r="B11" s="476" t="s">
        <v>1807</v>
      </c>
      <c r="C11" s="495">
        <v>39</v>
      </c>
      <c r="D11" s="476">
        <v>26</v>
      </c>
      <c r="E11" s="476">
        <v>26</v>
      </c>
      <c r="F11" s="476">
        <v>1</v>
      </c>
      <c r="G11" s="477">
        <f t="shared" si="0"/>
        <v>3.8461538461538463</v>
      </c>
      <c r="H11" s="476">
        <v>20</v>
      </c>
      <c r="I11" s="477">
        <f t="shared" ref="I11:I13" si="5">H11/E11*100</f>
        <v>76.923076923076934</v>
      </c>
      <c r="J11" s="476">
        <v>5</v>
      </c>
      <c r="K11" s="477">
        <f t="shared" si="1"/>
        <v>19.230769230769234</v>
      </c>
      <c r="L11" s="477">
        <f t="shared" ref="L11:L14" si="6">G11+I11+K11</f>
        <v>100</v>
      </c>
      <c r="M11" s="478">
        <f t="shared" si="2"/>
        <v>80.769230769230774</v>
      </c>
      <c r="N11" s="496"/>
      <c r="O11" s="477">
        <f t="shared" si="3"/>
        <v>0</v>
      </c>
      <c r="P11" s="476"/>
      <c r="Q11" s="477">
        <f>P11/E11*100</f>
        <v>0</v>
      </c>
      <c r="R11" s="476"/>
      <c r="S11" s="477"/>
      <c r="T11" s="476"/>
      <c r="U11" s="477"/>
      <c r="V11" s="497">
        <v>26</v>
      </c>
    </row>
    <row r="12" spans="1:31" s="21" customFormat="1" ht="22.5" customHeight="1" x14ac:dyDescent="0.25">
      <c r="A12" s="1181"/>
      <c r="B12" s="474" t="s">
        <v>37</v>
      </c>
      <c r="C12" s="475">
        <v>41</v>
      </c>
      <c r="D12" s="474">
        <v>47</v>
      </c>
      <c r="E12" s="474">
        <v>47</v>
      </c>
      <c r="F12" s="474">
        <v>2</v>
      </c>
      <c r="G12" s="477">
        <f t="shared" si="0"/>
        <v>4.2553191489361701</v>
      </c>
      <c r="H12" s="474">
        <v>27</v>
      </c>
      <c r="I12" s="477">
        <f t="shared" si="5"/>
        <v>57.446808510638306</v>
      </c>
      <c r="J12" s="474">
        <v>18</v>
      </c>
      <c r="K12" s="477">
        <f t="shared" si="1"/>
        <v>38.297872340425535</v>
      </c>
      <c r="L12" s="477">
        <f t="shared" si="6"/>
        <v>100</v>
      </c>
      <c r="M12" s="478">
        <f t="shared" si="2"/>
        <v>61.702127659574472</v>
      </c>
      <c r="N12" s="479"/>
      <c r="O12" s="477">
        <f t="shared" si="3"/>
        <v>0</v>
      </c>
      <c r="P12" s="476"/>
      <c r="Q12" s="480">
        <f t="shared" si="4"/>
        <v>0</v>
      </c>
      <c r="R12" s="476"/>
      <c r="S12" s="498">
        <f t="shared" ref="S12:S14" si="7">R12/E12*100</f>
        <v>0</v>
      </c>
      <c r="T12" s="476"/>
      <c r="U12" s="477"/>
      <c r="V12" s="482">
        <v>47</v>
      </c>
    </row>
    <row r="13" spans="1:31" s="21" customFormat="1" ht="22.5" customHeight="1" x14ac:dyDescent="0.25">
      <c r="A13" s="1182"/>
      <c r="B13" s="499" t="s">
        <v>71</v>
      </c>
      <c r="C13" s="500">
        <v>41</v>
      </c>
      <c r="D13" s="499">
        <v>47</v>
      </c>
      <c r="E13" s="499">
        <v>47</v>
      </c>
      <c r="F13" s="499">
        <v>3</v>
      </c>
      <c r="G13" s="501">
        <f t="shared" si="0"/>
        <v>6.3829787234042552</v>
      </c>
      <c r="H13" s="499">
        <v>42</v>
      </c>
      <c r="I13" s="501">
        <f t="shared" si="5"/>
        <v>89.361702127659569</v>
      </c>
      <c r="J13" s="499">
        <v>2</v>
      </c>
      <c r="K13" s="501">
        <f t="shared" si="1"/>
        <v>4.2553191489361701</v>
      </c>
      <c r="L13" s="501">
        <f t="shared" si="6"/>
        <v>99.999999999999986</v>
      </c>
      <c r="M13" s="502">
        <f t="shared" si="2"/>
        <v>95.744680851063819</v>
      </c>
      <c r="N13" s="503"/>
      <c r="O13" s="477">
        <f t="shared" si="3"/>
        <v>0</v>
      </c>
      <c r="P13" s="504"/>
      <c r="Q13" s="480">
        <f t="shared" si="4"/>
        <v>0</v>
      </c>
      <c r="R13" s="504"/>
      <c r="S13" s="498">
        <f t="shared" si="7"/>
        <v>0</v>
      </c>
      <c r="T13" s="504"/>
      <c r="U13" s="480"/>
      <c r="V13" s="505">
        <v>47</v>
      </c>
    </row>
    <row r="14" spans="1:31" s="116" customFormat="1" ht="22.5" customHeight="1" x14ac:dyDescent="0.25">
      <c r="A14" s="1162" t="s">
        <v>68</v>
      </c>
      <c r="B14" s="1163"/>
      <c r="C14" s="490"/>
      <c r="D14" s="491">
        <f>SUM(D11:D13)</f>
        <v>120</v>
      </c>
      <c r="E14" s="491">
        <f>SUM(E11:E13)</f>
        <v>120</v>
      </c>
      <c r="F14" s="491">
        <f>SUM(F11:F13)</f>
        <v>6</v>
      </c>
      <c r="G14" s="492">
        <f t="shared" si="0"/>
        <v>5</v>
      </c>
      <c r="H14" s="491">
        <f>SUM(H11:H13)</f>
        <v>89</v>
      </c>
      <c r="I14" s="492">
        <f>H14/E14*100</f>
        <v>74.166666666666671</v>
      </c>
      <c r="J14" s="491">
        <f>SUM(J11:J13)</f>
        <v>25</v>
      </c>
      <c r="K14" s="492">
        <f t="shared" si="1"/>
        <v>20.833333333333336</v>
      </c>
      <c r="L14" s="492">
        <f t="shared" si="6"/>
        <v>100</v>
      </c>
      <c r="M14" s="493">
        <f t="shared" si="2"/>
        <v>79.166666666666671</v>
      </c>
      <c r="N14" s="491">
        <f>SUM(N11:N13)</f>
        <v>0</v>
      </c>
      <c r="O14" s="492">
        <f t="shared" si="3"/>
        <v>0</v>
      </c>
      <c r="P14" s="491">
        <f>SUM(P11:P13)</f>
        <v>0</v>
      </c>
      <c r="Q14" s="492">
        <f t="shared" si="4"/>
        <v>0</v>
      </c>
      <c r="R14" s="491">
        <f>SUM(R11:R13)</f>
        <v>0</v>
      </c>
      <c r="S14" s="492">
        <f t="shared" si="7"/>
        <v>0</v>
      </c>
      <c r="T14" s="491">
        <f>SUM(T11:T13)</f>
        <v>0</v>
      </c>
      <c r="U14" s="492"/>
      <c r="V14" s="494">
        <f>SUM(V11:V13)</f>
        <v>120</v>
      </c>
    </row>
    <row r="15" spans="1:31" s="122" customFormat="1" ht="22.5" customHeight="1" thickBot="1" x14ac:dyDescent="0.3">
      <c r="A15" s="1183" t="s">
        <v>75</v>
      </c>
      <c r="B15" s="1184"/>
      <c r="C15" s="155"/>
      <c r="D15" s="124">
        <f>SUM(D10+D14)</f>
        <v>250</v>
      </c>
      <c r="E15" s="124">
        <f t="shared" ref="E15:V15" si="8">SUM(E10+E14)</f>
        <v>250</v>
      </c>
      <c r="F15" s="124">
        <f t="shared" si="8"/>
        <v>6</v>
      </c>
      <c r="G15" s="124">
        <f t="shared" si="8"/>
        <v>5</v>
      </c>
      <c r="H15" s="124">
        <f t="shared" si="8"/>
        <v>89</v>
      </c>
      <c r="I15" s="124">
        <f t="shared" si="8"/>
        <v>74.166666666666671</v>
      </c>
      <c r="J15" s="124">
        <f t="shared" si="8"/>
        <v>25</v>
      </c>
      <c r="K15" s="124">
        <f t="shared" si="8"/>
        <v>20.833333333333336</v>
      </c>
      <c r="L15" s="124">
        <f t="shared" si="8"/>
        <v>100</v>
      </c>
      <c r="M15" s="124">
        <f t="shared" si="8"/>
        <v>79.166666666666671</v>
      </c>
      <c r="N15" s="124">
        <f t="shared" si="8"/>
        <v>0</v>
      </c>
      <c r="O15" s="124">
        <f t="shared" si="8"/>
        <v>0</v>
      </c>
      <c r="P15" s="124">
        <f t="shared" si="8"/>
        <v>0</v>
      </c>
      <c r="Q15" s="124">
        <f t="shared" si="8"/>
        <v>0</v>
      </c>
      <c r="R15" s="124">
        <f t="shared" si="8"/>
        <v>0</v>
      </c>
      <c r="S15" s="124">
        <f t="shared" si="8"/>
        <v>0</v>
      </c>
      <c r="T15" s="124">
        <f t="shared" si="8"/>
        <v>0</v>
      </c>
      <c r="U15" s="124">
        <f t="shared" si="8"/>
        <v>0</v>
      </c>
      <c r="V15" s="124">
        <f t="shared" si="8"/>
        <v>250</v>
      </c>
    </row>
  </sheetData>
  <mergeCells count="19">
    <mergeCell ref="P6:Q6"/>
    <mergeCell ref="R6:S6"/>
    <mergeCell ref="T6:U6"/>
    <mergeCell ref="A10:B10"/>
    <mergeCell ref="A1:U1"/>
    <mergeCell ref="A2:V2"/>
    <mergeCell ref="A5:A7"/>
    <mergeCell ref="B5:B7"/>
    <mergeCell ref="C5:C7"/>
    <mergeCell ref="D5:E5"/>
    <mergeCell ref="F5:M5"/>
    <mergeCell ref="N5:U5"/>
    <mergeCell ref="F6:G6"/>
    <mergeCell ref="H6:I6"/>
    <mergeCell ref="A11:A13"/>
    <mergeCell ref="A14:B14"/>
    <mergeCell ref="A15:B15"/>
    <mergeCell ref="J6:K6"/>
    <mergeCell ref="N6:O6"/>
  </mergeCells>
  <printOptions horizontalCentered="1"/>
  <pageMargins left="0.24" right="0.16" top="0.27" bottom="0.31" header="0.23" footer="0.27"/>
  <pageSetup scale="98" orientation="landscape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E16"/>
  <sheetViews>
    <sheetView showZeros="0" topLeftCell="A8" zoomScale="110" workbookViewId="0">
      <selection activeCell="K17" sqref="K17"/>
    </sheetView>
  </sheetViews>
  <sheetFormatPr defaultRowHeight="18.75" x14ac:dyDescent="0.3"/>
  <cols>
    <col min="1" max="1" width="4.3984375" style="1" customWidth="1"/>
    <col min="2" max="2" width="12.8984375" style="1" customWidth="1"/>
    <col min="3" max="3" width="3.3984375" style="1" customWidth="1"/>
    <col min="4" max="4" width="3.796875" customWidth="1"/>
    <col min="5" max="5" width="3.59765625" style="1" customWidth="1"/>
    <col min="6" max="6" width="3.69921875" style="237" customWidth="1"/>
    <col min="7" max="7" width="5.69921875" style="237" customWidth="1"/>
    <col min="8" max="8" width="3.69921875" style="237" customWidth="1"/>
    <col min="9" max="9" width="6.19921875" style="237" customWidth="1"/>
    <col min="10" max="10" width="3.69921875" style="237" customWidth="1"/>
    <col min="11" max="11" width="4.59765625" style="237" customWidth="1"/>
    <col min="12" max="12" width="5.8984375" style="237" customWidth="1"/>
    <col min="13" max="13" width="5.296875" style="237" customWidth="1"/>
    <col min="14" max="14" width="3.69921875" style="237" customWidth="1"/>
    <col min="15" max="15" width="5.69921875" style="237" customWidth="1"/>
    <col min="16" max="16" width="3.69921875" style="237" customWidth="1"/>
    <col min="17" max="17" width="5.19921875" style="237" customWidth="1"/>
    <col min="18" max="18" width="3.69921875" style="237" customWidth="1"/>
    <col min="19" max="19" width="4.5" style="237" customWidth="1"/>
    <col min="20" max="20" width="3.296875" style="237" customWidth="1"/>
    <col min="21" max="21" width="3.69921875" style="237" customWidth="1"/>
    <col min="22" max="22" width="8.69921875" style="237" customWidth="1"/>
    <col min="23" max="23" width="3.69921875" style="5" customWidth="1"/>
    <col min="24" max="26" width="2.19921875" style="22" customWidth="1"/>
    <col min="27" max="29" width="3.3984375" style="1" customWidth="1"/>
    <col min="30" max="30" width="4.3984375" style="15" customWidth="1"/>
    <col min="31" max="31" width="22.296875" style="1" customWidth="1"/>
    <col min="32" max="32" width="9.296875" customWidth="1"/>
    <col min="33" max="33" width="10.19921875" customWidth="1"/>
  </cols>
  <sheetData>
    <row r="1" spans="1:31" ht="33.75" customHeight="1" x14ac:dyDescent="0.35">
      <c r="A1" s="1148" t="s">
        <v>44</v>
      </c>
      <c r="B1" s="1148"/>
      <c r="C1" s="1148"/>
      <c r="D1" s="1148"/>
      <c r="E1" s="1148"/>
      <c r="F1" s="1148"/>
      <c r="G1" s="1148"/>
      <c r="H1" s="1148"/>
      <c r="I1" s="1148"/>
      <c r="J1" s="1148"/>
      <c r="K1" s="1148"/>
      <c r="L1" s="1148"/>
      <c r="M1" s="1148"/>
      <c r="N1" s="1148"/>
      <c r="O1" s="1148"/>
      <c r="P1" s="1148"/>
      <c r="Q1" s="1148"/>
      <c r="R1" s="1148"/>
      <c r="S1" s="1148"/>
      <c r="T1" s="1148"/>
      <c r="U1" s="1148"/>
      <c r="V1" s="62"/>
      <c r="W1"/>
      <c r="X1"/>
      <c r="Y1"/>
      <c r="Z1"/>
      <c r="AA1"/>
      <c r="AB1"/>
      <c r="AC1"/>
      <c r="AD1"/>
      <c r="AE1"/>
    </row>
    <row r="2" spans="1:31" ht="27" customHeight="1" x14ac:dyDescent="0.35">
      <c r="A2" s="1149" t="s">
        <v>334</v>
      </c>
      <c r="B2" s="1148"/>
      <c r="C2" s="1148"/>
      <c r="D2" s="1148"/>
      <c r="E2" s="1148"/>
      <c r="F2" s="1148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1148"/>
      <c r="V2" s="1148"/>
      <c r="W2"/>
      <c r="X2"/>
      <c r="Y2"/>
      <c r="Z2"/>
      <c r="AA2"/>
      <c r="AB2"/>
      <c r="AC2"/>
      <c r="AD2"/>
      <c r="AE2"/>
    </row>
    <row r="3" spans="1:31" ht="6.75" customHeight="1" thickBot="1" x14ac:dyDescent="0.4">
      <c r="A3" s="162"/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  <c r="Q3" s="163"/>
      <c r="R3" s="163"/>
      <c r="S3" s="163"/>
      <c r="T3" s="163"/>
      <c r="U3" s="163"/>
      <c r="V3" s="163"/>
      <c r="W3"/>
      <c r="X3"/>
      <c r="Y3"/>
      <c r="Z3"/>
      <c r="AA3"/>
      <c r="AB3"/>
      <c r="AC3"/>
      <c r="AD3"/>
      <c r="AE3"/>
    </row>
    <row r="4" spans="1:31" ht="9" hidden="1" customHeight="1" thickBot="1" x14ac:dyDescent="0.3">
      <c r="A4" s="26"/>
      <c r="B4" s="26"/>
      <c r="C4" s="26"/>
      <c r="D4" s="26"/>
      <c r="E4" s="26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/>
      <c r="X4"/>
      <c r="Y4"/>
      <c r="Z4"/>
      <c r="AA4"/>
      <c r="AB4"/>
      <c r="AC4"/>
      <c r="AD4"/>
      <c r="AE4"/>
    </row>
    <row r="5" spans="1:31" s="27" customFormat="1" ht="36.75" customHeight="1" thickTop="1" x14ac:dyDescent="0.25">
      <c r="A5" s="1166" t="s">
        <v>45</v>
      </c>
      <c r="B5" s="1187" t="s">
        <v>46</v>
      </c>
      <c r="C5" s="1169" t="s">
        <v>47</v>
      </c>
      <c r="D5" s="1190" t="s">
        <v>48</v>
      </c>
      <c r="E5" s="1190"/>
      <c r="F5" s="1191" t="s">
        <v>49</v>
      </c>
      <c r="G5" s="1192"/>
      <c r="H5" s="1192"/>
      <c r="I5" s="1192"/>
      <c r="J5" s="1192"/>
      <c r="K5" s="1192"/>
      <c r="L5" s="1192"/>
      <c r="M5" s="1193"/>
      <c r="N5" s="1192" t="s">
        <v>50</v>
      </c>
      <c r="O5" s="1192"/>
      <c r="P5" s="1192"/>
      <c r="Q5" s="1192"/>
      <c r="R5" s="1192"/>
      <c r="S5" s="1192"/>
      <c r="T5" s="1192"/>
      <c r="U5" s="1194"/>
      <c r="V5" s="464" t="s">
        <v>51</v>
      </c>
    </row>
    <row r="6" spans="1:31" s="27" customFormat="1" ht="36.75" customHeight="1" x14ac:dyDescent="0.25">
      <c r="A6" s="1167"/>
      <c r="B6" s="1188"/>
      <c r="C6" s="1172"/>
      <c r="D6" s="465" t="s">
        <v>52</v>
      </c>
      <c r="E6" s="465" t="s">
        <v>53</v>
      </c>
      <c r="F6" s="1195" t="s">
        <v>54</v>
      </c>
      <c r="G6" s="1195"/>
      <c r="H6" s="1195" t="s">
        <v>95</v>
      </c>
      <c r="I6" s="1195"/>
      <c r="J6" s="1195" t="s">
        <v>55</v>
      </c>
      <c r="K6" s="1195"/>
      <c r="L6" s="466" t="s">
        <v>56</v>
      </c>
      <c r="M6" s="467" t="s">
        <v>56</v>
      </c>
      <c r="N6" s="1198" t="s">
        <v>101</v>
      </c>
      <c r="O6" s="1186"/>
      <c r="P6" s="1186" t="s">
        <v>95</v>
      </c>
      <c r="Q6" s="1186"/>
      <c r="R6" s="1186" t="s">
        <v>55</v>
      </c>
      <c r="S6" s="1186"/>
      <c r="T6" s="1186" t="s">
        <v>57</v>
      </c>
      <c r="U6" s="1186"/>
      <c r="V6" s="508" t="s">
        <v>58</v>
      </c>
    </row>
    <row r="7" spans="1:31" s="27" customFormat="1" ht="36.75" customHeight="1" x14ac:dyDescent="0.25">
      <c r="A7" s="1168"/>
      <c r="B7" s="1189"/>
      <c r="C7" s="1173"/>
      <c r="D7" s="468" t="s">
        <v>59</v>
      </c>
      <c r="E7" s="468" t="s">
        <v>60</v>
      </c>
      <c r="F7" s="677" t="s">
        <v>61</v>
      </c>
      <c r="G7" s="677" t="s">
        <v>62</v>
      </c>
      <c r="H7" s="677" t="s">
        <v>61</v>
      </c>
      <c r="I7" s="677" t="s">
        <v>62</v>
      </c>
      <c r="J7" s="677" t="s">
        <v>61</v>
      </c>
      <c r="K7" s="677" t="s">
        <v>62</v>
      </c>
      <c r="L7" s="470" t="s">
        <v>63</v>
      </c>
      <c r="M7" s="471" t="s">
        <v>64</v>
      </c>
      <c r="N7" s="472" t="s">
        <v>61</v>
      </c>
      <c r="O7" s="677" t="s">
        <v>62</v>
      </c>
      <c r="P7" s="677" t="s">
        <v>61</v>
      </c>
      <c r="Q7" s="677" t="s">
        <v>62</v>
      </c>
      <c r="R7" s="677" t="s">
        <v>61</v>
      </c>
      <c r="S7" s="677" t="s">
        <v>62</v>
      </c>
      <c r="T7" s="677" t="s">
        <v>61</v>
      </c>
      <c r="U7" s="677" t="s">
        <v>62</v>
      </c>
      <c r="V7" s="507" t="s">
        <v>65</v>
      </c>
    </row>
    <row r="8" spans="1:31" s="21" customFormat="1" ht="36.75" customHeight="1" x14ac:dyDescent="0.25">
      <c r="A8" s="473" t="s">
        <v>66</v>
      </c>
      <c r="B8" s="474" t="s">
        <v>36</v>
      </c>
      <c r="C8" s="475">
        <v>33</v>
      </c>
      <c r="D8" s="474">
        <v>64</v>
      </c>
      <c r="E8" s="474">
        <v>64</v>
      </c>
      <c r="F8" s="476">
        <v>5</v>
      </c>
      <c r="G8" s="477">
        <f t="shared" ref="G8:G14" si="0">F8/E8*100</f>
        <v>7.8125</v>
      </c>
      <c r="H8" s="474">
        <v>53</v>
      </c>
      <c r="I8" s="477">
        <f t="shared" ref="I8:I14" si="1">H8/E8*100</f>
        <v>82.8125</v>
      </c>
      <c r="J8" s="474">
        <v>6</v>
      </c>
      <c r="K8" s="477">
        <f t="shared" ref="K8:K14" si="2">J8/E8*100</f>
        <v>9.375</v>
      </c>
      <c r="L8" s="509">
        <f t="shared" ref="L8:L14" si="3">G8+I8+K8</f>
        <v>100</v>
      </c>
      <c r="M8" s="478">
        <f t="shared" ref="M8:M14" si="4">G8+I8</f>
        <v>90.625</v>
      </c>
      <c r="N8" s="479">
        <v>54</v>
      </c>
      <c r="O8" s="477">
        <f t="shared" ref="O8:O14" si="5">N8/E8*100</f>
        <v>84.375</v>
      </c>
      <c r="P8" s="476">
        <v>10</v>
      </c>
      <c r="Q8" s="480">
        <f t="shared" ref="Q8:Q14" si="6">P8/E8*100</f>
        <v>15.625</v>
      </c>
      <c r="R8" s="476"/>
      <c r="S8" s="477">
        <f>R8/E8*100</f>
        <v>0</v>
      </c>
      <c r="T8" s="481"/>
      <c r="U8" s="481"/>
      <c r="V8" s="482">
        <v>64</v>
      </c>
    </row>
    <row r="9" spans="1:31" s="144" customFormat="1" ht="36.75" customHeight="1" x14ac:dyDescent="0.25">
      <c r="A9" s="483" t="s">
        <v>67</v>
      </c>
      <c r="B9" s="484" t="s">
        <v>36</v>
      </c>
      <c r="C9" s="485">
        <v>33</v>
      </c>
      <c r="D9" s="486">
        <v>65</v>
      </c>
      <c r="E9" s="486">
        <v>65</v>
      </c>
      <c r="F9" s="486">
        <v>5</v>
      </c>
      <c r="G9" s="477">
        <f t="shared" si="0"/>
        <v>7.6923076923076925</v>
      </c>
      <c r="H9" s="486">
        <v>59</v>
      </c>
      <c r="I9" s="477">
        <f t="shared" si="1"/>
        <v>90.769230769230774</v>
      </c>
      <c r="J9" s="486">
        <v>1</v>
      </c>
      <c r="K9" s="477">
        <f t="shared" si="2"/>
        <v>1.5384615384615385</v>
      </c>
      <c r="L9" s="509">
        <f t="shared" si="3"/>
        <v>100</v>
      </c>
      <c r="M9" s="478">
        <f>G9+I9</f>
        <v>98.461538461538467</v>
      </c>
      <c r="N9" s="487">
        <v>55</v>
      </c>
      <c r="O9" s="477">
        <f t="shared" si="5"/>
        <v>84.615384615384613</v>
      </c>
      <c r="P9" s="486">
        <v>10</v>
      </c>
      <c r="Q9" s="480">
        <f t="shared" si="6"/>
        <v>15.384615384615385</v>
      </c>
      <c r="R9" s="486"/>
      <c r="S9" s="477">
        <f>R9/E9*100</f>
        <v>0</v>
      </c>
      <c r="T9" s="488"/>
      <c r="U9" s="488"/>
      <c r="V9" s="489">
        <v>65</v>
      </c>
    </row>
    <row r="10" spans="1:31" s="116" customFormat="1" ht="36.75" customHeight="1" x14ac:dyDescent="0.25">
      <c r="A10" s="1162" t="s">
        <v>68</v>
      </c>
      <c r="B10" s="1163"/>
      <c r="C10" s="490"/>
      <c r="D10" s="491">
        <f>SUM(D8:D9)</f>
        <v>129</v>
      </c>
      <c r="E10" s="491">
        <f>SUM(E8:E9)</f>
        <v>129</v>
      </c>
      <c r="F10" s="491">
        <f>SUM(F8:F9)</f>
        <v>10</v>
      </c>
      <c r="G10" s="492">
        <f t="shared" si="0"/>
        <v>7.7519379844961236</v>
      </c>
      <c r="H10" s="491">
        <f>SUM(H8:H9)</f>
        <v>112</v>
      </c>
      <c r="I10" s="492">
        <f t="shared" si="1"/>
        <v>86.821705426356587</v>
      </c>
      <c r="J10" s="491">
        <f>SUM(J8:J9)</f>
        <v>7</v>
      </c>
      <c r="K10" s="492">
        <f t="shared" si="2"/>
        <v>5.4263565891472867</v>
      </c>
      <c r="L10" s="78">
        <f t="shared" si="3"/>
        <v>100</v>
      </c>
      <c r="M10" s="493">
        <f>G10+I10</f>
        <v>94.573643410852711</v>
      </c>
      <c r="N10" s="491">
        <f>SUM(N8:N9)</f>
        <v>109</v>
      </c>
      <c r="O10" s="492">
        <f t="shared" si="5"/>
        <v>84.496124031007753</v>
      </c>
      <c r="P10" s="491">
        <f>SUM(P8:P9)</f>
        <v>20</v>
      </c>
      <c r="Q10" s="492">
        <f t="shared" si="6"/>
        <v>15.503875968992247</v>
      </c>
      <c r="R10" s="491">
        <f>SUM(R8:R9)</f>
        <v>0</v>
      </c>
      <c r="S10" s="492">
        <f>R10/E10*100</f>
        <v>0</v>
      </c>
      <c r="T10" s="491">
        <f>SUM(T8:T9)</f>
        <v>0</v>
      </c>
      <c r="U10" s="492"/>
      <c r="V10" s="494">
        <f>SUM(V8:V9)</f>
        <v>129</v>
      </c>
    </row>
    <row r="11" spans="1:31" s="21" customFormat="1" ht="36.75" customHeight="1" x14ac:dyDescent="0.25">
      <c r="A11" s="1180" t="s">
        <v>69</v>
      </c>
      <c r="B11" s="476" t="s">
        <v>70</v>
      </c>
      <c r="C11" s="495">
        <v>38</v>
      </c>
      <c r="D11" s="476">
        <v>24</v>
      </c>
      <c r="E11" s="476">
        <v>24</v>
      </c>
      <c r="F11" s="476"/>
      <c r="G11" s="477">
        <f t="shared" si="0"/>
        <v>0</v>
      </c>
      <c r="H11" s="476">
        <v>21</v>
      </c>
      <c r="I11" s="477">
        <f t="shared" si="1"/>
        <v>87.5</v>
      </c>
      <c r="J11" s="476">
        <v>3</v>
      </c>
      <c r="K11" s="509">
        <f t="shared" si="2"/>
        <v>12.5</v>
      </c>
      <c r="L11" s="509">
        <f t="shared" si="3"/>
        <v>100</v>
      </c>
      <c r="M11" s="478">
        <f t="shared" si="4"/>
        <v>87.5</v>
      </c>
      <c r="N11" s="496">
        <v>19</v>
      </c>
      <c r="O11" s="477">
        <f t="shared" si="5"/>
        <v>79.166666666666657</v>
      </c>
      <c r="P11" s="476">
        <v>5</v>
      </c>
      <c r="Q11" s="477">
        <f>P11/E11*100</f>
        <v>20.833333333333336</v>
      </c>
      <c r="R11" s="476"/>
      <c r="S11" s="477"/>
      <c r="T11" s="476"/>
      <c r="U11" s="477"/>
      <c r="V11" s="497">
        <v>24</v>
      </c>
    </row>
    <row r="12" spans="1:31" s="21" customFormat="1" ht="36.75" customHeight="1" x14ac:dyDescent="0.25">
      <c r="A12" s="1181"/>
      <c r="B12" s="474" t="s">
        <v>37</v>
      </c>
      <c r="C12" s="475">
        <v>40</v>
      </c>
      <c r="D12" s="474">
        <v>47</v>
      </c>
      <c r="E12" s="474">
        <v>47</v>
      </c>
      <c r="F12" s="474"/>
      <c r="G12" s="477">
        <f t="shared" si="0"/>
        <v>0</v>
      </c>
      <c r="H12" s="474">
        <v>17</v>
      </c>
      <c r="I12" s="477">
        <f t="shared" si="1"/>
        <v>36.170212765957451</v>
      </c>
      <c r="J12" s="474">
        <v>30</v>
      </c>
      <c r="K12" s="509">
        <f t="shared" si="2"/>
        <v>63.829787234042556</v>
      </c>
      <c r="L12" s="509">
        <f t="shared" si="3"/>
        <v>100</v>
      </c>
      <c r="M12" s="478">
        <f t="shared" si="4"/>
        <v>36.170212765957451</v>
      </c>
      <c r="N12" s="479">
        <v>42</v>
      </c>
      <c r="O12" s="477">
        <f t="shared" si="5"/>
        <v>89.361702127659569</v>
      </c>
      <c r="P12" s="476">
        <v>5</v>
      </c>
      <c r="Q12" s="480">
        <f t="shared" si="6"/>
        <v>10.638297872340425</v>
      </c>
      <c r="R12" s="476"/>
      <c r="S12" s="498">
        <f>R12/E12*100</f>
        <v>0</v>
      </c>
      <c r="T12" s="476"/>
      <c r="U12" s="477"/>
      <c r="V12" s="482">
        <v>47</v>
      </c>
    </row>
    <row r="13" spans="1:31" s="21" customFormat="1" ht="36.75" customHeight="1" x14ac:dyDescent="0.25">
      <c r="A13" s="1182"/>
      <c r="B13" s="499" t="s">
        <v>71</v>
      </c>
      <c r="C13" s="500">
        <v>40</v>
      </c>
      <c r="D13" s="499">
        <v>47</v>
      </c>
      <c r="E13" s="499">
        <v>47</v>
      </c>
      <c r="F13" s="499">
        <v>2</v>
      </c>
      <c r="G13" s="501">
        <f t="shared" si="0"/>
        <v>4.2553191489361701</v>
      </c>
      <c r="H13" s="499">
        <v>42</v>
      </c>
      <c r="I13" s="501">
        <f t="shared" si="1"/>
        <v>89.361702127659569</v>
      </c>
      <c r="J13" s="499">
        <v>3</v>
      </c>
      <c r="K13" s="501">
        <f t="shared" si="2"/>
        <v>6.3829787234042552</v>
      </c>
      <c r="L13" s="510">
        <f t="shared" si="3"/>
        <v>99.999999999999986</v>
      </c>
      <c r="M13" s="502">
        <f t="shared" si="4"/>
        <v>93.617021276595736</v>
      </c>
      <c r="N13" s="503">
        <v>42</v>
      </c>
      <c r="O13" s="477">
        <f t="shared" si="5"/>
        <v>89.361702127659569</v>
      </c>
      <c r="P13" s="504">
        <v>5</v>
      </c>
      <c r="Q13" s="480">
        <f t="shared" si="6"/>
        <v>10.638297872340425</v>
      </c>
      <c r="R13" s="504"/>
      <c r="S13" s="498">
        <f>R13/E13*100</f>
        <v>0</v>
      </c>
      <c r="T13" s="504"/>
      <c r="U13" s="480"/>
      <c r="V13" s="505">
        <v>47</v>
      </c>
    </row>
    <row r="14" spans="1:31" s="116" customFormat="1" ht="36.75" customHeight="1" x14ac:dyDescent="0.25">
      <c r="A14" s="1162" t="s">
        <v>68</v>
      </c>
      <c r="B14" s="1163"/>
      <c r="C14" s="490"/>
      <c r="D14" s="491">
        <f>SUM(D11:D13)</f>
        <v>118</v>
      </c>
      <c r="E14" s="491">
        <f>SUM(E11:E13)</f>
        <v>118</v>
      </c>
      <c r="F14" s="491">
        <f>SUM(F11:F13)</f>
        <v>2</v>
      </c>
      <c r="G14" s="492">
        <f t="shared" si="0"/>
        <v>1.6949152542372881</v>
      </c>
      <c r="H14" s="491">
        <f>SUM(H11:H13)</f>
        <v>80</v>
      </c>
      <c r="I14" s="492">
        <f t="shared" si="1"/>
        <v>67.796610169491515</v>
      </c>
      <c r="J14" s="491">
        <f>SUM(J11:J13)</f>
        <v>36</v>
      </c>
      <c r="K14" s="492">
        <f t="shared" si="2"/>
        <v>30.508474576271187</v>
      </c>
      <c r="L14" s="78">
        <f t="shared" si="3"/>
        <v>99.999999999999986</v>
      </c>
      <c r="M14" s="493">
        <f t="shared" si="4"/>
        <v>69.491525423728802</v>
      </c>
      <c r="N14" s="491">
        <f>SUM(N11:N13)</f>
        <v>103</v>
      </c>
      <c r="O14" s="492">
        <f t="shared" si="5"/>
        <v>87.288135593220346</v>
      </c>
      <c r="P14" s="491">
        <f>SUM(P11:P13)</f>
        <v>15</v>
      </c>
      <c r="Q14" s="492">
        <f t="shared" si="6"/>
        <v>12.711864406779661</v>
      </c>
      <c r="R14" s="491">
        <f>SUM(R11:R13)</f>
        <v>0</v>
      </c>
      <c r="S14" s="492">
        <f>R14/E14*100</f>
        <v>0</v>
      </c>
      <c r="T14" s="491">
        <f>SUM(T11:T13)</f>
        <v>0</v>
      </c>
      <c r="U14" s="492"/>
      <c r="V14" s="494">
        <f>SUM(V11:V13)</f>
        <v>118</v>
      </c>
    </row>
    <row r="15" spans="1:31" s="122" customFormat="1" ht="36.75" customHeight="1" thickBot="1" x14ac:dyDescent="0.3">
      <c r="A15" s="1196" t="s">
        <v>75</v>
      </c>
      <c r="B15" s="1197"/>
      <c r="C15" s="506"/>
      <c r="D15" s="124">
        <f>SUM(D10+D14)</f>
        <v>247</v>
      </c>
      <c r="E15" s="124">
        <f>SUM(E10+E14)</f>
        <v>247</v>
      </c>
      <c r="F15" s="124">
        <f>SUM(F10+F14)</f>
        <v>12</v>
      </c>
      <c r="G15" s="125">
        <f>SUM(G10+G14)/2</f>
        <v>4.7234266193667054</v>
      </c>
      <c r="H15" s="124">
        <f>SUM(H10+H14)</f>
        <v>192</v>
      </c>
      <c r="I15" s="125">
        <f>SUM(I10+I14)/2</f>
        <v>77.309157797924058</v>
      </c>
      <c r="J15" s="124">
        <f>SUM(J10+J14)</f>
        <v>43</v>
      </c>
      <c r="K15" s="125">
        <f>SUM(K10+K14)/2</f>
        <v>17.967415582709236</v>
      </c>
      <c r="L15" s="125">
        <f>SUM(L10+L14)/2</f>
        <v>100</v>
      </c>
      <c r="M15" s="125">
        <f>SUM(M10+M14)/2</f>
        <v>82.032584417290764</v>
      </c>
      <c r="N15" s="124">
        <f>SUM(N10+N14)</f>
        <v>212</v>
      </c>
      <c r="O15" s="125">
        <f>SUM(O10+O14)/2</f>
        <v>85.89212981211405</v>
      </c>
      <c r="P15" s="124">
        <f>SUM(P10+P14)</f>
        <v>35</v>
      </c>
      <c r="Q15" s="125">
        <f>SUM(Q10+Q14)/2</f>
        <v>14.107870187885954</v>
      </c>
      <c r="R15" s="124">
        <f>SUM(R10+R14)</f>
        <v>0</v>
      </c>
      <c r="S15" s="124">
        <f>SUM(S10+S14)</f>
        <v>0</v>
      </c>
      <c r="T15" s="124">
        <f>SUM(T10+T14)</f>
        <v>0</v>
      </c>
      <c r="U15" s="124">
        <f>SUM(U10+U14)</f>
        <v>0</v>
      </c>
      <c r="V15" s="124">
        <f>SUM(V10+V14)</f>
        <v>247</v>
      </c>
    </row>
    <row r="16" spans="1:31" s="27" customFormat="1" ht="18" x14ac:dyDescent="0.25">
      <c r="A16" s="35"/>
      <c r="B16" s="35"/>
      <c r="C16" s="35"/>
      <c r="D16" s="35"/>
      <c r="E16" s="35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</row>
  </sheetData>
  <mergeCells count="19">
    <mergeCell ref="P6:Q6"/>
    <mergeCell ref="R6:S6"/>
    <mergeCell ref="T6:U6"/>
    <mergeCell ref="A10:B10"/>
    <mergeCell ref="A1:U1"/>
    <mergeCell ref="A2:V2"/>
    <mergeCell ref="A5:A7"/>
    <mergeCell ref="B5:B7"/>
    <mergeCell ref="C5:C7"/>
    <mergeCell ref="D5:E5"/>
    <mergeCell ref="F5:M5"/>
    <mergeCell ref="N5:U5"/>
    <mergeCell ref="F6:G6"/>
    <mergeCell ref="H6:I6"/>
    <mergeCell ref="A11:A13"/>
    <mergeCell ref="A14:B14"/>
    <mergeCell ref="A15:B15"/>
    <mergeCell ref="J6:K6"/>
    <mergeCell ref="N6:O6"/>
  </mergeCells>
  <printOptions horizontalCentered="1"/>
  <pageMargins left="0.24" right="0.16" top="0.27" bottom="0.31" header="0.23" footer="0.27"/>
  <pageSetup scale="98" orientation="landscape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AD9"/>
  <sheetViews>
    <sheetView showZeros="0" zoomScale="110" workbookViewId="0">
      <selection activeCell="K17" sqref="K17"/>
    </sheetView>
  </sheetViews>
  <sheetFormatPr defaultRowHeight="18.75" x14ac:dyDescent="0.3"/>
  <cols>
    <col min="1" max="1" width="5.69921875" style="1" customWidth="1"/>
    <col min="2" max="2" width="12.8984375" style="1" hidden="1" customWidth="1"/>
    <col min="3" max="3" width="4.69921875" customWidth="1"/>
    <col min="4" max="4" width="4.69921875" style="1" customWidth="1"/>
    <col min="5" max="5" width="3.69921875" style="237" customWidth="1"/>
    <col min="6" max="6" width="5.69921875" style="237" customWidth="1"/>
    <col min="7" max="7" width="3.69921875" style="237" customWidth="1"/>
    <col min="8" max="8" width="6.19921875" style="237" customWidth="1"/>
    <col min="9" max="9" width="3.69921875" style="237" customWidth="1"/>
    <col min="10" max="10" width="4.59765625" style="237" customWidth="1"/>
    <col min="11" max="12" width="6.3984375" style="237" customWidth="1"/>
    <col min="13" max="13" width="3.69921875" style="237" customWidth="1"/>
    <col min="14" max="14" width="5.69921875" style="237" customWidth="1"/>
    <col min="15" max="15" width="3.69921875" style="237" customWidth="1"/>
    <col min="16" max="16" width="5.19921875" style="237" customWidth="1"/>
    <col min="17" max="17" width="3.69921875" style="237" customWidth="1"/>
    <col min="18" max="18" width="4.5" style="237" customWidth="1"/>
    <col min="19" max="19" width="3.296875" style="237" customWidth="1"/>
    <col min="20" max="20" width="3.69921875" style="237" customWidth="1"/>
    <col min="21" max="21" width="8.69921875" style="237" customWidth="1"/>
    <col min="22" max="22" width="3.69921875" style="5" customWidth="1"/>
    <col min="23" max="25" width="2.19921875" style="22" customWidth="1"/>
    <col min="26" max="28" width="3.3984375" style="1" customWidth="1"/>
    <col min="29" max="29" width="4.3984375" style="15" customWidth="1"/>
    <col min="30" max="30" width="22.296875" style="1" customWidth="1"/>
    <col min="31" max="31" width="9.296875" customWidth="1"/>
    <col min="32" max="32" width="10.19921875" customWidth="1"/>
  </cols>
  <sheetData>
    <row r="2" spans="1:30" ht="23.25" customHeight="1" x14ac:dyDescent="0.35">
      <c r="A2" s="1148" t="s">
        <v>44</v>
      </c>
      <c r="B2" s="1148"/>
      <c r="C2" s="1148"/>
      <c r="D2" s="1148"/>
      <c r="E2" s="1148"/>
      <c r="F2" s="1148"/>
      <c r="G2" s="1148"/>
      <c r="H2" s="1148"/>
      <c r="I2" s="1148"/>
      <c r="J2" s="1148"/>
      <c r="K2" s="1148"/>
      <c r="L2" s="1148"/>
      <c r="M2" s="1148"/>
      <c r="N2" s="1148"/>
      <c r="O2" s="1148"/>
      <c r="P2" s="1148"/>
      <c r="Q2" s="1148"/>
      <c r="R2" s="1148"/>
      <c r="S2" s="1148"/>
      <c r="T2" s="1148"/>
      <c r="U2" s="62"/>
      <c r="V2"/>
      <c r="W2"/>
      <c r="X2"/>
      <c r="Y2"/>
      <c r="Z2"/>
      <c r="AA2"/>
      <c r="AB2"/>
      <c r="AC2"/>
      <c r="AD2"/>
    </row>
    <row r="3" spans="1:30" ht="20.25" customHeight="1" x14ac:dyDescent="0.35">
      <c r="A3" s="1149" t="s">
        <v>1</v>
      </c>
      <c r="B3" s="1148"/>
      <c r="C3" s="1148"/>
      <c r="D3" s="1148"/>
      <c r="E3" s="1148"/>
      <c r="F3" s="1148"/>
      <c r="G3" s="1148"/>
      <c r="H3" s="1148"/>
      <c r="I3" s="1148"/>
      <c r="J3" s="1148"/>
      <c r="K3" s="1148"/>
      <c r="L3" s="1148"/>
      <c r="M3" s="1148"/>
      <c r="N3" s="1148"/>
      <c r="O3" s="1148"/>
      <c r="P3" s="1148"/>
      <c r="Q3" s="1148"/>
      <c r="R3" s="1148"/>
      <c r="S3" s="1148"/>
      <c r="T3" s="1148"/>
      <c r="U3" s="1148"/>
      <c r="V3"/>
      <c r="W3"/>
      <c r="X3"/>
      <c r="Y3"/>
      <c r="Z3"/>
      <c r="AA3"/>
      <c r="AB3"/>
      <c r="AC3"/>
      <c r="AD3"/>
    </row>
    <row r="4" spans="1:30" ht="22.5" customHeight="1" thickBot="1" x14ac:dyDescent="0.3">
      <c r="A4" s="26"/>
      <c r="B4" s="26"/>
      <c r="C4" s="26"/>
      <c r="D4" s="26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/>
      <c r="W4"/>
      <c r="X4"/>
      <c r="Y4"/>
      <c r="Z4"/>
      <c r="AA4"/>
      <c r="AB4"/>
      <c r="AC4"/>
      <c r="AD4"/>
    </row>
    <row r="5" spans="1:30" s="27" customFormat="1" ht="24.95" customHeight="1" thickTop="1" x14ac:dyDescent="0.25">
      <c r="A5" s="1150" t="s">
        <v>45</v>
      </c>
      <c r="B5" s="1153" t="s">
        <v>46</v>
      </c>
      <c r="C5" s="1156" t="s">
        <v>48</v>
      </c>
      <c r="D5" s="1156"/>
      <c r="E5" s="1157" t="s">
        <v>49</v>
      </c>
      <c r="F5" s="1158"/>
      <c r="G5" s="1158"/>
      <c r="H5" s="1158"/>
      <c r="I5" s="1158"/>
      <c r="J5" s="1158"/>
      <c r="K5" s="1158"/>
      <c r="L5" s="1159"/>
      <c r="M5" s="1158" t="s">
        <v>50</v>
      </c>
      <c r="N5" s="1158"/>
      <c r="O5" s="1158"/>
      <c r="P5" s="1158"/>
      <c r="Q5" s="1158"/>
      <c r="R5" s="1158"/>
      <c r="S5" s="1158"/>
      <c r="T5" s="1160"/>
      <c r="U5" s="63" t="s">
        <v>51</v>
      </c>
    </row>
    <row r="6" spans="1:30" s="27" customFormat="1" ht="24.95" customHeight="1" x14ac:dyDescent="0.25">
      <c r="A6" s="1151"/>
      <c r="B6" s="1154"/>
      <c r="C6" s="28" t="s">
        <v>52</v>
      </c>
      <c r="D6" s="28" t="s">
        <v>53</v>
      </c>
      <c r="E6" s="1146" t="s">
        <v>54</v>
      </c>
      <c r="F6" s="1146"/>
      <c r="G6" s="1146" t="s">
        <v>95</v>
      </c>
      <c r="H6" s="1146"/>
      <c r="I6" s="1146" t="s">
        <v>55</v>
      </c>
      <c r="J6" s="1146"/>
      <c r="K6" s="65" t="s">
        <v>56</v>
      </c>
      <c r="L6" s="66" t="s">
        <v>56</v>
      </c>
      <c r="M6" s="1147" t="s">
        <v>101</v>
      </c>
      <c r="N6" s="1145"/>
      <c r="O6" s="1145" t="s">
        <v>95</v>
      </c>
      <c r="P6" s="1145"/>
      <c r="Q6" s="1145" t="s">
        <v>55</v>
      </c>
      <c r="R6" s="1145"/>
      <c r="S6" s="1145" t="s">
        <v>57</v>
      </c>
      <c r="T6" s="1145"/>
      <c r="U6" s="67" t="s">
        <v>58</v>
      </c>
    </row>
    <row r="7" spans="1:30" s="27" customFormat="1" ht="24.95" customHeight="1" x14ac:dyDescent="0.25">
      <c r="A7" s="1152"/>
      <c r="B7" s="1155"/>
      <c r="C7" s="29" t="s">
        <v>59</v>
      </c>
      <c r="D7" s="29" t="s">
        <v>60</v>
      </c>
      <c r="E7" s="675" t="s">
        <v>61</v>
      </c>
      <c r="F7" s="675" t="s">
        <v>62</v>
      </c>
      <c r="G7" s="675" t="s">
        <v>61</v>
      </c>
      <c r="H7" s="675" t="s">
        <v>62</v>
      </c>
      <c r="I7" s="675" t="s">
        <v>61</v>
      </c>
      <c r="J7" s="675" t="s">
        <v>62</v>
      </c>
      <c r="K7" s="68" t="s">
        <v>63</v>
      </c>
      <c r="L7" s="69" t="s">
        <v>64</v>
      </c>
      <c r="M7" s="70" t="s">
        <v>61</v>
      </c>
      <c r="N7" s="675" t="s">
        <v>62</v>
      </c>
      <c r="O7" s="675" t="s">
        <v>61</v>
      </c>
      <c r="P7" s="675" t="s">
        <v>62</v>
      </c>
      <c r="Q7" s="675" t="s">
        <v>61</v>
      </c>
      <c r="R7" s="675" t="s">
        <v>62</v>
      </c>
      <c r="S7" s="675" t="s">
        <v>61</v>
      </c>
      <c r="T7" s="675" t="s">
        <v>62</v>
      </c>
      <c r="U7" s="67" t="s">
        <v>65</v>
      </c>
    </row>
    <row r="8" spans="1:30" s="133" customFormat="1" ht="96" customHeight="1" thickBot="1" x14ac:dyDescent="0.3">
      <c r="A8" s="192" t="s">
        <v>134</v>
      </c>
      <c r="B8" s="193" t="s">
        <v>33</v>
      </c>
      <c r="C8" s="193">
        <v>81</v>
      </c>
      <c r="D8" s="193">
        <v>81</v>
      </c>
      <c r="E8" s="191"/>
      <c r="F8" s="195">
        <f>E8/D8*100</f>
        <v>0</v>
      </c>
      <c r="G8" s="191"/>
      <c r="H8" s="195">
        <f>G8/D8*100</f>
        <v>0</v>
      </c>
      <c r="I8" s="191"/>
      <c r="J8" s="195">
        <f>I8/D8*100</f>
        <v>0</v>
      </c>
      <c r="K8" s="195">
        <f>F8+H8+J8</f>
        <v>0</v>
      </c>
      <c r="L8" s="196">
        <f>F8+H8</f>
        <v>0</v>
      </c>
      <c r="M8" s="197"/>
      <c r="N8" s="195">
        <f>M8/D8*100</f>
        <v>0</v>
      </c>
      <c r="O8" s="191"/>
      <c r="P8" s="195">
        <f>O8/D8*100</f>
        <v>0</v>
      </c>
      <c r="Q8" s="191"/>
      <c r="R8" s="195">
        <f>Q8/D8*100</f>
        <v>0</v>
      </c>
      <c r="S8" s="198" t="s">
        <v>115</v>
      </c>
      <c r="T8" s="199"/>
      <c r="U8" s="194">
        <v>81</v>
      </c>
    </row>
    <row r="9" spans="1:30" s="27" customFormat="1" thickTop="1" x14ac:dyDescent="0.25">
      <c r="A9" s="35"/>
      <c r="B9" s="35"/>
      <c r="C9" s="35"/>
      <c r="D9" s="35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</row>
  </sheetData>
  <mergeCells count="14">
    <mergeCell ref="M6:N6"/>
    <mergeCell ref="O6:P6"/>
    <mergeCell ref="Q6:R6"/>
    <mergeCell ref="S6:T6"/>
    <mergeCell ref="A2:T2"/>
    <mergeCell ref="A3:U3"/>
    <mergeCell ref="A5:A7"/>
    <mergeCell ref="B5:B7"/>
    <mergeCell ref="C5:D5"/>
    <mergeCell ref="E5:L5"/>
    <mergeCell ref="M5:T5"/>
    <mergeCell ref="E6:F6"/>
    <mergeCell ref="G6:H6"/>
    <mergeCell ref="I6:J6"/>
  </mergeCells>
  <printOptions horizontalCentered="1"/>
  <pageMargins left="0.77" right="0.48" top="0.27" bottom="0.31" header="0.23" footer="0.27"/>
  <pageSetup scale="98" orientation="landscape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7" sqref="K17"/>
    </sheetView>
  </sheetViews>
  <sheetFormatPr defaultRowHeight="18" x14ac:dyDescent="0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7" sqref="K17"/>
    </sheetView>
  </sheetViews>
  <sheetFormatPr defaultRowHeight="18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30</vt:i4>
      </vt:variant>
    </vt:vector>
  </HeadingPairs>
  <TitlesOfParts>
    <vt:vector size="81" baseType="lpstr">
      <vt:lpstr>Vtd.2</vt:lpstr>
      <vt:lpstr>Htd.3</vt:lpstr>
      <vt:lpstr>NVQY4</vt:lpstr>
      <vt:lpstr>NVQY.5</vt:lpstr>
      <vt:lpstr>DL.6</vt:lpstr>
      <vt:lpstr>c60.6</vt:lpstr>
      <vt:lpstr>NVBQVK.7</vt:lpstr>
      <vt:lpstr>NVBQD.7</vt:lpstr>
      <vt:lpstr>BVu.8A</vt:lpstr>
      <vt:lpstr>Co82.8</vt:lpstr>
      <vt:lpstr>c100.8</vt:lpstr>
      <vt:lpstr>Ktpb.8</vt:lpstr>
      <vt:lpstr>Pxk.8</vt:lpstr>
      <vt:lpstr>Pk37.9</vt:lpstr>
      <vt:lpstr>Pk57.9</vt:lpstr>
      <vt:lpstr>12,7.9</vt:lpstr>
      <vt:lpstr>CB CT.10 </vt:lpstr>
      <vt:lpstr>SPG9.10</vt:lpstr>
      <vt:lpstr>TSBD.13</vt:lpstr>
      <vt:lpstr>AGS-17.13</vt:lpstr>
      <vt:lpstr>TH xet at(Kdt)</vt:lpstr>
      <vt:lpstr>TH xet Bao vu</vt:lpstr>
      <vt:lpstr>TH xet at(Kdt) (2)</vt:lpstr>
      <vt:lpstr>TH xet at(Kdt) (21)</vt:lpstr>
      <vt:lpstr>BVu.3 (2)</vt:lpstr>
      <vt:lpstr>3.4 (2)</vt:lpstr>
      <vt:lpstr>4.4 (2)</vt:lpstr>
      <vt:lpstr>5.5 (2)</vt:lpstr>
      <vt:lpstr>6.5 (2)</vt:lpstr>
      <vt:lpstr>TSBD.6 (2)</vt:lpstr>
      <vt:lpstr>DL.6 (2)</vt:lpstr>
      <vt:lpstr>c60.6 (2)</vt:lpstr>
      <vt:lpstr>Vtd.7 (2)</vt:lpstr>
      <vt:lpstr>Htd.7 (2)</vt:lpstr>
      <vt:lpstr>Ktpb.8 (2)</vt:lpstr>
      <vt:lpstr>Pxk.8 (2)</vt:lpstr>
      <vt:lpstr>Co82.8 (2)</vt:lpstr>
      <vt:lpstr>c100.8 (2)</vt:lpstr>
      <vt:lpstr>Pk37.9 (2)</vt:lpstr>
      <vt:lpstr>Pk57.9 (2)</vt:lpstr>
      <vt:lpstr>12,7.9 (2)</vt:lpstr>
      <vt:lpstr>DKZ.10 (2)</vt:lpstr>
      <vt:lpstr>SPG9.10 (2)</vt:lpstr>
      <vt:lpstr>NA.10 (2)</vt:lpstr>
      <vt:lpstr>CB.10 (2)</vt:lpstr>
      <vt:lpstr>TH xet at(Kdt) (3)</vt:lpstr>
      <vt:lpstr>TH xet at(Kdt) (4)</vt:lpstr>
      <vt:lpstr>TH xet at(Kdt) (22)</vt:lpstr>
      <vt:lpstr>TH xet Bao vu (2)</vt:lpstr>
      <vt:lpstr>Sheet1 (2)</vt:lpstr>
      <vt:lpstr>Sheet1</vt:lpstr>
      <vt:lpstr>'12,7.9'!Print_Titles</vt:lpstr>
      <vt:lpstr>'12,7.9 (2)'!Print_Titles</vt:lpstr>
      <vt:lpstr>'3.4 (2)'!Print_Titles</vt:lpstr>
      <vt:lpstr>'4.4 (2)'!Print_Titles</vt:lpstr>
      <vt:lpstr>'5.5 (2)'!Print_Titles</vt:lpstr>
      <vt:lpstr>'6.5 (2)'!Print_Titles</vt:lpstr>
      <vt:lpstr>'BVu.3 (2)'!Print_Titles</vt:lpstr>
      <vt:lpstr>BVu.8A!Print_Titles</vt:lpstr>
      <vt:lpstr>c60.6!Print_Titles</vt:lpstr>
      <vt:lpstr>'c60.6 (2)'!Print_Titles</vt:lpstr>
      <vt:lpstr>'CB CT.10 '!Print_Titles</vt:lpstr>
      <vt:lpstr>'CB.10 (2)'!Print_Titles</vt:lpstr>
      <vt:lpstr>Co82.8!Print_Titles</vt:lpstr>
      <vt:lpstr>'Co82.8 (2)'!Print_Titles</vt:lpstr>
      <vt:lpstr>DL.6!Print_Titles</vt:lpstr>
      <vt:lpstr>'DL.6 (2)'!Print_Titles</vt:lpstr>
      <vt:lpstr>Htd.3!Print_Titles</vt:lpstr>
      <vt:lpstr>'Htd.7 (2)'!Print_Titles</vt:lpstr>
      <vt:lpstr>'NA.10 (2)'!Print_Titles</vt:lpstr>
      <vt:lpstr>NVBQD.7!Print_Titles</vt:lpstr>
      <vt:lpstr>NVBQVK.7!Print_Titles</vt:lpstr>
      <vt:lpstr>NVQY.5!Print_Titles</vt:lpstr>
      <vt:lpstr>NVQY4!Print_Titles</vt:lpstr>
      <vt:lpstr>'Pk37.9 (2)'!Print_Titles</vt:lpstr>
      <vt:lpstr>Pxk.8!Print_Titles</vt:lpstr>
      <vt:lpstr>'Pxk.8 (2)'!Print_Titles</vt:lpstr>
      <vt:lpstr>SPG9.10!Print_Titles</vt:lpstr>
      <vt:lpstr>'SPG9.10 (2)'!Print_Titles</vt:lpstr>
      <vt:lpstr>Vtd.2!Print_Titles</vt:lpstr>
      <vt:lpstr>'Vtd.7 (2)'!Print_Titles</vt:lpstr>
    </vt:vector>
  </TitlesOfParts>
  <Company>Tran Anh Computer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76 Nguyen Du</dc:creator>
  <cp:lastModifiedBy>Administrator</cp:lastModifiedBy>
  <cp:lastPrinted>2025-06-30T06:54:33Z</cp:lastPrinted>
  <dcterms:created xsi:type="dcterms:W3CDTF">2006-06-08T12:28:09Z</dcterms:created>
  <dcterms:modified xsi:type="dcterms:W3CDTF">2026-07-02T08:53:25Z</dcterms:modified>
</cp:coreProperties>
</file>